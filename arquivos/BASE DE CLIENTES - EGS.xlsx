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geraebcsp.sharepoint.com/sites/gestao.gdc/Shared Documents/EGS/4 - Base de Clientes/"/>
    </mc:Choice>
  </mc:AlternateContent>
  <xr:revisionPtr revIDLastSave="6337" documentId="13_ncr:1_{F6D566D9-255A-476D-8307-76ADB775C99F}" xr6:coauthVersionLast="47" xr6:coauthVersionMax="47" xr10:uidLastSave="{DFA4BC89-721A-4E73-9BCC-5D91961EBC13}"/>
  <bookViews>
    <workbookView xWindow="-108" yWindow="-108" windowWidth="23256" windowHeight="12456" tabRatio="799" firstSheet="1" activeTab="1" xr2:uid="{266DA0FE-EF1A-4168-94E3-261F256D3643}"/>
  </bookViews>
  <sheets>
    <sheet name="Resumo" sheetId="7" r:id="rId1"/>
    <sheet name="base" sheetId="1" r:id="rId2"/>
    <sheet name="Inadimplência" sheetId="4" r:id="rId3"/>
    <sheet name="Processos" sheetId="5" state="hidden" r:id="rId4"/>
    <sheet name="Contatos - Ref.Jun-25" sheetId="3" state="hidden" r:id="rId5"/>
    <sheet name="Faturamento" sheetId="2" r:id="rId6"/>
    <sheet name="Acordos" sheetId="6" r:id="rId7"/>
    <sheet name="Negociações" sheetId="9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6" hidden="1">Acordos!$A$1:$G$82</definedName>
    <definedName name="_xlnm._FilterDatabase" localSheetId="4" hidden="1">'Contatos - Ref.Jun-25'!$A$1:$F$53</definedName>
    <definedName name="_xlnm._FilterDatabase" localSheetId="5" hidden="1">Faturamento!$A$1:$AI$1080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4" l="1"/>
  <c r="F14" i="4" s="1"/>
  <c r="G14" i="4" s="1"/>
  <c r="R10" i="2"/>
  <c r="R32" i="2"/>
  <c r="R33" i="2"/>
  <c r="R36" i="2"/>
  <c r="R42" i="2"/>
  <c r="R59" i="2"/>
  <c r="R67" i="2"/>
  <c r="R79" i="2"/>
  <c r="R86" i="2"/>
  <c r="R109" i="2"/>
  <c r="R121" i="2"/>
  <c r="R129" i="2"/>
  <c r="R137" i="2"/>
  <c r="R143" i="2"/>
  <c r="R147" i="2"/>
  <c r="R165" i="2"/>
  <c r="R172" i="2"/>
  <c r="R176" i="2"/>
  <c r="R179" i="2"/>
  <c r="R180" i="2"/>
  <c r="R182" i="2"/>
  <c r="R197" i="2"/>
  <c r="R198" i="2"/>
  <c r="R200" i="2"/>
  <c r="R204" i="2"/>
  <c r="R210" i="2"/>
  <c r="R212" i="2"/>
  <c r="R213" i="2"/>
  <c r="R214" i="2"/>
  <c r="R225" i="2"/>
  <c r="R230" i="2"/>
  <c r="R242" i="2"/>
  <c r="R263" i="2"/>
  <c r="R265" i="2"/>
  <c r="R272" i="2"/>
  <c r="R295" i="2"/>
  <c r="R298" i="2"/>
  <c r="R305" i="2"/>
  <c r="R356" i="2"/>
  <c r="R373" i="2"/>
  <c r="R383" i="2"/>
  <c r="R386" i="2"/>
  <c r="R393" i="2"/>
  <c r="R396" i="2"/>
  <c r="R413" i="2"/>
  <c r="R414" i="2"/>
  <c r="R421" i="2"/>
  <c r="R423" i="2"/>
  <c r="R428" i="2"/>
  <c r="R431" i="2"/>
  <c r="R449" i="2"/>
  <c r="R451" i="2"/>
  <c r="R452" i="2"/>
  <c r="R456" i="2"/>
  <c r="R461" i="2"/>
  <c r="R466" i="2"/>
  <c r="R491" i="2"/>
  <c r="R498" i="2"/>
  <c r="R515" i="2"/>
  <c r="R531" i="2"/>
  <c r="R548" i="2"/>
  <c r="R570" i="2"/>
  <c r="R583" i="2"/>
  <c r="R614" i="2"/>
  <c r="R627" i="2"/>
  <c r="R630" i="2"/>
  <c r="R633" i="2"/>
  <c r="R645" i="2"/>
  <c r="R664" i="2"/>
  <c r="R671" i="2"/>
  <c r="R672" i="2"/>
  <c r="R696" i="2"/>
  <c r="R704" i="2"/>
  <c r="R719" i="2"/>
  <c r="R721" i="2"/>
  <c r="R727" i="2"/>
  <c r="R742" i="2"/>
  <c r="R747" i="2"/>
  <c r="R759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98" i="2" l="1"/>
  <c r="C197" i="2"/>
  <c r="C180" i="2"/>
  <c r="C176" i="2"/>
  <c r="C79" i="2"/>
  <c r="D27" i="4" l="1"/>
  <c r="E13" i="4" l="1"/>
  <c r="F13" i="4" s="1"/>
  <c r="G13" i="4" s="1"/>
  <c r="W229" i="2" l="1"/>
  <c r="X229" i="2" s="1"/>
  <c r="W763" i="2"/>
  <c r="X763" i="2" s="1"/>
  <c r="W419" i="2"/>
  <c r="X419" i="2" s="1"/>
  <c r="W622" i="2"/>
  <c r="X622" i="2" s="1"/>
  <c r="W718" i="2"/>
  <c r="X718" i="2" s="1"/>
  <c r="W561" i="2"/>
  <c r="X561" i="2" s="1"/>
  <c r="W673" i="2"/>
  <c r="X673" i="2" s="1"/>
  <c r="W267" i="2"/>
  <c r="X267" i="2" s="1"/>
  <c r="W367" i="2"/>
  <c r="X367" i="2" s="1"/>
  <c r="W741" i="2"/>
  <c r="X741" i="2" s="1"/>
  <c r="W555" i="2"/>
  <c r="X555" i="2" s="1"/>
  <c r="W410" i="2"/>
  <c r="X410" i="2" s="1"/>
  <c r="W227" i="2"/>
  <c r="X227" i="2" s="1"/>
  <c r="W442" i="2"/>
  <c r="X442" i="2" s="1"/>
  <c r="W76" i="2"/>
  <c r="X76" i="2" s="1"/>
  <c r="W177" i="2"/>
  <c r="X177" i="2" s="1"/>
  <c r="W134" i="2"/>
  <c r="X134" i="2" s="1"/>
  <c r="W153" i="2"/>
  <c r="X153" i="2" s="1"/>
  <c r="W66" i="2"/>
  <c r="X66" i="2" s="1"/>
  <c r="W47" i="2"/>
  <c r="X47" i="2" s="1"/>
  <c r="W43" i="2"/>
  <c r="X43" i="2" s="1"/>
  <c r="W27" i="2"/>
  <c r="X27" i="2" s="1"/>
  <c r="W57" i="2"/>
  <c r="X57" i="2" s="1"/>
  <c r="W26" i="2"/>
  <c r="X26" i="2" s="1"/>
  <c r="W48" i="2"/>
  <c r="X48" i="2" s="1"/>
  <c r="W29" i="2"/>
  <c r="X29" i="2" s="1"/>
  <c r="W22" i="2"/>
  <c r="X22" i="2" s="1"/>
  <c r="W18" i="2"/>
  <c r="X18" i="2" s="1"/>
  <c r="W155" i="2"/>
  <c r="X155" i="2" s="1"/>
  <c r="W591" i="2"/>
  <c r="X591" i="2" s="1"/>
  <c r="W701" i="2"/>
  <c r="X701" i="2" s="1"/>
  <c r="W716" i="2"/>
  <c r="X716" i="2" s="1"/>
  <c r="W444" i="2"/>
  <c r="X444" i="2" s="1"/>
  <c r="W292" i="2"/>
  <c r="X292" i="2" s="1"/>
  <c r="W481" i="2"/>
  <c r="X481" i="2" s="1"/>
  <c r="W362" i="2"/>
  <c r="X362" i="2" s="1"/>
  <c r="W436" i="2"/>
  <c r="X436" i="2" s="1"/>
  <c r="W199" i="2"/>
  <c r="X199" i="2" s="1"/>
  <c r="W269" i="2"/>
  <c r="X269" i="2" s="1"/>
  <c r="W149" i="2"/>
  <c r="X149" i="2" s="1"/>
  <c r="W160" i="2"/>
  <c r="X160" i="2" s="1"/>
  <c r="W288" i="2"/>
  <c r="X288" i="2" s="1"/>
  <c r="W315" i="2"/>
  <c r="X315" i="2" s="1"/>
  <c r="W277" i="2"/>
  <c r="X277" i="2" s="1"/>
  <c r="W91" i="2"/>
  <c r="X91" i="2" s="1"/>
  <c r="W181" i="2"/>
  <c r="X181" i="2" s="1"/>
  <c r="W309" i="2"/>
  <c r="X309" i="2" s="1"/>
  <c r="W217" i="2"/>
  <c r="X217" i="2" s="1"/>
  <c r="W240" i="2"/>
  <c r="X240" i="2" s="1"/>
  <c r="W81" i="2"/>
  <c r="X81" i="2" s="1"/>
  <c r="W195" i="2"/>
  <c r="X195" i="2" s="1"/>
  <c r="W241" i="2"/>
  <c r="X241" i="2" s="1"/>
  <c r="W117" i="2"/>
  <c r="X117" i="2" s="1"/>
  <c r="W80" i="2"/>
  <c r="X80" i="2" s="1"/>
  <c r="W72" i="2"/>
  <c r="X72" i="2" s="1"/>
  <c r="W158" i="2"/>
  <c r="X158" i="2" s="1"/>
  <c r="W110" i="2"/>
  <c r="X110" i="2" s="1"/>
  <c r="W483" i="2"/>
  <c r="X483" i="2" s="1"/>
  <c r="W103" i="2"/>
  <c r="X103" i="2" s="1"/>
  <c r="X662" i="2"/>
  <c r="X690" i="2"/>
  <c r="X502" i="2"/>
  <c r="X448" i="2"/>
  <c r="X111" i="2"/>
  <c r="X667" i="2"/>
  <c r="X506" i="2"/>
  <c r="X221" i="2"/>
  <c r="X248" i="2"/>
  <c r="T990" i="2"/>
  <c r="T989" i="2"/>
  <c r="T988" i="2"/>
  <c r="T987" i="2"/>
  <c r="T986" i="2"/>
  <c r="T985" i="2"/>
  <c r="T984" i="2"/>
  <c r="T983" i="2"/>
  <c r="T982" i="2"/>
  <c r="T85" i="2"/>
  <c r="T101" i="2"/>
  <c r="T52" i="2"/>
  <c r="T64" i="2"/>
  <c r="T713" i="2"/>
  <c r="T229" i="2"/>
  <c r="T763" i="2"/>
  <c r="T228" i="2"/>
  <c r="T688" i="2"/>
  <c r="T662" i="2"/>
  <c r="T419" i="2"/>
  <c r="T622" i="2"/>
  <c r="T718" i="2"/>
  <c r="T690" i="2"/>
  <c r="T772" i="2"/>
  <c r="T561" i="2"/>
  <c r="T673" i="2"/>
  <c r="T267" i="2"/>
  <c r="T367" i="2"/>
  <c r="T741" i="2"/>
  <c r="T441" i="2"/>
  <c r="T555" i="2"/>
  <c r="T777" i="2"/>
  <c r="T502" i="2"/>
  <c r="T410" i="2"/>
  <c r="T448" i="2"/>
  <c r="T227" i="2"/>
  <c r="T442" i="2"/>
  <c r="T76" i="2"/>
  <c r="T177" i="2"/>
  <c r="T369" i="2"/>
  <c r="T134" i="2"/>
  <c r="T438" i="2"/>
  <c r="T153" i="2"/>
  <c r="T111" i="2"/>
  <c r="T66" i="2"/>
  <c r="T47" i="2"/>
  <c r="T116" i="2"/>
  <c r="T43" i="2"/>
  <c r="T27" i="2"/>
  <c r="T57" i="2"/>
  <c r="T26" i="2"/>
  <c r="T48" i="2"/>
  <c r="T29" i="2"/>
  <c r="T22" i="2"/>
  <c r="T18" i="2"/>
  <c r="T155" i="2"/>
  <c r="T767" i="2"/>
  <c r="T591" i="2"/>
  <c r="T701" i="2"/>
  <c r="T667" i="2"/>
  <c r="T716" i="2"/>
  <c r="T444" i="2"/>
  <c r="T292" i="2"/>
  <c r="T481" i="2"/>
  <c r="T362" i="2"/>
  <c r="T311" i="2"/>
  <c r="T506" i="2"/>
  <c r="T436" i="2"/>
  <c r="T199" i="2"/>
  <c r="T269" i="2"/>
  <c r="T149" i="2"/>
  <c r="T304" i="2"/>
  <c r="T160" i="2"/>
  <c r="T674" i="2"/>
  <c r="T288" i="2"/>
  <c r="T315" i="2"/>
  <c r="T277" i="2"/>
  <c r="T91" i="2"/>
  <c r="T181" i="2"/>
  <c r="T260" i="2"/>
  <c r="T309" i="2"/>
  <c r="T217" i="2"/>
  <c r="T417" i="2"/>
  <c r="T196" i="2"/>
  <c r="T310" i="2"/>
  <c r="T240" i="2"/>
  <c r="T81" i="2"/>
  <c r="T195" i="2"/>
  <c r="T241" i="2"/>
  <c r="T117" i="2"/>
  <c r="T80" i="2"/>
  <c r="T72" i="2"/>
  <c r="T158" i="2"/>
  <c r="T110" i="2"/>
  <c r="T483" i="2"/>
  <c r="T221" i="2"/>
  <c r="T103" i="2"/>
  <c r="T248" i="2"/>
  <c r="X982" i="2"/>
  <c r="X983" i="2"/>
  <c r="X984" i="2"/>
  <c r="X985" i="2"/>
  <c r="X986" i="2"/>
  <c r="X987" i="2"/>
  <c r="X988" i="2"/>
  <c r="X989" i="2"/>
  <c r="X990" i="2"/>
  <c r="H982" i="2"/>
  <c r="H983" i="2"/>
  <c r="H984" i="2"/>
  <c r="H985" i="2"/>
  <c r="H986" i="2"/>
  <c r="H987" i="2"/>
  <c r="H988" i="2"/>
  <c r="H989" i="2"/>
  <c r="H990" i="2"/>
  <c r="A982" i="2"/>
  <c r="A983" i="2"/>
  <c r="A984" i="2"/>
  <c r="A985" i="2"/>
  <c r="A986" i="2"/>
  <c r="A987" i="2"/>
  <c r="A988" i="2"/>
  <c r="A989" i="2"/>
  <c r="A990" i="2"/>
  <c r="X64" i="2"/>
  <c r="X52" i="2"/>
  <c r="X101" i="2"/>
  <c r="X85" i="2"/>
  <c r="H64" i="2"/>
  <c r="H52" i="2"/>
  <c r="H101" i="2"/>
  <c r="H85" i="2"/>
  <c r="A64" i="2"/>
  <c r="A52" i="2"/>
  <c r="A101" i="2"/>
  <c r="A85" i="2"/>
  <c r="X310" i="2"/>
  <c r="X196" i="2"/>
  <c r="X417" i="2"/>
  <c r="X260" i="2"/>
  <c r="X674" i="2"/>
  <c r="X304" i="2"/>
  <c r="X311" i="2"/>
  <c r="X767" i="2"/>
  <c r="X116" i="2"/>
  <c r="X438" i="2"/>
  <c r="X369" i="2"/>
  <c r="X777" i="2"/>
  <c r="X441" i="2"/>
  <c r="X772" i="2"/>
  <c r="X688" i="2"/>
  <c r="X228" i="2"/>
  <c r="X713" i="2"/>
  <c r="A248" i="2"/>
  <c r="A103" i="2"/>
  <c r="A221" i="2"/>
  <c r="A483" i="2"/>
  <c r="A110" i="2"/>
  <c r="A158" i="2"/>
  <c r="A72" i="2"/>
  <c r="A80" i="2"/>
  <c r="A117" i="2"/>
  <c r="A241" i="2"/>
  <c r="A195" i="2"/>
  <c r="A81" i="2"/>
  <c r="A240" i="2"/>
  <c r="A310" i="2"/>
  <c r="A196" i="2"/>
  <c r="A417" i="2"/>
  <c r="A217" i="2"/>
  <c r="A309" i="2"/>
  <c r="A260" i="2"/>
  <c r="A181" i="2"/>
  <c r="A91" i="2"/>
  <c r="A277" i="2"/>
  <c r="A315" i="2"/>
  <c r="A288" i="2"/>
  <c r="A674" i="2"/>
  <c r="A160" i="2"/>
  <c r="A304" i="2"/>
  <c r="A149" i="2"/>
  <c r="A269" i="2"/>
  <c r="A199" i="2"/>
  <c r="A436" i="2"/>
  <c r="A506" i="2"/>
  <c r="A311" i="2"/>
  <c r="A362" i="2"/>
  <c r="A481" i="2"/>
  <c r="A292" i="2"/>
  <c r="A444" i="2"/>
  <c r="A716" i="2"/>
  <c r="A667" i="2"/>
  <c r="A701" i="2"/>
  <c r="A591" i="2"/>
  <c r="A767" i="2"/>
  <c r="A155" i="2"/>
  <c r="A18" i="2"/>
  <c r="A22" i="2"/>
  <c r="A29" i="2"/>
  <c r="A48" i="2"/>
  <c r="A26" i="2"/>
  <c r="A57" i="2"/>
  <c r="A27" i="2"/>
  <c r="A43" i="2"/>
  <c r="A116" i="2"/>
  <c r="A47" i="2"/>
  <c r="A66" i="2"/>
  <c r="A111" i="2"/>
  <c r="A153" i="2"/>
  <c r="A438" i="2"/>
  <c r="A134" i="2"/>
  <c r="A369" i="2"/>
  <c r="A177" i="2"/>
  <c r="A76" i="2"/>
  <c r="A442" i="2"/>
  <c r="A227" i="2"/>
  <c r="A448" i="2"/>
  <c r="A410" i="2"/>
  <c r="A502" i="2"/>
  <c r="A777" i="2"/>
  <c r="A555" i="2"/>
  <c r="A441" i="2"/>
  <c r="A741" i="2"/>
  <c r="A367" i="2"/>
  <c r="A267" i="2"/>
  <c r="A673" i="2"/>
  <c r="A561" i="2"/>
  <c r="A772" i="2"/>
  <c r="A690" i="2"/>
  <c r="A718" i="2"/>
  <c r="A622" i="2"/>
  <c r="A419" i="2"/>
  <c r="A662" i="2"/>
  <c r="A688" i="2"/>
  <c r="A228" i="2"/>
  <c r="A763" i="2"/>
  <c r="A229" i="2"/>
  <c r="A713" i="2"/>
  <c r="H248" i="2"/>
  <c r="H103" i="2"/>
  <c r="H221" i="2"/>
  <c r="H483" i="2"/>
  <c r="H110" i="2"/>
  <c r="H158" i="2"/>
  <c r="H72" i="2"/>
  <c r="H80" i="2"/>
  <c r="H117" i="2"/>
  <c r="H241" i="2"/>
  <c r="H195" i="2"/>
  <c r="H81" i="2"/>
  <c r="H240" i="2"/>
  <c r="H310" i="2"/>
  <c r="H196" i="2"/>
  <c r="H417" i="2"/>
  <c r="H217" i="2"/>
  <c r="H309" i="2"/>
  <c r="H260" i="2"/>
  <c r="H181" i="2"/>
  <c r="H91" i="2"/>
  <c r="H277" i="2"/>
  <c r="H315" i="2"/>
  <c r="H288" i="2"/>
  <c r="H674" i="2"/>
  <c r="H160" i="2"/>
  <c r="H304" i="2"/>
  <c r="H149" i="2"/>
  <c r="H269" i="2"/>
  <c r="H199" i="2"/>
  <c r="H436" i="2"/>
  <c r="H506" i="2"/>
  <c r="H311" i="2"/>
  <c r="H362" i="2"/>
  <c r="H481" i="2"/>
  <c r="H292" i="2"/>
  <c r="H444" i="2"/>
  <c r="H716" i="2"/>
  <c r="H667" i="2"/>
  <c r="H701" i="2"/>
  <c r="H591" i="2"/>
  <c r="H767" i="2"/>
  <c r="H155" i="2"/>
  <c r="H18" i="2"/>
  <c r="H22" i="2"/>
  <c r="H29" i="2"/>
  <c r="H48" i="2"/>
  <c r="H26" i="2"/>
  <c r="H57" i="2"/>
  <c r="H27" i="2"/>
  <c r="H43" i="2"/>
  <c r="H116" i="2"/>
  <c r="H47" i="2"/>
  <c r="H66" i="2"/>
  <c r="H111" i="2"/>
  <c r="H153" i="2"/>
  <c r="H438" i="2"/>
  <c r="H134" i="2"/>
  <c r="H369" i="2"/>
  <c r="H177" i="2"/>
  <c r="H76" i="2"/>
  <c r="H442" i="2"/>
  <c r="H227" i="2"/>
  <c r="H448" i="2"/>
  <c r="H410" i="2"/>
  <c r="H502" i="2"/>
  <c r="H777" i="2"/>
  <c r="H555" i="2"/>
  <c r="H441" i="2"/>
  <c r="H741" i="2"/>
  <c r="H367" i="2"/>
  <c r="H267" i="2"/>
  <c r="H673" i="2"/>
  <c r="H561" i="2"/>
  <c r="H772" i="2"/>
  <c r="H690" i="2"/>
  <c r="H718" i="2"/>
  <c r="H622" i="2"/>
  <c r="H419" i="2"/>
  <c r="H662" i="2"/>
  <c r="H688" i="2"/>
  <c r="H228" i="2"/>
  <c r="H763" i="2"/>
  <c r="H229" i="2"/>
  <c r="H713" i="2"/>
  <c r="A7" i="2"/>
  <c r="X7" i="2"/>
  <c r="X981" i="2"/>
  <c r="X6" i="2"/>
  <c r="X5" i="2"/>
  <c r="X4" i="2"/>
  <c r="X176" i="2"/>
  <c r="X79" i="2"/>
  <c r="X300" i="2"/>
  <c r="X3" i="2"/>
  <c r="X2" i="2"/>
  <c r="X212" i="2"/>
  <c r="X980" i="2"/>
  <c r="X592" i="2"/>
  <c r="X979" i="2"/>
  <c r="X180" i="2"/>
  <c r="X197" i="2"/>
  <c r="X978" i="2"/>
  <c r="X977" i="2"/>
  <c r="X976" i="2"/>
  <c r="X975" i="2"/>
  <c r="X426" i="2"/>
  <c r="X974" i="2"/>
  <c r="X779" i="2"/>
  <c r="X973" i="2"/>
  <c r="X638" i="2"/>
  <c r="X326" i="2"/>
  <c r="X972" i="2"/>
  <c r="X971" i="2"/>
  <c r="X970" i="2"/>
  <c r="X969" i="2"/>
  <c r="X775" i="2"/>
  <c r="X253" i="2"/>
  <c r="X968" i="2"/>
  <c r="X781" i="2"/>
  <c r="X967" i="2"/>
  <c r="X751" i="2"/>
  <c r="X776" i="2"/>
  <c r="X966" i="2"/>
  <c r="X965" i="2"/>
  <c r="X778" i="2"/>
  <c r="X964" i="2"/>
  <c r="X963" i="2"/>
  <c r="X644" i="2"/>
  <c r="X780" i="2"/>
  <c r="X624" i="2"/>
  <c r="X500" i="2"/>
  <c r="X371" i="2"/>
  <c r="X352" i="2"/>
  <c r="X297" i="2"/>
  <c r="X962" i="2"/>
  <c r="X961" i="2"/>
  <c r="X960" i="2"/>
  <c r="X453" i="2"/>
  <c r="X959" i="2"/>
  <c r="X156" i="2"/>
  <c r="X255" i="2"/>
  <c r="X358" i="2"/>
  <c r="X127" i="2"/>
  <c r="X45" i="2"/>
  <c r="X8" i="2"/>
  <c r="X9" i="2"/>
  <c r="X11" i="2"/>
  <c r="X12" i="2"/>
  <c r="X14" i="2"/>
  <c r="X15" i="2"/>
  <c r="X16" i="2"/>
  <c r="X19" i="2"/>
  <c r="X20" i="2"/>
  <c r="X21" i="2"/>
  <c r="X23" i="2"/>
  <c r="X24" i="2"/>
  <c r="X25" i="2"/>
  <c r="X28" i="2"/>
  <c r="X31" i="2"/>
  <c r="X34" i="2"/>
  <c r="X38" i="2"/>
  <c r="X39" i="2"/>
  <c r="X40" i="2"/>
  <c r="X41" i="2"/>
  <c r="X44" i="2"/>
  <c r="X46" i="2"/>
  <c r="X49" i="2"/>
  <c r="X50" i="2"/>
  <c r="X51" i="2"/>
  <c r="X53" i="2"/>
  <c r="X54" i="2"/>
  <c r="X55" i="2"/>
  <c r="X56" i="2"/>
  <c r="X58" i="2"/>
  <c r="X60" i="2"/>
  <c r="X61" i="2"/>
  <c r="X62" i="2"/>
  <c r="X63" i="2"/>
  <c r="X68" i="2"/>
  <c r="X69" i="2"/>
  <c r="X70" i="2"/>
  <c r="X71" i="2"/>
  <c r="X73" i="2"/>
  <c r="X75" i="2"/>
  <c r="X78" i="2"/>
  <c r="X82" i="2"/>
  <c r="X83" i="2"/>
  <c r="X84" i="2"/>
  <c r="X87" i="2"/>
  <c r="X88" i="2"/>
  <c r="X89" i="2"/>
  <c r="X90" i="2"/>
  <c r="X92" i="2"/>
  <c r="X93" i="2"/>
  <c r="X94" i="2"/>
  <c r="X95" i="2"/>
  <c r="X96" i="2"/>
  <c r="X97" i="2"/>
  <c r="X98" i="2"/>
  <c r="X99" i="2"/>
  <c r="X100" i="2"/>
  <c r="X102" i="2"/>
  <c r="X104" i="2"/>
  <c r="X105" i="2"/>
  <c r="X107" i="2"/>
  <c r="X108" i="2"/>
  <c r="X175" i="2"/>
  <c r="X186" i="2"/>
  <c r="X189" i="2"/>
  <c r="X112" i="2"/>
  <c r="X113" i="2"/>
  <c r="X193" i="2"/>
  <c r="X192" i="2"/>
  <c r="X194" i="2"/>
  <c r="X114" i="2"/>
  <c r="X115" i="2"/>
  <c r="X184" i="2"/>
  <c r="X118" i="2"/>
  <c r="X119" i="2"/>
  <c r="X120" i="2"/>
  <c r="X122" i="2"/>
  <c r="X123" i="2"/>
  <c r="X124" i="2"/>
  <c r="X125" i="2"/>
  <c r="X126" i="2"/>
  <c r="X206" i="2"/>
  <c r="X128" i="2"/>
  <c r="X130" i="2"/>
  <c r="X216" i="2"/>
  <c r="X131" i="2"/>
  <c r="X132" i="2"/>
  <c r="X133" i="2"/>
  <c r="X224" i="2"/>
  <c r="X135" i="2"/>
  <c r="X136" i="2"/>
  <c r="X138" i="2"/>
  <c r="X139" i="2"/>
  <c r="X140" i="2"/>
  <c r="X141" i="2"/>
  <c r="X142" i="2"/>
  <c r="X144" i="2"/>
  <c r="X145" i="2"/>
  <c r="X146" i="2"/>
  <c r="X148" i="2"/>
  <c r="X226" i="2"/>
  <c r="X150" i="2"/>
  <c r="X151" i="2"/>
  <c r="X152" i="2"/>
  <c r="X249" i="2"/>
  <c r="X154" i="2"/>
  <c r="X157" i="2"/>
  <c r="X159" i="2"/>
  <c r="X161" i="2"/>
  <c r="X162" i="2"/>
  <c r="X163" i="2"/>
  <c r="X164" i="2"/>
  <c r="X166" i="2"/>
  <c r="X167" i="2"/>
  <c r="X259" i="2"/>
  <c r="X168" i="2"/>
  <c r="X169" i="2"/>
  <c r="X170" i="2"/>
  <c r="X171" i="2"/>
  <c r="X262" i="2"/>
  <c r="X173" i="2"/>
  <c r="X174" i="2"/>
  <c r="X178" i="2"/>
  <c r="X270" i="2"/>
  <c r="X183" i="2"/>
  <c r="X185" i="2"/>
  <c r="X187" i="2"/>
  <c r="X188" i="2"/>
  <c r="X191" i="2"/>
  <c r="X190" i="2"/>
  <c r="X201" i="2"/>
  <c r="X202" i="2"/>
  <c r="X203" i="2"/>
  <c r="X205" i="2"/>
  <c r="X207" i="2"/>
  <c r="X208" i="2"/>
  <c r="X209" i="2"/>
  <c r="X211" i="2"/>
  <c r="X215" i="2"/>
  <c r="X218" i="2"/>
  <c r="X219" i="2"/>
  <c r="X220" i="2"/>
  <c r="X329" i="2"/>
  <c r="X223" i="2"/>
  <c r="X347" i="2"/>
  <c r="X350" i="2"/>
  <c r="X231" i="2"/>
  <c r="X232" i="2"/>
  <c r="X233" i="2"/>
  <c r="X234" i="2"/>
  <c r="X235" i="2"/>
  <c r="X239" i="2"/>
  <c r="X238" i="2"/>
  <c r="X237" i="2"/>
  <c r="X243" i="2"/>
  <c r="X244" i="2"/>
  <c r="X245" i="2"/>
  <c r="X246" i="2"/>
  <c r="X247" i="2"/>
  <c r="X250" i="2"/>
  <c r="X252" i="2"/>
  <c r="X254" i="2"/>
  <c r="X363" i="2"/>
  <c r="X256" i="2"/>
  <c r="X257" i="2"/>
  <c r="X258" i="2"/>
  <c r="X359" i="2"/>
  <c r="X264" i="2"/>
  <c r="X266" i="2"/>
  <c r="X268" i="2"/>
  <c r="X271" i="2"/>
  <c r="X273" i="2"/>
  <c r="X274" i="2"/>
  <c r="X276" i="2"/>
  <c r="X281" i="2"/>
  <c r="X280" i="2"/>
  <c r="X279" i="2"/>
  <c r="X278" i="2"/>
  <c r="X282" i="2"/>
  <c r="X283" i="2"/>
  <c r="X284" i="2"/>
  <c r="X285" i="2"/>
  <c r="X380" i="2"/>
  <c r="X286" i="2"/>
  <c r="X287" i="2"/>
  <c r="X390" i="2"/>
  <c r="X289" i="2"/>
  <c r="X291" i="2"/>
  <c r="X290" i="2"/>
  <c r="X399" i="2"/>
  <c r="X401" i="2"/>
  <c r="X293" i="2"/>
  <c r="X294" i="2"/>
  <c r="X296" i="2"/>
  <c r="X299" i="2"/>
  <c r="X302" i="2"/>
  <c r="X303" i="2"/>
  <c r="X306" i="2"/>
  <c r="X307" i="2"/>
  <c r="X308" i="2"/>
  <c r="X312" i="2"/>
  <c r="X313" i="2"/>
  <c r="X314" i="2"/>
  <c r="X316" i="2"/>
  <c r="X317" i="2"/>
  <c r="X318" i="2"/>
  <c r="X319" i="2"/>
  <c r="X320" i="2"/>
  <c r="X321" i="2"/>
  <c r="X322" i="2"/>
  <c r="X323" i="2"/>
  <c r="X324" i="2"/>
  <c r="X325" i="2"/>
  <c r="X327" i="2"/>
  <c r="X328" i="2"/>
  <c r="X330" i="2"/>
  <c r="X332" i="2"/>
  <c r="X440" i="2"/>
  <c r="X336" i="2"/>
  <c r="X335" i="2"/>
  <c r="X339" i="2"/>
  <c r="X342" i="2"/>
  <c r="X341" i="2"/>
  <c r="X340" i="2"/>
  <c r="X346" i="2"/>
  <c r="X345" i="2"/>
  <c r="X349" i="2"/>
  <c r="X351" i="2"/>
  <c r="X353" i="2"/>
  <c r="X446" i="2"/>
  <c r="X355" i="2"/>
  <c r="X357" i="2"/>
  <c r="X360" i="2"/>
  <c r="X361" i="2"/>
  <c r="X459" i="2"/>
  <c r="X365" i="2"/>
  <c r="X366" i="2"/>
  <c r="X368" i="2"/>
  <c r="X370" i="2"/>
  <c r="X372" i="2"/>
  <c r="X374" i="2"/>
  <c r="X375" i="2"/>
  <c r="X376" i="2"/>
  <c r="X377" i="2"/>
  <c r="X379" i="2"/>
  <c r="X381" i="2"/>
  <c r="X382" i="2"/>
  <c r="X384" i="2"/>
  <c r="X385" i="2"/>
  <c r="X387" i="2"/>
  <c r="X388" i="2"/>
  <c r="X389" i="2"/>
  <c r="X392" i="2"/>
  <c r="X394" i="2"/>
  <c r="X395" i="2"/>
  <c r="X398" i="2"/>
  <c r="X397" i="2"/>
  <c r="X400" i="2"/>
  <c r="X402" i="2"/>
  <c r="X403" i="2"/>
  <c r="X404" i="2"/>
  <c r="X405" i="2"/>
  <c r="X406" i="2"/>
  <c r="X408" i="2"/>
  <c r="X412" i="2"/>
  <c r="X415" i="2"/>
  <c r="X416" i="2"/>
  <c r="X418" i="2"/>
  <c r="X499" i="2"/>
  <c r="X422" i="2"/>
  <c r="X424" i="2"/>
  <c r="X427" i="2"/>
  <c r="X429" i="2"/>
  <c r="X430" i="2"/>
  <c r="X516" i="2"/>
  <c r="X432" i="2"/>
  <c r="X435" i="2"/>
  <c r="X530" i="2"/>
  <c r="X437" i="2"/>
  <c r="X533" i="2"/>
  <c r="X443" i="2"/>
  <c r="X445" i="2"/>
  <c r="X447" i="2"/>
  <c r="X450" i="2"/>
  <c r="X454" i="2"/>
  <c r="X455" i="2"/>
  <c r="X457" i="2"/>
  <c r="X458" i="2"/>
  <c r="X558" i="2"/>
  <c r="X460" i="2"/>
  <c r="X462" i="2"/>
  <c r="X463" i="2"/>
  <c r="X464" i="2"/>
  <c r="X465" i="2"/>
  <c r="X467" i="2"/>
  <c r="X468" i="2"/>
  <c r="X469" i="2"/>
  <c r="X470" i="2"/>
  <c r="X472" i="2"/>
  <c r="X471" i="2"/>
  <c r="X473" i="2"/>
  <c r="X474" i="2"/>
  <c r="X479" i="2"/>
  <c r="X480" i="2"/>
  <c r="X482" i="2"/>
  <c r="X484" i="2"/>
  <c r="X486" i="2"/>
  <c r="X487" i="2"/>
  <c r="X488" i="2"/>
  <c r="X489" i="2"/>
  <c r="X490" i="2"/>
  <c r="X492" i="2"/>
  <c r="X494" i="2"/>
  <c r="X493" i="2"/>
  <c r="X495" i="2"/>
  <c r="X496" i="2"/>
  <c r="X587" i="2"/>
  <c r="X497" i="2"/>
  <c r="X501" i="2"/>
  <c r="X503" i="2"/>
  <c r="X504" i="2"/>
  <c r="X505" i="2"/>
  <c r="X507" i="2"/>
  <c r="X508" i="2"/>
  <c r="X509" i="2"/>
  <c r="X511" i="2"/>
  <c r="X512" i="2"/>
  <c r="X513" i="2"/>
  <c r="X514" i="2"/>
  <c r="X597" i="2"/>
  <c r="X517" i="2"/>
  <c r="X518" i="2"/>
  <c r="X519" i="2"/>
  <c r="X520" i="2"/>
  <c r="X526" i="2"/>
  <c r="X525" i="2"/>
  <c r="X524" i="2"/>
  <c r="X523" i="2"/>
  <c r="X522" i="2"/>
  <c r="X521" i="2"/>
  <c r="X528" i="2"/>
  <c r="X527" i="2"/>
  <c r="X529" i="2"/>
  <c r="X532" i="2"/>
  <c r="X534" i="2"/>
  <c r="X535" i="2"/>
  <c r="X536" i="2"/>
  <c r="X537" i="2"/>
  <c r="X539" i="2"/>
  <c r="X538" i="2"/>
  <c r="X540" i="2"/>
  <c r="X541" i="2"/>
  <c r="X543" i="2"/>
  <c r="X542" i="2"/>
  <c r="X544" i="2"/>
  <c r="X613" i="2"/>
  <c r="X545" i="2"/>
  <c r="X546" i="2"/>
  <c r="X547" i="2"/>
  <c r="X549" i="2"/>
  <c r="X550" i="2"/>
  <c r="X551" i="2"/>
  <c r="X552" i="2"/>
  <c r="X554" i="2"/>
  <c r="X556" i="2"/>
  <c r="X557" i="2"/>
  <c r="X621" i="2"/>
  <c r="X560" i="2"/>
  <c r="X562" i="2"/>
  <c r="X563" i="2"/>
  <c r="X564" i="2"/>
  <c r="X565" i="2"/>
  <c r="X566" i="2"/>
  <c r="X567" i="2"/>
  <c r="X568" i="2"/>
  <c r="X569" i="2"/>
  <c r="X571" i="2"/>
  <c r="X572" i="2"/>
  <c r="X573" i="2"/>
  <c r="X637" i="2"/>
  <c r="X574" i="2"/>
  <c r="X578" i="2"/>
  <c r="X577" i="2"/>
  <c r="X576" i="2"/>
  <c r="X579" i="2"/>
  <c r="X581" i="2"/>
  <c r="X580" i="2"/>
  <c r="X582" i="2"/>
  <c r="X584" i="2"/>
  <c r="X585" i="2"/>
  <c r="X586" i="2"/>
  <c r="X588" i="2"/>
  <c r="X590" i="2"/>
  <c r="X593" i="2"/>
  <c r="X594" i="2"/>
  <c r="X595" i="2"/>
  <c r="X596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2" i="2"/>
  <c r="X615" i="2"/>
  <c r="X616" i="2"/>
  <c r="X617" i="2"/>
  <c r="X618" i="2"/>
  <c r="X619" i="2"/>
  <c r="X620" i="2"/>
  <c r="X665" i="2"/>
  <c r="X623" i="2"/>
  <c r="X626" i="2"/>
  <c r="X628" i="2"/>
  <c r="X629" i="2"/>
  <c r="X631" i="2"/>
  <c r="X632" i="2"/>
  <c r="X634" i="2"/>
  <c r="X635" i="2"/>
  <c r="X636" i="2"/>
  <c r="X639" i="2"/>
  <c r="X640" i="2"/>
  <c r="X641" i="2"/>
  <c r="X681" i="2"/>
  <c r="X642" i="2"/>
  <c r="X643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9" i="2"/>
  <c r="X660" i="2"/>
  <c r="X661" i="2"/>
  <c r="X663" i="2"/>
  <c r="X666" i="2"/>
  <c r="X668" i="2"/>
  <c r="X670" i="2"/>
  <c r="X669" i="2"/>
  <c r="X675" i="2"/>
  <c r="X676" i="2"/>
  <c r="X677" i="2"/>
  <c r="X678" i="2"/>
  <c r="X680" i="2"/>
  <c r="X682" i="2"/>
  <c r="X683" i="2"/>
  <c r="X684" i="2"/>
  <c r="X686" i="2"/>
  <c r="X717" i="2"/>
  <c r="X689" i="2"/>
  <c r="X715" i="2"/>
  <c r="X691" i="2"/>
  <c r="X692" i="2"/>
  <c r="X695" i="2"/>
  <c r="X697" i="2"/>
  <c r="X698" i="2"/>
  <c r="X699" i="2"/>
  <c r="X700" i="2"/>
  <c r="X702" i="2"/>
  <c r="X705" i="2"/>
  <c r="X706" i="2"/>
  <c r="X707" i="2"/>
  <c r="X708" i="2"/>
  <c r="X709" i="2"/>
  <c r="X710" i="2"/>
  <c r="X711" i="2"/>
  <c r="X712" i="2"/>
  <c r="X714" i="2"/>
  <c r="X722" i="2"/>
  <c r="X724" i="2"/>
  <c r="X725" i="2"/>
  <c r="X726" i="2"/>
  <c r="X736" i="2"/>
  <c r="X728" i="2"/>
  <c r="X729" i="2"/>
  <c r="X731" i="2"/>
  <c r="X732" i="2"/>
  <c r="X733" i="2"/>
  <c r="X734" i="2"/>
  <c r="X735" i="2"/>
  <c r="X738" i="2"/>
  <c r="X739" i="2"/>
  <c r="X740" i="2"/>
  <c r="X743" i="2"/>
  <c r="X744" i="2"/>
  <c r="X745" i="2"/>
  <c r="X746" i="2"/>
  <c r="X748" i="2"/>
  <c r="X750" i="2"/>
  <c r="X752" i="2"/>
  <c r="X753" i="2"/>
  <c r="X754" i="2"/>
  <c r="X755" i="2"/>
  <c r="X756" i="2"/>
  <c r="X757" i="2"/>
  <c r="X758" i="2"/>
  <c r="X760" i="2"/>
  <c r="X761" i="2"/>
  <c r="X762" i="2"/>
  <c r="X764" i="2"/>
  <c r="X765" i="2"/>
  <c r="X766" i="2"/>
  <c r="X768" i="2"/>
  <c r="X769" i="2"/>
  <c r="X770" i="2"/>
  <c r="X771" i="2"/>
  <c r="X774" i="2"/>
  <c r="X694" i="2"/>
  <c r="X251" i="2"/>
  <c r="X354" i="2"/>
  <c r="X703" i="2"/>
  <c r="X275" i="2"/>
  <c r="X773" i="2"/>
  <c r="X958" i="2"/>
  <c r="X957" i="2"/>
  <c r="X956" i="2"/>
  <c r="X955" i="2"/>
  <c r="X954" i="2"/>
  <c r="X953" i="2"/>
  <c r="X952" i="2"/>
  <c r="X951" i="2"/>
  <c r="X950" i="2"/>
  <c r="X949" i="2"/>
  <c r="X948" i="2"/>
  <c r="X947" i="2"/>
  <c r="X946" i="2"/>
  <c r="X945" i="2"/>
  <c r="X944" i="2"/>
  <c r="X943" i="2"/>
  <c r="X942" i="2"/>
  <c r="X941" i="2"/>
  <c r="X940" i="2"/>
  <c r="X939" i="2"/>
  <c r="X938" i="2"/>
  <c r="X937" i="2"/>
  <c r="X936" i="2"/>
  <c r="X475" i="2"/>
  <c r="X658" i="2"/>
  <c r="X478" i="2"/>
  <c r="X476" i="2"/>
  <c r="X261" i="2"/>
  <c r="X693" i="2"/>
  <c r="X589" i="2"/>
  <c r="X331" i="2"/>
  <c r="X935" i="2"/>
  <c r="X934" i="2"/>
  <c r="X485" i="2"/>
  <c r="X407" i="2"/>
  <c r="X611" i="2"/>
  <c r="X933" i="2"/>
  <c r="X411" i="2"/>
  <c r="X932" i="2"/>
  <c r="X553" i="2"/>
  <c r="X931" i="2"/>
  <c r="X409" i="2"/>
  <c r="X930" i="2"/>
  <c r="X929" i="2"/>
  <c r="X928" i="2"/>
  <c r="X927" i="2"/>
  <c r="X343" i="2"/>
  <c r="X65" i="2"/>
  <c r="X687" i="2"/>
  <c r="X378" i="2"/>
  <c r="X926" i="2"/>
  <c r="X925" i="2"/>
  <c r="X559" i="2"/>
  <c r="X924" i="2"/>
  <c r="X433" i="2"/>
  <c r="X923" i="2"/>
  <c r="X439" i="2"/>
  <c r="X17" i="2"/>
  <c r="X922" i="2"/>
  <c r="X337" i="2"/>
  <c r="X921" i="2"/>
  <c r="X575" i="2"/>
  <c r="X920" i="2"/>
  <c r="X344" i="2"/>
  <c r="X334" i="2"/>
  <c r="X919" i="2"/>
  <c r="X348" i="2"/>
  <c r="X918" i="2"/>
  <c r="X333" i="2"/>
  <c r="X338" i="2"/>
  <c r="X917" i="2"/>
  <c r="X420" i="2"/>
  <c r="X916" i="2"/>
  <c r="X477" i="2"/>
  <c r="X434" i="2"/>
  <c r="X915" i="2"/>
  <c r="X510" i="2"/>
  <c r="X914" i="2"/>
  <c r="X913" i="2"/>
  <c r="X13" i="2"/>
  <c r="X912" i="2"/>
  <c r="X106" i="2"/>
  <c r="X730" i="2"/>
  <c r="X723" i="2"/>
  <c r="X911" i="2"/>
  <c r="X910" i="2"/>
  <c r="X909" i="2"/>
  <c r="X685" i="2"/>
  <c r="X908" i="2"/>
  <c r="X907" i="2"/>
  <c r="X906" i="2"/>
  <c r="X737" i="2"/>
  <c r="X905" i="2"/>
  <c r="X904" i="2"/>
  <c r="X903" i="2"/>
  <c r="X902" i="2"/>
  <c r="X901" i="2"/>
  <c r="X900" i="2"/>
  <c r="X899" i="2"/>
  <c r="X898" i="2"/>
  <c r="X897" i="2"/>
  <c r="X896" i="2"/>
  <c r="X895" i="2"/>
  <c r="X894" i="2"/>
  <c r="X893" i="2"/>
  <c r="X892" i="2"/>
  <c r="X891" i="2"/>
  <c r="X890" i="2"/>
  <c r="X889" i="2"/>
  <c r="X888" i="2"/>
  <c r="X887" i="2"/>
  <c r="X886" i="2"/>
  <c r="X885" i="2"/>
  <c r="X884" i="2"/>
  <c r="X883" i="2"/>
  <c r="X391" i="2"/>
  <c r="X882" i="2"/>
  <c r="X881" i="2"/>
  <c r="X880" i="2"/>
  <c r="X74" i="2"/>
  <c r="X30" i="2"/>
  <c r="X425" i="2"/>
  <c r="X879" i="2"/>
  <c r="X878" i="2"/>
  <c r="X877" i="2"/>
  <c r="X876" i="2"/>
  <c r="X875" i="2"/>
  <c r="X874" i="2"/>
  <c r="X873" i="2"/>
  <c r="X872" i="2"/>
  <c r="X871" i="2"/>
  <c r="X870" i="2"/>
  <c r="X869" i="2"/>
  <c r="X868" i="2"/>
  <c r="X867" i="2"/>
  <c r="X866" i="2"/>
  <c r="X865" i="2"/>
  <c r="X864" i="2"/>
  <c r="X863" i="2"/>
  <c r="X862" i="2"/>
  <c r="X625" i="2"/>
  <c r="X861" i="2"/>
  <c r="X860" i="2"/>
  <c r="X720" i="2"/>
  <c r="X859" i="2"/>
  <c r="X858" i="2"/>
  <c r="X857" i="2"/>
  <c r="X856" i="2"/>
  <c r="X855" i="2"/>
  <c r="X854" i="2"/>
  <c r="X853" i="2"/>
  <c r="X852" i="2"/>
  <c r="X851" i="2"/>
  <c r="X850" i="2"/>
  <c r="X849" i="2"/>
  <c r="X848" i="2"/>
  <c r="X847" i="2"/>
  <c r="X846" i="2"/>
  <c r="X845" i="2"/>
  <c r="X844" i="2"/>
  <c r="X843" i="2"/>
  <c r="X842" i="2"/>
  <c r="X841" i="2"/>
  <c r="X840" i="2"/>
  <c r="X839" i="2"/>
  <c r="X37" i="2"/>
  <c r="X838" i="2"/>
  <c r="X837" i="2"/>
  <c r="X222" i="2"/>
  <c r="X679" i="2"/>
  <c r="X35" i="2"/>
  <c r="X836" i="2"/>
  <c r="X835" i="2"/>
  <c r="X834" i="2"/>
  <c r="X833" i="2"/>
  <c r="X832" i="2"/>
  <c r="X236" i="2"/>
  <c r="X831" i="2"/>
  <c r="X77" i="2"/>
  <c r="X830" i="2"/>
  <c r="X829" i="2"/>
  <c r="X828" i="2"/>
  <c r="X827" i="2"/>
  <c r="X826" i="2"/>
  <c r="X364" i="2"/>
  <c r="X301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49" i="2"/>
  <c r="S3" i="1"/>
  <c r="A783" i="2" l="1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711" i="2"/>
  <c r="A97" i="2"/>
  <c r="A384" i="2"/>
  <c r="A517" i="2"/>
  <c r="A661" i="2"/>
  <c r="A825" i="2"/>
  <c r="A468" i="2"/>
  <c r="A207" i="2"/>
  <c r="A463" i="2"/>
  <c r="A301" i="2"/>
  <c r="A318" i="2"/>
  <c r="A278" i="2"/>
  <c r="A294" i="2"/>
  <c r="A31" i="2"/>
  <c r="A53" i="2"/>
  <c r="A169" i="2"/>
  <c r="A135" i="2"/>
  <c r="A594" i="2"/>
  <c r="A496" i="2"/>
  <c r="A429" i="2"/>
  <c r="A364" i="2"/>
  <c r="A87" i="2"/>
  <c r="A21" i="2"/>
  <c r="A70" i="2"/>
  <c r="A71" i="2"/>
  <c r="A826" i="2"/>
  <c r="A102" i="2"/>
  <c r="A279" i="2"/>
  <c r="A827" i="2"/>
  <c r="A16" i="2"/>
  <c r="A684" i="2"/>
  <c r="A450" i="2"/>
  <c r="A695" i="2"/>
  <c r="A280" i="2"/>
  <c r="A360" i="2"/>
  <c r="A281" i="2"/>
  <c r="A28" i="2"/>
  <c r="A224" i="2"/>
  <c r="A162" i="2"/>
  <c r="A243" i="2"/>
  <c r="A765" i="2"/>
  <c r="A828" i="2"/>
  <c r="A829" i="2"/>
  <c r="A830" i="2"/>
  <c r="A118" i="2"/>
  <c r="A493" i="2"/>
  <c r="A542" i="2"/>
  <c r="A287" i="2"/>
  <c r="A237" i="2"/>
  <c r="A573" i="2"/>
  <c r="A534" i="2"/>
  <c r="A529" i="2"/>
  <c r="A142" i="2"/>
  <c r="A140" i="2"/>
  <c r="A520" i="2"/>
  <c r="A768" i="2"/>
  <c r="A77" i="2"/>
  <c r="A521" i="2"/>
  <c r="A522" i="2"/>
  <c r="A139" i="2"/>
  <c r="A509" i="2"/>
  <c r="A585" i="2"/>
  <c r="A535" i="2"/>
  <c r="A831" i="2"/>
  <c r="A540" i="2"/>
  <c r="A523" i="2"/>
  <c r="A605" i="2"/>
  <c r="A238" i="2"/>
  <c r="A527" i="2"/>
  <c r="A530" i="2"/>
  <c r="A138" i="2"/>
  <c r="A239" i="2"/>
  <c r="A494" i="2"/>
  <c r="A151" i="2"/>
  <c r="A505" i="2"/>
  <c r="A524" i="2"/>
  <c r="A236" i="2"/>
  <c r="A283" i="2"/>
  <c r="A832" i="2"/>
  <c r="A543" i="2"/>
  <c r="A532" i="2"/>
  <c r="A651" i="2"/>
  <c r="A144" i="2"/>
  <c r="A525" i="2"/>
  <c r="A833" i="2"/>
  <c r="A528" i="2"/>
  <c r="A276" i="2"/>
  <c r="A526" i="2"/>
  <c r="A285" i="2"/>
  <c r="A104" i="2"/>
  <c r="A834" i="2"/>
  <c r="A705" i="2"/>
  <c r="A314" i="2"/>
  <c r="A648" i="2"/>
  <c r="A835" i="2"/>
  <c r="A836" i="2"/>
  <c r="A35" i="2"/>
  <c r="A445" i="2"/>
  <c r="A161" i="2"/>
  <c r="A654" i="2"/>
  <c r="A490" i="2"/>
  <c r="A312" i="2"/>
  <c r="A679" i="2"/>
  <c r="A462" i="2"/>
  <c r="A123" i="2"/>
  <c r="A514" i="2"/>
  <c r="A133" i="2"/>
  <c r="A93" i="2"/>
  <c r="A146" i="2"/>
  <c r="A232" i="2"/>
  <c r="A39" i="2"/>
  <c r="A60" i="2"/>
  <c r="A136" i="2"/>
  <c r="A38" i="2"/>
  <c r="A507" i="2"/>
  <c r="A590" i="2"/>
  <c r="A677" i="2"/>
  <c r="A308" i="2"/>
  <c r="A46" i="2"/>
  <c r="A24" i="2"/>
  <c r="A152" i="2"/>
  <c r="A54" i="2"/>
  <c r="A222" i="2"/>
  <c r="A69" i="2"/>
  <c r="A167" i="2"/>
  <c r="A15" i="2"/>
  <c r="A554" i="2"/>
  <c r="A368" i="2"/>
  <c r="A634" i="2"/>
  <c r="A68" i="2"/>
  <c r="A235" i="2"/>
  <c r="A231" i="2"/>
  <c r="A20" i="2"/>
  <c r="A94" i="2"/>
  <c r="A185" i="2"/>
  <c r="A258" i="2"/>
  <c r="A766" i="2"/>
  <c r="A837" i="2"/>
  <c r="A838" i="2"/>
  <c r="A408" i="2"/>
  <c r="A45" i="2"/>
  <c r="A37" i="2"/>
  <c r="A839" i="2"/>
  <c r="A840" i="2"/>
  <c r="A841" i="2"/>
  <c r="A842" i="2"/>
  <c r="A39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732" i="2"/>
  <c r="A855" i="2"/>
  <c r="A856" i="2"/>
  <c r="A857" i="2"/>
  <c r="A858" i="2"/>
  <c r="A859" i="2"/>
  <c r="A606" i="2"/>
  <c r="A720" i="2"/>
  <c r="A860" i="2"/>
  <c r="A861" i="2"/>
  <c r="A625" i="2"/>
  <c r="A862" i="2"/>
  <c r="A863" i="2"/>
  <c r="A864" i="2"/>
  <c r="A865" i="2"/>
  <c r="A866" i="2"/>
  <c r="A867" i="2"/>
  <c r="A868" i="2"/>
  <c r="A869" i="2"/>
  <c r="A870" i="2"/>
  <c r="A738" i="2"/>
  <c r="A871" i="2"/>
  <c r="A669" i="2"/>
  <c r="A872" i="2"/>
  <c r="A873" i="2"/>
  <c r="A874" i="2"/>
  <c r="A686" i="2"/>
  <c r="A875" i="2"/>
  <c r="A876" i="2"/>
  <c r="A877" i="2"/>
  <c r="A878" i="2"/>
  <c r="A724" i="2"/>
  <c r="A731" i="2"/>
  <c r="A154" i="2"/>
  <c r="A642" i="2"/>
  <c r="A14" i="2"/>
  <c r="A12" i="2"/>
  <c r="A131" i="2"/>
  <c r="A119" i="2"/>
  <c r="A61" i="2"/>
  <c r="A538" i="2"/>
  <c r="A266" i="2"/>
  <c r="A83" i="2"/>
  <c r="A78" i="2"/>
  <c r="A73" i="2"/>
  <c r="A113" i="2"/>
  <c r="A125" i="2"/>
  <c r="A89" i="2"/>
  <c r="A107" i="2"/>
  <c r="A122" i="2"/>
  <c r="A879" i="2"/>
  <c r="A234" i="2"/>
  <c r="A187" i="2"/>
  <c r="A306" i="2"/>
  <c r="A425" i="2"/>
  <c r="A511" i="2"/>
  <c r="A233" i="2"/>
  <c r="A320" i="2"/>
  <c r="A174" i="2"/>
  <c r="A299" i="2"/>
  <c r="A250" i="2"/>
  <c r="A623" i="2"/>
  <c r="A427" i="2"/>
  <c r="A127" i="2"/>
  <c r="A568" i="2"/>
  <c r="A595" i="2"/>
  <c r="A564" i="2"/>
  <c r="A518" i="2"/>
  <c r="A726" i="2"/>
  <c r="A358" i="2"/>
  <c r="A385" i="2"/>
  <c r="A479" i="2"/>
  <c r="A25" i="2"/>
  <c r="A34" i="2"/>
  <c r="A82" i="2"/>
  <c r="A50" i="2"/>
  <c r="A539" i="2"/>
  <c r="A255" i="2"/>
  <c r="A30" i="2"/>
  <c r="A156" i="2"/>
  <c r="A74" i="2"/>
  <c r="A880" i="2"/>
  <c r="A881" i="2"/>
  <c r="A882" i="2"/>
  <c r="A391" i="2"/>
  <c r="A883" i="2"/>
  <c r="A884" i="2"/>
  <c r="A885" i="2"/>
  <c r="A886" i="2"/>
  <c r="A887" i="2"/>
  <c r="A290" i="2"/>
  <c r="A888" i="2"/>
  <c r="A889" i="2"/>
  <c r="A890" i="2"/>
  <c r="A891" i="2"/>
  <c r="A63" i="2"/>
  <c r="A892" i="2"/>
  <c r="A748" i="2"/>
  <c r="A893" i="2"/>
  <c r="A894" i="2"/>
  <c r="A895" i="2"/>
  <c r="A896" i="2"/>
  <c r="A190" i="2"/>
  <c r="A639" i="2"/>
  <c r="A749" i="2"/>
  <c r="A897" i="2"/>
  <c r="A898" i="2"/>
  <c r="A706" i="2"/>
  <c r="A899" i="2"/>
  <c r="A900" i="2"/>
  <c r="A335" i="2"/>
  <c r="A336" i="2"/>
  <c r="A901" i="2"/>
  <c r="A902" i="2"/>
  <c r="A903" i="2"/>
  <c r="A904" i="2"/>
  <c r="A905" i="2"/>
  <c r="A737" i="2"/>
  <c r="A906" i="2"/>
  <c r="A670" i="2"/>
  <c r="A907" i="2"/>
  <c r="A576" i="2"/>
  <c r="A908" i="2"/>
  <c r="A685" i="2"/>
  <c r="A291" i="2"/>
  <c r="A909" i="2"/>
  <c r="A910" i="2"/>
  <c r="A911" i="2"/>
  <c r="A723" i="2"/>
  <c r="A730" i="2"/>
  <c r="A106" i="2"/>
  <c r="A912" i="2"/>
  <c r="A13" i="2"/>
  <c r="A19" i="2"/>
  <c r="A112" i="2"/>
  <c r="A317" i="2"/>
  <c r="A62" i="2"/>
  <c r="A566" i="2"/>
  <c r="A913" i="2"/>
  <c r="A289" i="2"/>
  <c r="A166" i="2"/>
  <c r="A168" i="2"/>
  <c r="A604" i="2"/>
  <c r="A216" i="2"/>
  <c r="A293" i="2"/>
  <c r="A440" i="2"/>
  <c r="A322" i="2"/>
  <c r="A914" i="2"/>
  <c r="A395" i="2"/>
  <c r="A271" i="2"/>
  <c r="A379" i="2"/>
  <c r="A510" i="2"/>
  <c r="A915" i="2"/>
  <c r="A313" i="2"/>
  <c r="A691" i="2"/>
  <c r="A652" i="2"/>
  <c r="A504" i="2"/>
  <c r="A268" i="2"/>
  <c r="A641" i="2"/>
  <c r="A482" i="2"/>
  <c r="A434" i="2"/>
  <c r="A699" i="2"/>
  <c r="A681" i="2"/>
  <c r="A519" i="2"/>
  <c r="A458" i="2"/>
  <c r="A762" i="2"/>
  <c r="A477" i="2"/>
  <c r="A457" i="2"/>
  <c r="A587" i="2"/>
  <c r="A40" i="2"/>
  <c r="A75" i="2"/>
  <c r="A183" i="2"/>
  <c r="A56" i="2"/>
  <c r="A567" i="2"/>
  <c r="A274" i="2"/>
  <c r="A916" i="2"/>
  <c r="A420" i="2"/>
  <c r="A99" i="2"/>
  <c r="A917" i="2"/>
  <c r="A338" i="2"/>
  <c r="A194" i="2"/>
  <c r="A345" i="2"/>
  <c r="A192" i="2"/>
  <c r="A203" i="2"/>
  <c r="A349" i="2"/>
  <c r="A191" i="2"/>
  <c r="A346" i="2"/>
  <c r="A400" i="2"/>
  <c r="A347" i="2"/>
  <c r="A340" i="2"/>
  <c r="A193" i="2"/>
  <c r="A114" i="2"/>
  <c r="A100" i="2"/>
  <c r="A580" i="2"/>
  <c r="A728" i="2"/>
  <c r="A223" i="2"/>
  <c r="A339" i="2"/>
  <c r="A422" i="2"/>
  <c r="A333" i="2"/>
  <c r="A244" i="2"/>
  <c r="A626" i="2"/>
  <c r="A918" i="2"/>
  <c r="A126" i="2"/>
  <c r="A657" i="2"/>
  <c r="A740" i="2"/>
  <c r="A348" i="2"/>
  <c r="A341" i="2"/>
  <c r="A405" i="2"/>
  <c r="A401" i="2"/>
  <c r="A919" i="2"/>
  <c r="A334" i="2"/>
  <c r="A581" i="2"/>
  <c r="A344" i="2"/>
  <c r="A920" i="2"/>
  <c r="A575" i="2"/>
  <c r="A342" i="2"/>
  <c r="A921" i="2"/>
  <c r="A337" i="2"/>
  <c r="A610" i="2"/>
  <c r="A416" i="2"/>
  <c r="A577" i="2"/>
  <c r="A404" i="2"/>
  <c r="A350" i="2"/>
  <c r="A579" i="2"/>
  <c r="A922" i="2"/>
  <c r="A578" i="2"/>
  <c r="A541" i="2"/>
  <c r="A178" i="2"/>
  <c r="A739" i="2"/>
  <c r="A17" i="2"/>
  <c r="A23" i="2"/>
  <c r="A148" i="2"/>
  <c r="A439" i="2"/>
  <c r="A44" i="2"/>
  <c r="A636" i="2"/>
  <c r="A923" i="2"/>
  <c r="A171" i="2"/>
  <c r="A205" i="2"/>
  <c r="A115" i="2"/>
  <c r="A377" i="2"/>
  <c r="A252" i="2"/>
  <c r="A433" i="2"/>
  <c r="A563" i="2"/>
  <c r="A390" i="2"/>
  <c r="A924" i="2"/>
  <c r="A459" i="2"/>
  <c r="A201" i="2"/>
  <c r="A562" i="2"/>
  <c r="A559" i="2"/>
  <c r="A925" i="2"/>
  <c r="A363" i="2"/>
  <c r="A650" i="2"/>
  <c r="A666" i="2"/>
  <c r="A926" i="2"/>
  <c r="A613" i="2"/>
  <c r="A689" i="2"/>
  <c r="A465" i="2"/>
  <c r="A378" i="2"/>
  <c r="A736" i="2"/>
  <c r="A771" i="2"/>
  <c r="A643" i="2"/>
  <c r="A513" i="2"/>
  <c r="A746" i="2"/>
  <c r="A687" i="2"/>
  <c r="A593" i="2"/>
  <c r="A516" i="2"/>
  <c r="A65" i="2"/>
  <c r="A51" i="2"/>
  <c r="A394" i="2"/>
  <c r="A90" i="2"/>
  <c r="A637" i="2"/>
  <c r="A343" i="2"/>
  <c r="A927" i="2"/>
  <c r="A928" i="2"/>
  <c r="A929" i="2"/>
  <c r="A930" i="2"/>
  <c r="A403" i="2"/>
  <c r="A218" i="2"/>
  <c r="A273" i="2"/>
  <c r="A246" i="2"/>
  <c r="A92" i="2"/>
  <c r="A186" i="2"/>
  <c r="A245" i="2"/>
  <c r="A188" i="2"/>
  <c r="A487" i="2"/>
  <c r="A460" i="2"/>
  <c r="A397" i="2"/>
  <c r="A249" i="2"/>
  <c r="A164" i="2"/>
  <c r="A157" i="2"/>
  <c r="A549" i="2"/>
  <c r="A708" i="2"/>
  <c r="A257" i="2"/>
  <c r="A402" i="2"/>
  <c r="A415" i="2"/>
  <c r="A409" i="2"/>
  <c r="A357" i="2"/>
  <c r="A558" i="2"/>
  <c r="A931" i="2"/>
  <c r="A124" i="2"/>
  <c r="A553" i="2"/>
  <c r="A680" i="2"/>
  <c r="A264" i="2"/>
  <c r="A399" i="2"/>
  <c r="A484" i="2"/>
  <c r="A486" i="2"/>
  <c r="A932" i="2"/>
  <c r="A411" i="2"/>
  <c r="A537" i="2"/>
  <c r="A286" i="2"/>
  <c r="A933" i="2"/>
  <c r="A611" i="2"/>
  <c r="A398" i="2"/>
  <c r="A743" i="2"/>
  <c r="A407" i="2"/>
  <c r="A660" i="2"/>
  <c r="A332" i="2"/>
  <c r="A697" i="2"/>
  <c r="A485" i="2"/>
  <c r="A446" i="2"/>
  <c r="A609" i="2"/>
  <c r="A934" i="2"/>
  <c r="A935" i="2"/>
  <c r="A588" i="2"/>
  <c r="A189" i="2"/>
  <c r="A764" i="2"/>
  <c r="A11" i="2"/>
  <c r="A41" i="2"/>
  <c r="A374" i="2"/>
  <c r="A202" i="2"/>
  <c r="A159" i="2"/>
  <c r="A698" i="2"/>
  <c r="A389" i="2"/>
  <c r="A663" i="2"/>
  <c r="A499" i="2"/>
  <c r="A331" i="2"/>
  <c r="A382" i="2"/>
  <c r="A503" i="2"/>
  <c r="A603" i="2"/>
  <c r="A351" i="2"/>
  <c r="A254" i="2"/>
  <c r="A550" i="2"/>
  <c r="A589" i="2"/>
  <c r="A303" i="2"/>
  <c r="A700" i="2"/>
  <c r="A752" i="2"/>
  <c r="A692" i="2"/>
  <c r="A760" i="2"/>
  <c r="A714" i="2"/>
  <c r="A586" i="2"/>
  <c r="A693" i="2"/>
  <c r="A735" i="2"/>
  <c r="A501" i="2"/>
  <c r="A132" i="2"/>
  <c r="A615" i="2"/>
  <c r="A323" i="2"/>
  <c r="A105" i="2"/>
  <c r="A261" i="2"/>
  <c r="A473" i="2"/>
  <c r="A365" i="2"/>
  <c r="A659" i="2"/>
  <c r="A329" i="2"/>
  <c r="A745" i="2"/>
  <c r="A328" i="2"/>
  <c r="A557" i="2"/>
  <c r="A469" i="2"/>
  <c r="A330" i="2"/>
  <c r="A302" i="2"/>
  <c r="A707" i="2"/>
  <c r="A619" i="2"/>
  <c r="A319" i="2"/>
  <c r="A474" i="2"/>
  <c r="A608" i="2"/>
  <c r="A476" i="2"/>
  <c r="A770" i="2"/>
  <c r="A220" i="2"/>
  <c r="A682" i="2"/>
  <c r="A750" i="2"/>
  <c r="A668" i="2"/>
  <c r="A470" i="2"/>
  <c r="A478" i="2"/>
  <c r="A717" i="2"/>
  <c r="A640" i="2"/>
  <c r="A658" i="2"/>
  <c r="A471" i="2"/>
  <c r="A475" i="2"/>
  <c r="A472" i="2"/>
  <c r="A678" i="2"/>
  <c r="A464" i="2"/>
  <c r="A655" i="2"/>
  <c r="A656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84" i="2"/>
  <c r="A8" i="2"/>
  <c r="A88" i="2"/>
  <c r="A128" i="2"/>
  <c r="A141" i="2"/>
  <c r="A163" i="2"/>
  <c r="A447" i="2"/>
  <c r="A108" i="2"/>
  <c r="A175" i="2"/>
  <c r="A556" i="2"/>
  <c r="A508" i="2"/>
  <c r="A219" i="2"/>
  <c r="A774" i="2"/>
  <c r="A959" i="2"/>
  <c r="A480" i="2"/>
  <c r="A453" i="2"/>
  <c r="A598" i="2"/>
  <c r="A960" i="2"/>
  <c r="A406" i="2"/>
  <c r="A675" i="2"/>
  <c r="A582" i="2"/>
  <c r="A676" i="2"/>
  <c r="A961" i="2"/>
  <c r="A962" i="2"/>
  <c r="A226" i="2"/>
  <c r="A757" i="2"/>
  <c r="A599" i="2"/>
  <c r="A492" i="2"/>
  <c r="A725" i="2"/>
  <c r="A455" i="2"/>
  <c r="A297" i="2"/>
  <c r="A170" i="2"/>
  <c r="A307" i="2"/>
  <c r="A437" i="2"/>
  <c r="A316" i="2"/>
  <c r="A259" i="2"/>
  <c r="A512" i="2"/>
  <c r="A353" i="2"/>
  <c r="A683" i="2"/>
  <c r="A372" i="2"/>
  <c r="A206" i="2"/>
  <c r="A424" i="2"/>
  <c r="A352" i="2"/>
  <c r="A547" i="2"/>
  <c r="A321" i="2"/>
  <c r="A256" i="2"/>
  <c r="A359" i="2"/>
  <c r="A371" i="2"/>
  <c r="A418" i="2"/>
  <c r="A380" i="2"/>
  <c r="A500" i="2"/>
  <c r="A624" i="2"/>
  <c r="A173" i="2"/>
  <c r="A702" i="2"/>
  <c r="A780" i="2"/>
  <c r="A649" i="2"/>
  <c r="A327" i="2"/>
  <c r="A644" i="2"/>
  <c r="A758" i="2"/>
  <c r="A430" i="2"/>
  <c r="A435" i="2"/>
  <c r="A601" i="2"/>
  <c r="A712" i="2"/>
  <c r="A710" i="2"/>
  <c r="A963" i="2"/>
  <c r="A495" i="2"/>
  <c r="A387" i="2"/>
  <c r="A597" i="2"/>
  <c r="A665" i="2"/>
  <c r="A964" i="2"/>
  <c r="A612" i="2"/>
  <c r="A778" i="2"/>
  <c r="A965" i="2"/>
  <c r="A966" i="2"/>
  <c r="A776" i="2"/>
  <c r="A653" i="2"/>
  <c r="A715" i="2"/>
  <c r="A629" i="2"/>
  <c r="A381" i="2"/>
  <c r="A751" i="2"/>
  <c r="A967" i="2"/>
  <c r="A756" i="2"/>
  <c r="A616" i="2"/>
  <c r="A781" i="2"/>
  <c r="A968" i="2"/>
  <c r="A734" i="2"/>
  <c r="A617" i="2"/>
  <c r="A754" i="2"/>
  <c r="A574" i="2"/>
  <c r="A253" i="2"/>
  <c r="A775" i="2"/>
  <c r="A733" i="2"/>
  <c r="A969" i="2"/>
  <c r="A55" i="2"/>
  <c r="A9" i="2"/>
  <c r="A58" i="2"/>
  <c r="A49" i="2"/>
  <c r="A96" i="2"/>
  <c r="A130" i="2"/>
  <c r="A95" i="2"/>
  <c r="A284" i="2"/>
  <c r="A376" i="2"/>
  <c r="A211" i="2"/>
  <c r="A432" i="2"/>
  <c r="A120" i="2"/>
  <c r="A454" i="2"/>
  <c r="A497" i="2"/>
  <c r="A551" i="2"/>
  <c r="A488" i="2"/>
  <c r="A571" i="2"/>
  <c r="A647" i="2"/>
  <c r="A355" i="2"/>
  <c r="A607" i="2"/>
  <c r="A600" i="2"/>
  <c r="A646" i="2"/>
  <c r="A569" i="2"/>
  <c r="A970" i="2"/>
  <c r="A628" i="2"/>
  <c r="A375" i="2"/>
  <c r="A773" i="2"/>
  <c r="A722" i="2"/>
  <c r="A769" i="2"/>
  <c r="A729" i="2"/>
  <c r="A544" i="2"/>
  <c r="A744" i="2"/>
  <c r="A971" i="2"/>
  <c r="A572" i="2"/>
  <c r="A709" i="2"/>
  <c r="A761" i="2"/>
  <c r="A972" i="2"/>
  <c r="A326" i="2"/>
  <c r="A546" i="2"/>
  <c r="A618" i="2"/>
  <c r="A296" i="2"/>
  <c r="A536" i="2"/>
  <c r="A638" i="2"/>
  <c r="A145" i="2"/>
  <c r="A150" i="2"/>
  <c r="A215" i="2"/>
  <c r="A208" i="2"/>
  <c r="A443" i="2"/>
  <c r="A282" i="2"/>
  <c r="A560" i="2"/>
  <c r="A262" i="2"/>
  <c r="A98" i="2"/>
  <c r="A325" i="2"/>
  <c r="A370" i="2"/>
  <c r="A184" i="2"/>
  <c r="A412" i="2"/>
  <c r="A584" i="2"/>
  <c r="A270" i="2"/>
  <c r="A209" i="2"/>
  <c r="A489" i="2"/>
  <c r="A631" i="2"/>
  <c r="A632" i="2"/>
  <c r="A753" i="2"/>
  <c r="A366" i="2"/>
  <c r="A388" i="2"/>
  <c r="A275" i="2"/>
  <c r="A361" i="2"/>
  <c r="A703" i="2"/>
  <c r="A354" i="2"/>
  <c r="A324" i="2"/>
  <c r="A251" i="2"/>
  <c r="A552" i="2"/>
  <c r="A602" i="2"/>
  <c r="A247" i="2"/>
  <c r="A565" i="2"/>
  <c r="A635" i="2"/>
  <c r="A620" i="2"/>
  <c r="A621" i="2"/>
  <c r="A973" i="2"/>
  <c r="A467" i="2"/>
  <c r="A779" i="2"/>
  <c r="A533" i="2"/>
  <c r="A545" i="2"/>
  <c r="A974" i="2"/>
  <c r="A596" i="2"/>
  <c r="A426" i="2"/>
  <c r="A975" i="2"/>
  <c r="A694" i="2"/>
  <c r="A976" i="2"/>
  <c r="A755" i="2"/>
  <c r="A977" i="2"/>
  <c r="A978" i="2"/>
  <c r="A42" i="2"/>
  <c r="A10" i="2"/>
  <c r="A33" i="2"/>
  <c r="A67" i="2"/>
  <c r="A32" i="2"/>
  <c r="A137" i="2"/>
  <c r="A36" i="2"/>
  <c r="A59" i="2"/>
  <c r="A210" i="2"/>
  <c r="A204" i="2"/>
  <c r="A498" i="2"/>
  <c r="A225" i="2"/>
  <c r="A147" i="2"/>
  <c r="A197" i="2"/>
  <c r="A200" i="2"/>
  <c r="A180" i="2"/>
  <c r="A265" i="2"/>
  <c r="A456" i="2"/>
  <c r="A428" i="2"/>
  <c r="A272" i="2"/>
  <c r="A645" i="2"/>
  <c r="A515" i="2"/>
  <c r="A466" i="2"/>
  <c r="A979" i="2"/>
  <c r="A630" i="2"/>
  <c r="A592" i="2"/>
  <c r="A980" i="2"/>
  <c r="A570" i="2"/>
  <c r="A531" i="2"/>
  <c r="A719" i="2"/>
  <c r="A548" i="2"/>
  <c r="A212" i="2"/>
  <c r="A747" i="2"/>
  <c r="A2" i="2"/>
  <c r="A664" i="2"/>
  <c r="A449" i="2"/>
  <c r="A461" i="2"/>
  <c r="A721" i="2"/>
  <c r="A627" i="2"/>
  <c r="A3" i="2"/>
  <c r="A182" i="2"/>
  <c r="A696" i="2"/>
  <c r="A300" i="2"/>
  <c r="A109" i="2"/>
  <c r="A79" i="2"/>
  <c r="A179" i="2"/>
  <c r="A263" i="2"/>
  <c r="A86" i="2"/>
  <c r="A295" i="2"/>
  <c r="A143" i="2"/>
  <c r="A214" i="2"/>
  <c r="A230" i="2"/>
  <c r="A172" i="2"/>
  <c r="A129" i="2"/>
  <c r="A121" i="2"/>
  <c r="A396" i="2"/>
  <c r="A421" i="2"/>
  <c r="A242" i="2"/>
  <c r="A356" i="2"/>
  <c r="A452" i="2"/>
  <c r="A165" i="2"/>
  <c r="A176" i="2"/>
  <c r="A451" i="2"/>
  <c r="A198" i="2"/>
  <c r="A213" i="2"/>
  <c r="A413" i="2"/>
  <c r="A423" i="2"/>
  <c r="A305" i="2"/>
  <c r="A383" i="2"/>
  <c r="A298" i="2"/>
  <c r="A393" i="2"/>
  <c r="A431" i="2"/>
  <c r="A491" i="2"/>
  <c r="A373" i="2"/>
  <c r="A414" i="2"/>
  <c r="A583" i="2"/>
  <c r="A4" i="2"/>
  <c r="A727" i="2"/>
  <c r="A671" i="2"/>
  <c r="A672" i="2"/>
  <c r="A5" i="2"/>
  <c r="A633" i="2"/>
  <c r="A614" i="2"/>
  <c r="A386" i="2"/>
  <c r="A759" i="2"/>
  <c r="A6" i="2"/>
  <c r="A981" i="2"/>
  <c r="A704" i="2"/>
  <c r="A742" i="2"/>
  <c r="A782" i="2"/>
  <c r="D26" i="4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E12" i="4" l="1"/>
  <c r="F12" i="4" s="1"/>
  <c r="G12" i="4" s="1"/>
  <c r="W704" i="2"/>
  <c r="X704" i="2" s="1"/>
  <c r="W759" i="2"/>
  <c r="X759" i="2" s="1"/>
  <c r="W727" i="2"/>
  <c r="X727" i="2" s="1"/>
  <c r="W672" i="2"/>
  <c r="X672" i="2" s="1"/>
  <c r="X109" i="2"/>
  <c r="W179" i="2"/>
  <c r="X179" i="2" s="1"/>
  <c r="W263" i="2"/>
  <c r="X263" i="2" s="1"/>
  <c r="W143" i="2"/>
  <c r="X143" i="2" s="1"/>
  <c r="W172" i="2"/>
  <c r="X172" i="2" s="1"/>
  <c r="W129" i="2"/>
  <c r="X129" i="2" s="1"/>
  <c r="W396" i="2"/>
  <c r="X396" i="2" s="1"/>
  <c r="W421" i="2"/>
  <c r="X421" i="2" s="1"/>
  <c r="W452" i="2"/>
  <c r="X452" i="2" s="1"/>
  <c r="W451" i="2"/>
  <c r="X451" i="2" s="1"/>
  <c r="X198" i="2"/>
  <c r="W213" i="2"/>
  <c r="X213" i="2" s="1"/>
  <c r="W413" i="2"/>
  <c r="X413" i="2" s="1"/>
  <c r="X423" i="2"/>
  <c r="W383" i="2"/>
  <c r="X383" i="2" s="1"/>
  <c r="X298" i="2"/>
  <c r="W431" i="2"/>
  <c r="X431" i="2" s="1"/>
  <c r="W373" i="2"/>
  <c r="X373" i="2" s="1"/>
  <c r="W414" i="2"/>
  <c r="X414" i="2" s="1"/>
  <c r="X696" i="2"/>
  <c r="X461" i="2"/>
  <c r="W721" i="2"/>
  <c r="X721" i="2" s="1"/>
  <c r="X627" i="2"/>
  <c r="W531" i="2"/>
  <c r="X531" i="2" s="1"/>
  <c r="W548" i="2"/>
  <c r="X548" i="2" s="1"/>
  <c r="W747" i="2"/>
  <c r="X747" i="2" s="1"/>
  <c r="X630" i="2"/>
  <c r="W42" i="2"/>
  <c r="X42" i="2" s="1"/>
  <c r="W10" i="2"/>
  <c r="X10" i="2" s="1"/>
  <c r="W33" i="2"/>
  <c r="X33" i="2" s="1"/>
  <c r="W32" i="2"/>
  <c r="X32" i="2" s="1"/>
  <c r="W36" i="2"/>
  <c r="X36" i="2" s="1"/>
  <c r="W225" i="2"/>
  <c r="X225" i="2" s="1"/>
  <c r="W147" i="2"/>
  <c r="X147" i="2" s="1"/>
  <c r="W200" i="2"/>
  <c r="X200" i="2" s="1"/>
  <c r="W456" i="2"/>
  <c r="X456" i="2" s="1"/>
  <c r="W272" i="2"/>
  <c r="X272" i="2" s="1"/>
  <c r="W645" i="2"/>
  <c r="X645" i="2" s="1"/>
  <c r="W515" i="2"/>
  <c r="X515" i="2" s="1"/>
  <c r="W466" i="2"/>
  <c r="X466" i="2" s="1"/>
  <c r="W742" i="2"/>
  <c r="W633" i="2"/>
  <c r="W614" i="2"/>
  <c r="W386" i="2"/>
  <c r="W671" i="2"/>
  <c r="W583" i="2"/>
  <c r="W491" i="2"/>
  <c r="W393" i="2"/>
  <c r="W305" i="2"/>
  <c r="W165" i="2"/>
  <c r="W242" i="2"/>
  <c r="W356" i="2"/>
  <c r="W121" i="2"/>
  <c r="W214" i="2"/>
  <c r="W230" i="2"/>
  <c r="W86" i="2"/>
  <c r="W295" i="2"/>
  <c r="W182" i="2"/>
  <c r="W664" i="2"/>
  <c r="W449" i="2"/>
  <c r="W719" i="2"/>
  <c r="X719" i="2" s="1"/>
  <c r="W570" i="2"/>
  <c r="W428" i="2"/>
  <c r="W265" i="2"/>
  <c r="W59" i="2"/>
  <c r="W210" i="2"/>
  <c r="W204" i="2"/>
  <c r="W498" i="2"/>
  <c r="W137" i="2"/>
  <c r="W67" i="2"/>
  <c r="X498" i="2" l="1"/>
  <c r="X59" i="2"/>
  <c r="X742" i="2"/>
  <c r="X204" i="2"/>
  <c r="X67" i="2"/>
  <c r="X210" i="2"/>
  <c r="X295" i="2"/>
  <c r="X428" i="2"/>
  <c r="X570" i="2"/>
  <c r="X214" i="2"/>
  <c r="X305" i="2"/>
  <c r="X265" i="2"/>
  <c r="X230" i="2"/>
  <c r="X583" i="2"/>
  <c r="X356" i="2"/>
  <c r="X491" i="2"/>
  <c r="X671" i="2"/>
  <c r="X137" i="2"/>
  <c r="X449" i="2"/>
  <c r="X242" i="2"/>
  <c r="X121" i="2"/>
  <c r="X386" i="2"/>
  <c r="X664" i="2"/>
  <c r="X614" i="2"/>
  <c r="X182" i="2"/>
  <c r="X165" i="2"/>
  <c r="X633" i="2"/>
  <c r="X86" i="2"/>
  <c r="X393" i="2"/>
  <c r="H978" i="2" l="1"/>
  <c r="H42" i="2"/>
  <c r="H10" i="2"/>
  <c r="H33" i="2"/>
  <c r="H67" i="2"/>
  <c r="H32" i="2"/>
  <c r="H137" i="2"/>
  <c r="H36" i="2"/>
  <c r="H59" i="2"/>
  <c r="H210" i="2"/>
  <c r="H204" i="2"/>
  <c r="H498" i="2"/>
  <c r="H225" i="2"/>
  <c r="H147" i="2"/>
  <c r="H197" i="2"/>
  <c r="H200" i="2"/>
  <c r="H180" i="2"/>
  <c r="H265" i="2"/>
  <c r="H456" i="2"/>
  <c r="H428" i="2"/>
  <c r="H272" i="2"/>
  <c r="H645" i="2"/>
  <c r="H515" i="2"/>
  <c r="H466" i="2"/>
  <c r="H979" i="2"/>
  <c r="H630" i="2"/>
  <c r="H592" i="2"/>
  <c r="H980" i="2"/>
  <c r="H570" i="2"/>
  <c r="H531" i="2"/>
  <c r="H719" i="2"/>
  <c r="H548" i="2"/>
  <c r="H212" i="2"/>
  <c r="H747" i="2"/>
  <c r="H2" i="2"/>
  <c r="H664" i="2"/>
  <c r="H449" i="2"/>
  <c r="H461" i="2"/>
  <c r="H721" i="2"/>
  <c r="H627" i="2"/>
  <c r="H3" i="2"/>
  <c r="H182" i="2"/>
  <c r="H696" i="2"/>
  <c r="H300" i="2"/>
  <c r="H109" i="2"/>
  <c r="H79" i="2"/>
  <c r="H179" i="2"/>
  <c r="H263" i="2"/>
  <c r="H86" i="2"/>
  <c r="H295" i="2"/>
  <c r="H143" i="2"/>
  <c r="H214" i="2"/>
  <c r="H230" i="2"/>
  <c r="H172" i="2"/>
  <c r="H129" i="2"/>
  <c r="H121" i="2"/>
  <c r="H396" i="2"/>
  <c r="H421" i="2"/>
  <c r="H242" i="2"/>
  <c r="H356" i="2"/>
  <c r="H452" i="2"/>
  <c r="H165" i="2"/>
  <c r="H176" i="2"/>
  <c r="H451" i="2"/>
  <c r="H198" i="2"/>
  <c r="H213" i="2"/>
  <c r="H413" i="2"/>
  <c r="H423" i="2"/>
  <c r="H305" i="2"/>
  <c r="H383" i="2"/>
  <c r="H298" i="2"/>
  <c r="H393" i="2"/>
  <c r="H431" i="2"/>
  <c r="H491" i="2"/>
  <c r="H373" i="2"/>
  <c r="H414" i="2"/>
  <c r="H583" i="2"/>
  <c r="H4" i="2"/>
  <c r="H727" i="2"/>
  <c r="H671" i="2"/>
  <c r="H672" i="2"/>
  <c r="H5" i="2"/>
  <c r="H633" i="2"/>
  <c r="H614" i="2"/>
  <c r="H386" i="2"/>
  <c r="H759" i="2"/>
  <c r="H6" i="2"/>
  <c r="H981" i="2"/>
  <c r="H7" i="2"/>
  <c r="H704" i="2"/>
  <c r="H742" i="2"/>
  <c r="E11" i="4" l="1"/>
  <c r="E10" i="4"/>
  <c r="F10" i="4" s="1"/>
  <c r="E9" i="4"/>
  <c r="F9" i="4" s="1"/>
  <c r="G9" i="4" s="1"/>
  <c r="E8" i="4"/>
  <c r="F8" i="4" s="1"/>
  <c r="G8" i="4" s="1"/>
  <c r="E7" i="4"/>
  <c r="F7" i="4" s="1"/>
  <c r="G7" i="4" s="1"/>
  <c r="E6" i="4"/>
  <c r="F6" i="4" s="1"/>
  <c r="G6" i="4" s="1"/>
  <c r="E5" i="4"/>
  <c r="F5" i="4" s="1"/>
  <c r="G5" i="4" s="1"/>
  <c r="E4" i="4"/>
  <c r="F4" i="4" s="1"/>
  <c r="G4" i="4" s="1"/>
  <c r="AI291" i="2"/>
  <c r="AI74" i="2"/>
  <c r="AI156" i="2"/>
  <c r="AI255" i="2"/>
  <c r="AI385" i="2"/>
  <c r="AI358" i="2"/>
  <c r="AI127" i="2"/>
  <c r="AI250" i="2"/>
  <c r="AI89" i="2"/>
  <c r="AI125" i="2"/>
  <c r="AI113" i="2"/>
  <c r="AI12" i="2"/>
  <c r="AI642" i="2"/>
  <c r="AI154" i="2"/>
  <c r="AI724" i="2"/>
  <c r="AI669" i="2"/>
  <c r="AI606" i="2"/>
  <c r="AI37" i="2"/>
  <c r="AI45" i="2"/>
  <c r="M978" i="2"/>
  <c r="M977" i="2"/>
  <c r="M976" i="2"/>
  <c r="M975" i="2"/>
  <c r="M426" i="2"/>
  <c r="M974" i="2"/>
  <c r="M779" i="2"/>
  <c r="M973" i="2"/>
  <c r="M638" i="2"/>
  <c r="M326" i="2"/>
  <c r="M972" i="2"/>
  <c r="M971" i="2"/>
  <c r="M970" i="2"/>
  <c r="M733" i="2"/>
  <c r="M775" i="2"/>
  <c r="M253" i="2"/>
  <c r="M574" i="2"/>
  <c r="M754" i="2"/>
  <c r="M617" i="2"/>
  <c r="M734" i="2"/>
  <c r="M968" i="2"/>
  <c r="M781" i="2"/>
  <c r="M616" i="2"/>
  <c r="M756" i="2"/>
  <c r="M967" i="2"/>
  <c r="M751" i="2"/>
  <c r="M381" i="2"/>
  <c r="M629" i="2"/>
  <c r="M715" i="2"/>
  <c r="M653" i="2"/>
  <c r="M776" i="2"/>
  <c r="M966" i="2"/>
  <c r="M965" i="2"/>
  <c r="M778" i="2"/>
  <c r="M612" i="2"/>
  <c r="M964" i="2"/>
  <c r="M665" i="2"/>
  <c r="M387" i="2"/>
  <c r="M495" i="2"/>
  <c r="M963" i="2"/>
  <c r="M710" i="2"/>
  <c r="M712" i="2"/>
  <c r="M435" i="2"/>
  <c r="M430" i="2"/>
  <c r="M758" i="2"/>
  <c r="M644" i="2"/>
  <c r="M327" i="2"/>
  <c r="M649" i="2"/>
  <c r="M780" i="2"/>
  <c r="M702" i="2"/>
  <c r="M173" i="2"/>
  <c r="M624" i="2"/>
  <c r="M500" i="2"/>
  <c r="M380" i="2"/>
  <c r="M418" i="2"/>
  <c r="M371" i="2"/>
  <c r="M359" i="2"/>
  <c r="M256" i="2"/>
  <c r="M321" i="2"/>
  <c r="M547" i="2"/>
  <c r="M352" i="2"/>
  <c r="M424" i="2"/>
  <c r="M206" i="2"/>
  <c r="M372" i="2"/>
  <c r="M683" i="2"/>
  <c r="M353" i="2"/>
  <c r="M512" i="2"/>
  <c r="M259" i="2"/>
  <c r="M316" i="2"/>
  <c r="M437" i="2"/>
  <c r="M307" i="2"/>
  <c r="M170" i="2"/>
  <c r="M297" i="2"/>
  <c r="M455" i="2"/>
  <c r="M725" i="2"/>
  <c r="M492" i="2"/>
  <c r="M599" i="2"/>
  <c r="M757" i="2"/>
  <c r="M226" i="2"/>
  <c r="M962" i="2"/>
  <c r="M961" i="2"/>
  <c r="M676" i="2"/>
  <c r="M675" i="2"/>
  <c r="M406" i="2"/>
  <c r="M960" i="2"/>
  <c r="M598" i="2"/>
  <c r="M453" i="2"/>
  <c r="M480" i="2"/>
  <c r="M959" i="2"/>
  <c r="M774" i="2"/>
  <c r="M219" i="2"/>
  <c r="M508" i="2"/>
  <c r="M556" i="2"/>
  <c r="M175" i="2"/>
  <c r="M447" i="2"/>
  <c r="M163" i="2"/>
  <c r="M141" i="2"/>
  <c r="M128" i="2"/>
  <c r="M88" i="2"/>
  <c r="M8" i="2"/>
  <c r="M84" i="2"/>
  <c r="M753" i="2"/>
  <c r="M184" i="2"/>
  <c r="M443" i="2"/>
  <c r="M208" i="2"/>
  <c r="M546" i="2"/>
  <c r="M744" i="2"/>
  <c r="M544" i="2"/>
  <c r="M370" i="2"/>
  <c r="M296" i="2"/>
  <c r="M628" i="2"/>
  <c r="M646" i="2"/>
  <c r="M130" i="2"/>
  <c r="M9" i="2"/>
  <c r="M632" i="2"/>
  <c r="M489" i="2"/>
  <c r="M270" i="2"/>
  <c r="M215" i="2"/>
  <c r="M536" i="2"/>
  <c r="M729" i="2"/>
  <c r="M647" i="2"/>
  <c r="M497" i="2"/>
  <c r="M376" i="2"/>
  <c r="M49" i="2"/>
  <c r="M560" i="2"/>
  <c r="H977" i="2"/>
  <c r="H755" i="2"/>
  <c r="H976" i="2"/>
  <c r="H694" i="2"/>
  <c r="H975" i="2"/>
  <c r="H426" i="2"/>
  <c r="H596" i="2"/>
  <c r="H974" i="2"/>
  <c r="H545" i="2"/>
  <c r="H533" i="2"/>
  <c r="H779" i="2"/>
  <c r="H467" i="2"/>
  <c r="H973" i="2"/>
  <c r="H621" i="2"/>
  <c r="H620" i="2"/>
  <c r="H635" i="2"/>
  <c r="H565" i="2"/>
  <c r="H247" i="2"/>
  <c r="H602" i="2"/>
  <c r="H552" i="2"/>
  <c r="H251" i="2"/>
  <c r="H324" i="2"/>
  <c r="H354" i="2"/>
  <c r="H703" i="2"/>
  <c r="H361" i="2"/>
  <c r="H275" i="2"/>
  <c r="H388" i="2"/>
  <c r="H366" i="2"/>
  <c r="H753" i="2"/>
  <c r="H632" i="2"/>
  <c r="H631" i="2"/>
  <c r="H489" i="2"/>
  <c r="H209" i="2"/>
  <c r="H270" i="2"/>
  <c r="H584" i="2"/>
  <c r="H412" i="2"/>
  <c r="H184" i="2"/>
  <c r="H370" i="2"/>
  <c r="H325" i="2"/>
  <c r="H98" i="2"/>
  <c r="H262" i="2"/>
  <c r="H560" i="2"/>
  <c r="H282" i="2"/>
  <c r="H443" i="2"/>
  <c r="H208" i="2"/>
  <c r="H215" i="2"/>
  <c r="H150" i="2"/>
  <c r="H145" i="2"/>
  <c r="H638" i="2"/>
  <c r="H536" i="2"/>
  <c r="H296" i="2"/>
  <c r="H618" i="2"/>
  <c r="H546" i="2"/>
  <c r="H326" i="2"/>
  <c r="H972" i="2"/>
  <c r="H761" i="2"/>
  <c r="H709" i="2"/>
  <c r="H572" i="2"/>
  <c r="H971" i="2"/>
  <c r="H744" i="2"/>
  <c r="H544" i="2"/>
  <c r="H729" i="2"/>
  <c r="H769" i="2"/>
  <c r="H722" i="2"/>
  <c r="H773" i="2"/>
  <c r="H375" i="2"/>
  <c r="H628" i="2"/>
  <c r="H970" i="2"/>
  <c r="H569" i="2"/>
  <c r="H646" i="2"/>
  <c r="H600" i="2"/>
  <c r="H607" i="2"/>
  <c r="H355" i="2"/>
  <c r="H647" i="2"/>
  <c r="H571" i="2"/>
  <c r="H488" i="2"/>
  <c r="H551" i="2"/>
  <c r="H497" i="2"/>
  <c r="H454" i="2"/>
  <c r="H120" i="2"/>
  <c r="H432" i="2"/>
  <c r="H211" i="2"/>
  <c r="H376" i="2"/>
  <c r="H284" i="2"/>
  <c r="H95" i="2"/>
  <c r="H130" i="2"/>
  <c r="H96" i="2"/>
  <c r="H49" i="2"/>
  <c r="H58" i="2"/>
  <c r="H9" i="2"/>
  <c r="H55" i="2"/>
  <c r="E15" i="4" l="1"/>
  <c r="F11" i="4"/>
  <c r="G11" i="4" s="1"/>
  <c r="M584" i="2"/>
  <c r="M375" i="2"/>
  <c r="M95" i="2"/>
  <c r="M572" i="2"/>
  <c r="M150" i="2"/>
  <c r="M284" i="2"/>
  <c r="M618" i="2"/>
  <c r="M145" i="2"/>
  <c r="M551" i="2"/>
  <c r="M569" i="2"/>
  <c r="M262" i="2"/>
  <c r="M361" i="2"/>
  <c r="M120" i="2"/>
  <c r="M282" i="2"/>
  <c r="M571" i="2"/>
  <c r="F15" i="4" l="1"/>
  <c r="G15" i="4"/>
  <c r="D25" i="4"/>
  <c r="M412" i="2"/>
  <c r="M209" i="2"/>
  <c r="M769" i="2"/>
  <c r="M58" i="2"/>
  <c r="M600" i="2"/>
  <c r="M631" i="2"/>
  <c r="M96" i="2"/>
  <c r="M488" i="2"/>
  <c r="M325" i="2"/>
  <c r="M761" i="2"/>
  <c r="M388" i="2"/>
  <c r="M722" i="2"/>
  <c r="M432" i="2"/>
  <c r="M98" i="2"/>
  <c r="M709" i="2"/>
  <c r="M355" i="2"/>
  <c r="M366" i="2"/>
  <c r="M55" i="2"/>
  <c r="D18" i="4"/>
  <c r="H782" i="2" l="1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711" i="2"/>
  <c r="H97" i="2"/>
  <c r="H384" i="2"/>
  <c r="H517" i="2"/>
  <c r="H661" i="2"/>
  <c r="H825" i="2"/>
  <c r="H468" i="2"/>
  <c r="H207" i="2"/>
  <c r="H463" i="2"/>
  <c r="H301" i="2"/>
  <c r="H318" i="2"/>
  <c r="H278" i="2"/>
  <c r="H294" i="2"/>
  <c r="H31" i="2"/>
  <c r="H53" i="2"/>
  <c r="H169" i="2"/>
  <c r="H135" i="2"/>
  <c r="H594" i="2"/>
  <c r="H496" i="2"/>
  <c r="H429" i="2"/>
  <c r="H364" i="2"/>
  <c r="H87" i="2"/>
  <c r="H21" i="2"/>
  <c r="H70" i="2"/>
  <c r="H71" i="2"/>
  <c r="H826" i="2"/>
  <c r="H102" i="2"/>
  <c r="H279" i="2"/>
  <c r="H827" i="2"/>
  <c r="H16" i="2"/>
  <c r="H684" i="2"/>
  <c r="H450" i="2"/>
  <c r="H695" i="2"/>
  <c r="H280" i="2"/>
  <c r="H360" i="2"/>
  <c r="H281" i="2"/>
  <c r="H28" i="2"/>
  <c r="H224" i="2"/>
  <c r="H162" i="2"/>
  <c r="H243" i="2"/>
  <c r="H765" i="2"/>
  <c r="H828" i="2"/>
  <c r="H829" i="2"/>
  <c r="H830" i="2"/>
  <c r="H118" i="2"/>
  <c r="H493" i="2"/>
  <c r="H542" i="2"/>
  <c r="H287" i="2"/>
  <c r="H237" i="2"/>
  <c r="H573" i="2"/>
  <c r="H534" i="2"/>
  <c r="H529" i="2"/>
  <c r="H142" i="2"/>
  <c r="H140" i="2"/>
  <c r="H520" i="2"/>
  <c r="H768" i="2"/>
  <c r="H77" i="2"/>
  <c r="H521" i="2"/>
  <c r="H522" i="2"/>
  <c r="H139" i="2"/>
  <c r="H509" i="2"/>
  <c r="H585" i="2"/>
  <c r="H535" i="2"/>
  <c r="H831" i="2"/>
  <c r="H540" i="2"/>
  <c r="H523" i="2"/>
  <c r="H605" i="2"/>
  <c r="H238" i="2"/>
  <c r="H527" i="2"/>
  <c r="H530" i="2"/>
  <c r="H138" i="2"/>
  <c r="H239" i="2"/>
  <c r="H494" i="2"/>
  <c r="H151" i="2"/>
  <c r="H505" i="2"/>
  <c r="H524" i="2"/>
  <c r="H236" i="2"/>
  <c r="H283" i="2"/>
  <c r="H832" i="2"/>
  <c r="H543" i="2"/>
  <c r="H532" i="2"/>
  <c r="H651" i="2"/>
  <c r="H144" i="2"/>
  <c r="H525" i="2"/>
  <c r="H833" i="2"/>
  <c r="H528" i="2"/>
  <c r="H276" i="2"/>
  <c r="H526" i="2"/>
  <c r="H285" i="2"/>
  <c r="H104" i="2"/>
  <c r="H834" i="2"/>
  <c r="H705" i="2"/>
  <c r="H314" i="2"/>
  <c r="H648" i="2"/>
  <c r="H835" i="2"/>
  <c r="H836" i="2"/>
  <c r="H35" i="2"/>
  <c r="H445" i="2"/>
  <c r="H161" i="2"/>
  <c r="H654" i="2"/>
  <c r="H490" i="2"/>
  <c r="H312" i="2"/>
  <c r="H679" i="2"/>
  <c r="H462" i="2"/>
  <c r="H123" i="2"/>
  <c r="H514" i="2"/>
  <c r="H133" i="2"/>
  <c r="H93" i="2"/>
  <c r="H146" i="2"/>
  <c r="H232" i="2"/>
  <c r="H39" i="2"/>
  <c r="H60" i="2"/>
  <c r="H136" i="2"/>
  <c r="H38" i="2"/>
  <c r="H507" i="2"/>
  <c r="H590" i="2"/>
  <c r="H677" i="2"/>
  <c r="H308" i="2"/>
  <c r="H46" i="2"/>
  <c r="H24" i="2"/>
  <c r="H152" i="2"/>
  <c r="H54" i="2"/>
  <c r="H222" i="2"/>
  <c r="H69" i="2"/>
  <c r="H167" i="2"/>
  <c r="H15" i="2"/>
  <c r="H554" i="2"/>
  <c r="H368" i="2"/>
  <c r="H634" i="2"/>
  <c r="H68" i="2"/>
  <c r="H235" i="2"/>
  <c r="H231" i="2"/>
  <c r="H20" i="2"/>
  <c r="H94" i="2"/>
  <c r="H185" i="2"/>
  <c r="H258" i="2"/>
  <c r="H766" i="2"/>
  <c r="H837" i="2"/>
  <c r="H838" i="2"/>
  <c r="H408" i="2"/>
  <c r="H45" i="2"/>
  <c r="H37" i="2"/>
  <c r="H839" i="2"/>
  <c r="H840" i="2"/>
  <c r="H841" i="2"/>
  <c r="H842" i="2"/>
  <c r="H39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732" i="2"/>
  <c r="H855" i="2"/>
  <c r="H856" i="2"/>
  <c r="H857" i="2"/>
  <c r="H858" i="2"/>
  <c r="H859" i="2"/>
  <c r="H606" i="2"/>
  <c r="H720" i="2"/>
  <c r="H860" i="2"/>
  <c r="H861" i="2"/>
  <c r="H625" i="2"/>
  <c r="H862" i="2"/>
  <c r="H863" i="2"/>
  <c r="H864" i="2"/>
  <c r="H865" i="2"/>
  <c r="H866" i="2"/>
  <c r="H867" i="2"/>
  <c r="H868" i="2"/>
  <c r="H869" i="2"/>
  <c r="H870" i="2"/>
  <c r="H738" i="2"/>
  <c r="H871" i="2"/>
  <c r="H669" i="2"/>
  <c r="H872" i="2"/>
  <c r="H873" i="2"/>
  <c r="H874" i="2"/>
  <c r="H686" i="2"/>
  <c r="H875" i="2"/>
  <c r="H876" i="2"/>
  <c r="H877" i="2"/>
  <c r="H878" i="2"/>
  <c r="H724" i="2"/>
  <c r="H731" i="2"/>
  <c r="H154" i="2"/>
  <c r="H642" i="2"/>
  <c r="H14" i="2"/>
  <c r="H12" i="2"/>
  <c r="H131" i="2"/>
  <c r="H119" i="2"/>
  <c r="H61" i="2"/>
  <c r="H538" i="2"/>
  <c r="H266" i="2"/>
  <c r="H83" i="2"/>
  <c r="H78" i="2"/>
  <c r="H73" i="2"/>
  <c r="H113" i="2"/>
  <c r="H125" i="2"/>
  <c r="H89" i="2"/>
  <c r="H107" i="2"/>
  <c r="H122" i="2"/>
  <c r="H879" i="2"/>
  <c r="H234" i="2"/>
  <c r="H187" i="2"/>
  <c r="H306" i="2"/>
  <c r="H425" i="2"/>
  <c r="H511" i="2"/>
  <c r="H233" i="2"/>
  <c r="H320" i="2"/>
  <c r="H174" i="2"/>
  <c r="H299" i="2"/>
  <c r="H250" i="2"/>
  <c r="H623" i="2"/>
  <c r="H427" i="2"/>
  <c r="H127" i="2"/>
  <c r="H568" i="2"/>
  <c r="H595" i="2"/>
  <c r="H564" i="2"/>
  <c r="H518" i="2"/>
  <c r="H726" i="2"/>
  <c r="H358" i="2"/>
  <c r="H385" i="2"/>
  <c r="H479" i="2"/>
  <c r="H25" i="2"/>
  <c r="H34" i="2"/>
  <c r="H82" i="2"/>
  <c r="H50" i="2"/>
  <c r="H539" i="2"/>
  <c r="H255" i="2"/>
  <c r="H30" i="2"/>
  <c r="H156" i="2"/>
  <c r="H74" i="2"/>
  <c r="H880" i="2"/>
  <c r="H881" i="2"/>
  <c r="H882" i="2"/>
  <c r="H391" i="2"/>
  <c r="H883" i="2"/>
  <c r="H884" i="2"/>
  <c r="H885" i="2"/>
  <c r="H886" i="2"/>
  <c r="H887" i="2"/>
  <c r="H290" i="2"/>
  <c r="H888" i="2"/>
  <c r="H889" i="2"/>
  <c r="H890" i="2"/>
  <c r="H891" i="2"/>
  <c r="H63" i="2"/>
  <c r="H892" i="2"/>
  <c r="H748" i="2"/>
  <c r="H893" i="2"/>
  <c r="H894" i="2"/>
  <c r="H895" i="2"/>
  <c r="H896" i="2"/>
  <c r="H190" i="2"/>
  <c r="H639" i="2"/>
  <c r="H749" i="2"/>
  <c r="H897" i="2"/>
  <c r="H898" i="2"/>
  <c r="H706" i="2"/>
  <c r="H899" i="2"/>
  <c r="H900" i="2"/>
  <c r="H335" i="2"/>
  <c r="H336" i="2"/>
  <c r="H901" i="2"/>
  <c r="H902" i="2"/>
  <c r="H903" i="2"/>
  <c r="H904" i="2"/>
  <c r="H905" i="2"/>
  <c r="H737" i="2"/>
  <c r="H906" i="2"/>
  <c r="H670" i="2"/>
  <c r="H907" i="2"/>
  <c r="H576" i="2"/>
  <c r="H908" i="2"/>
  <c r="H685" i="2"/>
  <c r="H291" i="2"/>
  <c r="H909" i="2"/>
  <c r="H910" i="2"/>
  <c r="H911" i="2"/>
  <c r="H723" i="2"/>
  <c r="H730" i="2"/>
  <c r="H106" i="2"/>
  <c r="H912" i="2"/>
  <c r="H13" i="2"/>
  <c r="H19" i="2"/>
  <c r="H112" i="2"/>
  <c r="H317" i="2"/>
  <c r="H62" i="2"/>
  <c r="H566" i="2"/>
  <c r="H913" i="2"/>
  <c r="H289" i="2"/>
  <c r="H166" i="2"/>
  <c r="H168" i="2"/>
  <c r="H604" i="2"/>
  <c r="H216" i="2"/>
  <c r="H293" i="2"/>
  <c r="H440" i="2"/>
  <c r="H322" i="2"/>
  <c r="H914" i="2"/>
  <c r="H395" i="2"/>
  <c r="H271" i="2"/>
  <c r="H379" i="2"/>
  <c r="H510" i="2"/>
  <c r="H915" i="2"/>
  <c r="H313" i="2"/>
  <c r="H691" i="2"/>
  <c r="H652" i="2"/>
  <c r="H504" i="2"/>
  <c r="H268" i="2"/>
  <c r="H641" i="2"/>
  <c r="H482" i="2"/>
  <c r="H434" i="2"/>
  <c r="H699" i="2"/>
  <c r="H681" i="2"/>
  <c r="H519" i="2"/>
  <c r="H458" i="2"/>
  <c r="H762" i="2"/>
  <c r="H477" i="2"/>
  <c r="H457" i="2"/>
  <c r="H587" i="2"/>
  <c r="H40" i="2"/>
  <c r="H75" i="2"/>
  <c r="H183" i="2"/>
  <c r="H56" i="2"/>
  <c r="H567" i="2"/>
  <c r="H274" i="2"/>
  <c r="H916" i="2"/>
  <c r="H420" i="2"/>
  <c r="H99" i="2"/>
  <c r="H917" i="2"/>
  <c r="H338" i="2"/>
  <c r="H194" i="2"/>
  <c r="H345" i="2"/>
  <c r="H192" i="2"/>
  <c r="H203" i="2"/>
  <c r="H349" i="2"/>
  <c r="H191" i="2"/>
  <c r="H346" i="2"/>
  <c r="H400" i="2"/>
  <c r="H347" i="2"/>
  <c r="H340" i="2"/>
  <c r="H193" i="2"/>
  <c r="H114" i="2"/>
  <c r="H100" i="2"/>
  <c r="H580" i="2"/>
  <c r="H728" i="2"/>
  <c r="H223" i="2"/>
  <c r="H339" i="2"/>
  <c r="H422" i="2"/>
  <c r="H333" i="2"/>
  <c r="H244" i="2"/>
  <c r="H626" i="2"/>
  <c r="H918" i="2"/>
  <c r="H126" i="2"/>
  <c r="H657" i="2"/>
  <c r="H740" i="2"/>
  <c r="H348" i="2"/>
  <c r="H341" i="2"/>
  <c r="H405" i="2"/>
  <c r="H401" i="2"/>
  <c r="H919" i="2"/>
  <c r="H334" i="2"/>
  <c r="H581" i="2"/>
  <c r="H344" i="2"/>
  <c r="H920" i="2"/>
  <c r="H575" i="2"/>
  <c r="H342" i="2"/>
  <c r="H921" i="2"/>
  <c r="H337" i="2"/>
  <c r="H610" i="2"/>
  <c r="H416" i="2"/>
  <c r="H577" i="2"/>
  <c r="H404" i="2"/>
  <c r="H350" i="2"/>
  <c r="H579" i="2"/>
  <c r="H922" i="2"/>
  <c r="H578" i="2"/>
  <c r="H541" i="2"/>
  <c r="H178" i="2"/>
  <c r="H739" i="2"/>
  <c r="H17" i="2"/>
  <c r="H23" i="2"/>
  <c r="H148" i="2"/>
  <c r="H439" i="2"/>
  <c r="H44" i="2"/>
  <c r="H636" i="2"/>
  <c r="H923" i="2"/>
  <c r="H171" i="2"/>
  <c r="H205" i="2"/>
  <c r="H115" i="2"/>
  <c r="H377" i="2"/>
  <c r="H252" i="2"/>
  <c r="H433" i="2"/>
  <c r="H563" i="2"/>
  <c r="H390" i="2"/>
  <c r="H924" i="2"/>
  <c r="H459" i="2"/>
  <c r="H201" i="2"/>
  <c r="H562" i="2"/>
  <c r="H559" i="2"/>
  <c r="H925" i="2"/>
  <c r="H363" i="2"/>
  <c r="H650" i="2"/>
  <c r="H666" i="2"/>
  <c r="H926" i="2"/>
  <c r="H613" i="2"/>
  <c r="H689" i="2"/>
  <c r="H465" i="2"/>
  <c r="H378" i="2"/>
  <c r="H736" i="2"/>
  <c r="H771" i="2"/>
  <c r="H643" i="2"/>
  <c r="H513" i="2"/>
  <c r="H746" i="2"/>
  <c r="H687" i="2"/>
  <c r="H593" i="2"/>
  <c r="H516" i="2"/>
  <c r="H65" i="2"/>
  <c r="H51" i="2"/>
  <c r="H394" i="2"/>
  <c r="H90" i="2"/>
  <c r="H637" i="2"/>
  <c r="H343" i="2"/>
  <c r="H927" i="2"/>
  <c r="H928" i="2"/>
  <c r="H929" i="2"/>
  <c r="H930" i="2"/>
  <c r="H403" i="2"/>
  <c r="H218" i="2"/>
  <c r="H273" i="2"/>
  <c r="H246" i="2"/>
  <c r="H92" i="2"/>
  <c r="H186" i="2"/>
  <c r="H245" i="2"/>
  <c r="H188" i="2"/>
  <c r="H487" i="2"/>
  <c r="H460" i="2"/>
  <c r="H397" i="2"/>
  <c r="H249" i="2"/>
  <c r="H164" i="2"/>
  <c r="H157" i="2"/>
  <c r="H549" i="2"/>
  <c r="H708" i="2"/>
  <c r="H257" i="2"/>
  <c r="H402" i="2"/>
  <c r="H415" i="2"/>
  <c r="H409" i="2"/>
  <c r="H357" i="2"/>
  <c r="H558" i="2"/>
  <c r="H931" i="2"/>
  <c r="H124" i="2"/>
  <c r="H553" i="2"/>
  <c r="H680" i="2"/>
  <c r="H264" i="2"/>
  <c r="H399" i="2"/>
  <c r="H484" i="2"/>
  <c r="H486" i="2"/>
  <c r="H932" i="2"/>
  <c r="H411" i="2"/>
  <c r="H537" i="2"/>
  <c r="H286" i="2"/>
  <c r="H933" i="2"/>
  <c r="H611" i="2"/>
  <c r="H398" i="2"/>
  <c r="H743" i="2"/>
  <c r="H407" i="2"/>
  <c r="H660" i="2"/>
  <c r="H332" i="2"/>
  <c r="H697" i="2"/>
  <c r="H485" i="2"/>
  <c r="H446" i="2"/>
  <c r="H609" i="2"/>
  <c r="H934" i="2"/>
  <c r="H935" i="2"/>
  <c r="H588" i="2"/>
  <c r="H189" i="2"/>
  <c r="H764" i="2"/>
  <c r="H11" i="2"/>
  <c r="H41" i="2"/>
  <c r="H374" i="2"/>
  <c r="H202" i="2"/>
  <c r="H159" i="2"/>
  <c r="H698" i="2"/>
  <c r="H389" i="2"/>
  <c r="H663" i="2"/>
  <c r="H499" i="2"/>
  <c r="H331" i="2"/>
  <c r="H382" i="2"/>
  <c r="H503" i="2"/>
  <c r="H603" i="2"/>
  <c r="H351" i="2"/>
  <c r="H254" i="2"/>
  <c r="H550" i="2"/>
  <c r="H589" i="2"/>
  <c r="H303" i="2"/>
  <c r="H700" i="2"/>
  <c r="H752" i="2"/>
  <c r="H692" i="2"/>
  <c r="H760" i="2"/>
  <c r="H714" i="2"/>
  <c r="H586" i="2"/>
  <c r="H693" i="2"/>
  <c r="H735" i="2"/>
  <c r="H501" i="2"/>
  <c r="H132" i="2"/>
  <c r="H615" i="2"/>
  <c r="H323" i="2"/>
  <c r="H105" i="2"/>
  <c r="H261" i="2"/>
  <c r="H473" i="2"/>
  <c r="H365" i="2"/>
  <c r="H659" i="2"/>
  <c r="H329" i="2"/>
  <c r="H745" i="2"/>
  <c r="H328" i="2"/>
  <c r="H557" i="2"/>
  <c r="H469" i="2"/>
  <c r="H330" i="2"/>
  <c r="H302" i="2"/>
  <c r="H707" i="2"/>
  <c r="H619" i="2"/>
  <c r="H319" i="2"/>
  <c r="H474" i="2"/>
  <c r="H608" i="2"/>
  <c r="H476" i="2"/>
  <c r="H770" i="2"/>
  <c r="H220" i="2"/>
  <c r="H682" i="2"/>
  <c r="H750" i="2"/>
  <c r="H668" i="2"/>
  <c r="H470" i="2"/>
  <c r="H478" i="2"/>
  <c r="H717" i="2"/>
  <c r="H640" i="2"/>
  <c r="H658" i="2"/>
  <c r="H471" i="2"/>
  <c r="H475" i="2"/>
  <c r="H472" i="2"/>
  <c r="H678" i="2"/>
  <c r="H464" i="2"/>
  <c r="H655" i="2"/>
  <c r="H656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84" i="2"/>
  <c r="H8" i="2"/>
  <c r="H88" i="2"/>
  <c r="H128" i="2"/>
  <c r="H141" i="2"/>
  <c r="H163" i="2"/>
  <c r="H447" i="2"/>
  <c r="H108" i="2"/>
  <c r="H175" i="2"/>
  <c r="H556" i="2"/>
  <c r="H508" i="2"/>
  <c r="H219" i="2"/>
  <c r="H774" i="2"/>
  <c r="H959" i="2"/>
  <c r="H480" i="2"/>
  <c r="H453" i="2"/>
  <c r="H598" i="2"/>
  <c r="H960" i="2"/>
  <c r="H406" i="2"/>
  <c r="H675" i="2"/>
  <c r="H582" i="2"/>
  <c r="H676" i="2"/>
  <c r="H961" i="2"/>
  <c r="H962" i="2"/>
  <c r="H226" i="2"/>
  <c r="H757" i="2"/>
  <c r="H599" i="2"/>
  <c r="H492" i="2"/>
  <c r="H725" i="2"/>
  <c r="H455" i="2"/>
  <c r="H297" i="2"/>
  <c r="H170" i="2"/>
  <c r="H307" i="2"/>
  <c r="H437" i="2"/>
  <c r="H316" i="2"/>
  <c r="H259" i="2"/>
  <c r="H512" i="2"/>
  <c r="H353" i="2"/>
  <c r="H683" i="2"/>
  <c r="H372" i="2"/>
  <c r="H206" i="2"/>
  <c r="H424" i="2"/>
  <c r="H352" i="2"/>
  <c r="H547" i="2"/>
  <c r="H321" i="2"/>
  <c r="H256" i="2"/>
  <c r="H359" i="2"/>
  <c r="H371" i="2"/>
  <c r="H418" i="2"/>
  <c r="H380" i="2"/>
  <c r="H500" i="2"/>
  <c r="H624" i="2"/>
  <c r="H173" i="2"/>
  <c r="H702" i="2"/>
  <c r="H780" i="2"/>
  <c r="H649" i="2"/>
  <c r="H327" i="2"/>
  <c r="H644" i="2"/>
  <c r="H758" i="2"/>
  <c r="H430" i="2"/>
  <c r="H435" i="2"/>
  <c r="H601" i="2"/>
  <c r="H712" i="2"/>
  <c r="H710" i="2"/>
  <c r="H963" i="2"/>
  <c r="H495" i="2"/>
  <c r="H387" i="2"/>
  <c r="H597" i="2"/>
  <c r="H665" i="2"/>
  <c r="H964" i="2"/>
  <c r="H612" i="2"/>
  <c r="H778" i="2"/>
  <c r="H965" i="2"/>
  <c r="H966" i="2"/>
  <c r="H776" i="2"/>
  <c r="H653" i="2"/>
  <c r="H715" i="2"/>
  <c r="H629" i="2"/>
  <c r="H381" i="2"/>
  <c r="H751" i="2"/>
  <c r="H967" i="2"/>
  <c r="H756" i="2"/>
  <c r="H616" i="2"/>
  <c r="H781" i="2"/>
  <c r="H968" i="2"/>
  <c r="H734" i="2"/>
  <c r="H617" i="2"/>
  <c r="H754" i="2"/>
  <c r="H574" i="2"/>
  <c r="H253" i="2"/>
  <c r="H775" i="2"/>
  <c r="H733" i="2"/>
  <c r="H969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711" i="2"/>
  <c r="M97" i="2"/>
  <c r="M384" i="2"/>
  <c r="M517" i="2"/>
  <c r="M661" i="2"/>
  <c r="M825" i="2"/>
  <c r="M468" i="2"/>
  <c r="M463" i="2"/>
  <c r="M301" i="2"/>
  <c r="M318" i="2"/>
  <c r="M278" i="2"/>
  <c r="M294" i="2"/>
  <c r="M31" i="2"/>
  <c r="M53" i="2"/>
  <c r="M169" i="2"/>
  <c r="M135" i="2"/>
  <c r="M594" i="2"/>
  <c r="M496" i="2"/>
  <c r="M364" i="2"/>
  <c r="M87" i="2"/>
  <c r="M21" i="2"/>
  <c r="M70" i="2"/>
  <c r="M71" i="2"/>
  <c r="M826" i="2"/>
  <c r="M102" i="2"/>
  <c r="M279" i="2"/>
  <c r="M827" i="2"/>
  <c r="M16" i="2"/>
  <c r="M684" i="2"/>
  <c r="M450" i="2"/>
  <c r="M695" i="2"/>
  <c r="M280" i="2"/>
  <c r="M360" i="2"/>
  <c r="M281" i="2"/>
  <c r="M28" i="2"/>
  <c r="M224" i="2"/>
  <c r="M162" i="2"/>
  <c r="M243" i="2"/>
  <c r="M828" i="2"/>
  <c r="M829" i="2"/>
  <c r="M830" i="2"/>
  <c r="M118" i="2"/>
  <c r="M493" i="2"/>
  <c r="M542" i="2"/>
  <c r="M287" i="2"/>
  <c r="M237" i="2"/>
  <c r="M573" i="2"/>
  <c r="M534" i="2"/>
  <c r="M529" i="2"/>
  <c r="M142" i="2"/>
  <c r="M140" i="2"/>
  <c r="M520" i="2"/>
  <c r="M768" i="2"/>
  <c r="M521" i="2"/>
  <c r="M522" i="2"/>
  <c r="M139" i="2"/>
  <c r="M509" i="2"/>
  <c r="M535" i="2"/>
  <c r="M831" i="2"/>
  <c r="M540" i="2"/>
  <c r="M523" i="2"/>
  <c r="M605" i="2"/>
  <c r="M238" i="2"/>
  <c r="M527" i="2"/>
  <c r="M530" i="2"/>
  <c r="M138" i="2"/>
  <c r="M239" i="2"/>
  <c r="M494" i="2"/>
  <c r="M151" i="2"/>
  <c r="M505" i="2"/>
  <c r="M524" i="2"/>
  <c r="M236" i="2"/>
  <c r="M283" i="2"/>
  <c r="M832" i="2"/>
  <c r="M543" i="2"/>
  <c r="M532" i="2"/>
  <c r="M651" i="2"/>
  <c r="M144" i="2"/>
  <c r="M525" i="2"/>
  <c r="M833" i="2"/>
  <c r="M528" i="2"/>
  <c r="M276" i="2"/>
  <c r="M526" i="2"/>
  <c r="M285" i="2"/>
  <c r="M104" i="2"/>
  <c r="M834" i="2"/>
  <c r="M705" i="2"/>
  <c r="M314" i="2"/>
  <c r="M648" i="2"/>
  <c r="M835" i="2"/>
  <c r="M836" i="2"/>
  <c r="M35" i="2"/>
  <c r="M445" i="2"/>
  <c r="M161" i="2"/>
  <c r="M654" i="2"/>
  <c r="M490" i="2"/>
  <c r="M312" i="2"/>
  <c r="M679" i="2"/>
  <c r="M462" i="2"/>
  <c r="M123" i="2"/>
  <c r="M514" i="2"/>
  <c r="M133" i="2"/>
  <c r="M93" i="2"/>
  <c r="M146" i="2"/>
  <c r="M232" i="2"/>
  <c r="M39" i="2"/>
  <c r="M60" i="2"/>
  <c r="M136" i="2"/>
  <c r="M38" i="2"/>
  <c r="M507" i="2"/>
  <c r="M590" i="2"/>
  <c r="M677" i="2"/>
  <c r="M308" i="2"/>
  <c r="M46" i="2"/>
  <c r="M24" i="2"/>
  <c r="M152" i="2"/>
  <c r="M54" i="2"/>
  <c r="M222" i="2"/>
  <c r="M69" i="2"/>
  <c r="M167" i="2"/>
  <c r="M15" i="2"/>
  <c r="M554" i="2"/>
  <c r="M368" i="2"/>
  <c r="M634" i="2"/>
  <c r="M68" i="2"/>
  <c r="M235" i="2"/>
  <c r="M231" i="2"/>
  <c r="M20" i="2"/>
  <c r="M94" i="2"/>
  <c r="M185" i="2"/>
  <c r="M258" i="2"/>
  <c r="M766" i="2"/>
  <c r="M837" i="2"/>
  <c r="M838" i="2"/>
  <c r="M408" i="2"/>
  <c r="M45" i="2"/>
  <c r="M37" i="2"/>
  <c r="M839" i="2"/>
  <c r="M840" i="2"/>
  <c r="M841" i="2"/>
  <c r="M842" i="2"/>
  <c r="M39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732" i="2"/>
  <c r="M855" i="2"/>
  <c r="M856" i="2"/>
  <c r="M857" i="2"/>
  <c r="M858" i="2"/>
  <c r="M859" i="2"/>
  <c r="M606" i="2"/>
  <c r="M720" i="2"/>
  <c r="M860" i="2"/>
  <c r="M861" i="2"/>
  <c r="M625" i="2"/>
  <c r="M862" i="2"/>
  <c r="M863" i="2"/>
  <c r="M864" i="2"/>
  <c r="M865" i="2"/>
  <c r="M866" i="2"/>
  <c r="M867" i="2"/>
  <c r="M868" i="2"/>
  <c r="M869" i="2"/>
  <c r="M870" i="2"/>
  <c r="M738" i="2"/>
  <c r="M871" i="2"/>
  <c r="M669" i="2"/>
  <c r="M872" i="2"/>
  <c r="M873" i="2"/>
  <c r="M874" i="2"/>
  <c r="M686" i="2"/>
  <c r="M875" i="2"/>
  <c r="M876" i="2"/>
  <c r="M877" i="2"/>
  <c r="M878" i="2"/>
  <c r="M724" i="2"/>
  <c r="M731" i="2"/>
  <c r="M154" i="2"/>
  <c r="M642" i="2"/>
  <c r="M14" i="2"/>
  <c r="M12" i="2"/>
  <c r="M131" i="2"/>
  <c r="M119" i="2"/>
  <c r="M61" i="2"/>
  <c r="M538" i="2"/>
  <c r="M266" i="2"/>
  <c r="M83" i="2"/>
  <c r="M78" i="2"/>
  <c r="M73" i="2"/>
  <c r="M113" i="2"/>
  <c r="M125" i="2"/>
  <c r="M89" i="2"/>
  <c r="M107" i="2"/>
  <c r="M879" i="2"/>
  <c r="M234" i="2"/>
  <c r="M187" i="2"/>
  <c r="M306" i="2"/>
  <c r="M425" i="2"/>
  <c r="M511" i="2"/>
  <c r="M233" i="2"/>
  <c r="M174" i="2"/>
  <c r="M299" i="2"/>
  <c r="M250" i="2"/>
  <c r="M623" i="2"/>
  <c r="M427" i="2"/>
  <c r="M127" i="2"/>
  <c r="M568" i="2"/>
  <c r="M595" i="2"/>
  <c r="M564" i="2"/>
  <c r="M518" i="2"/>
  <c r="M726" i="2"/>
  <c r="M358" i="2"/>
  <c r="M385" i="2"/>
  <c r="M479" i="2"/>
  <c r="M25" i="2"/>
  <c r="M34" i="2"/>
  <c r="M82" i="2"/>
  <c r="M50" i="2"/>
  <c r="M539" i="2"/>
  <c r="M255" i="2"/>
  <c r="M30" i="2"/>
  <c r="M156" i="2"/>
  <c r="M74" i="2"/>
  <c r="M880" i="2"/>
  <c r="M881" i="2"/>
  <c r="M882" i="2"/>
  <c r="M391" i="2"/>
  <c r="M883" i="2"/>
  <c r="M884" i="2"/>
  <c r="M885" i="2"/>
  <c r="M886" i="2"/>
  <c r="M887" i="2"/>
  <c r="M290" i="2"/>
  <c r="M888" i="2"/>
  <c r="M889" i="2"/>
  <c r="M890" i="2"/>
  <c r="M891" i="2"/>
  <c r="M63" i="2"/>
  <c r="M892" i="2"/>
  <c r="M748" i="2"/>
  <c r="M893" i="2"/>
  <c r="M894" i="2"/>
  <c r="M895" i="2"/>
  <c r="M896" i="2"/>
  <c r="M190" i="2"/>
  <c r="M639" i="2"/>
  <c r="M749" i="2"/>
  <c r="M897" i="2"/>
  <c r="M898" i="2"/>
  <c r="M706" i="2"/>
  <c r="M899" i="2"/>
  <c r="M900" i="2"/>
  <c r="M335" i="2"/>
  <c r="M336" i="2"/>
  <c r="M901" i="2"/>
  <c r="M902" i="2"/>
  <c r="M903" i="2"/>
  <c r="M904" i="2"/>
  <c r="M905" i="2"/>
  <c r="M737" i="2"/>
  <c r="M906" i="2"/>
  <c r="M670" i="2"/>
  <c r="M907" i="2"/>
  <c r="M576" i="2"/>
  <c r="M908" i="2"/>
  <c r="M685" i="2"/>
  <c r="M291" i="2"/>
  <c r="M909" i="2"/>
  <c r="M910" i="2"/>
  <c r="M911" i="2"/>
  <c r="M723" i="2"/>
  <c r="M730" i="2"/>
  <c r="M106" i="2"/>
  <c r="M912" i="2"/>
  <c r="M13" i="2"/>
  <c r="M19" i="2"/>
  <c r="M112" i="2"/>
  <c r="M317" i="2"/>
  <c r="M62" i="2"/>
  <c r="M566" i="2"/>
  <c r="M913" i="2"/>
  <c r="M289" i="2"/>
  <c r="M166" i="2"/>
  <c r="M168" i="2"/>
  <c r="M604" i="2"/>
  <c r="M216" i="2"/>
  <c r="M293" i="2"/>
  <c r="M440" i="2"/>
  <c r="M322" i="2"/>
  <c r="M914" i="2"/>
  <c r="M395" i="2"/>
  <c r="M271" i="2"/>
  <c r="M379" i="2"/>
  <c r="M510" i="2"/>
  <c r="M915" i="2"/>
  <c r="M313" i="2"/>
  <c r="M691" i="2"/>
  <c r="M652" i="2"/>
  <c r="M504" i="2"/>
  <c r="M268" i="2"/>
  <c r="M641" i="2"/>
  <c r="M482" i="2"/>
  <c r="M434" i="2"/>
  <c r="M699" i="2"/>
  <c r="M681" i="2"/>
  <c r="M519" i="2"/>
  <c r="M458" i="2"/>
  <c r="M762" i="2"/>
  <c r="M477" i="2"/>
  <c r="M457" i="2"/>
  <c r="M587" i="2"/>
  <c r="M40" i="2"/>
  <c r="M75" i="2"/>
  <c r="M183" i="2"/>
  <c r="M56" i="2"/>
  <c r="M567" i="2"/>
  <c r="M274" i="2"/>
  <c r="M916" i="2"/>
  <c r="M420" i="2"/>
  <c r="M99" i="2"/>
  <c r="M917" i="2"/>
  <c r="M338" i="2"/>
  <c r="M194" i="2"/>
  <c r="M345" i="2"/>
  <c r="M192" i="2"/>
  <c r="M203" i="2"/>
  <c r="M349" i="2"/>
  <c r="M191" i="2"/>
  <c r="M346" i="2"/>
  <c r="M347" i="2"/>
  <c r="M340" i="2"/>
  <c r="M193" i="2"/>
  <c r="M114" i="2"/>
  <c r="M100" i="2"/>
  <c r="M580" i="2"/>
  <c r="M728" i="2"/>
  <c r="M223" i="2"/>
  <c r="M339" i="2"/>
  <c r="M422" i="2"/>
  <c r="M333" i="2"/>
  <c r="M244" i="2"/>
  <c r="M626" i="2"/>
  <c r="M918" i="2"/>
  <c r="M126" i="2"/>
  <c r="M657" i="2"/>
  <c r="M740" i="2"/>
  <c r="M348" i="2"/>
  <c r="M341" i="2"/>
  <c r="M405" i="2"/>
  <c r="M401" i="2"/>
  <c r="M919" i="2"/>
  <c r="M334" i="2"/>
  <c r="M581" i="2"/>
  <c r="M344" i="2"/>
  <c r="M920" i="2"/>
  <c r="M575" i="2"/>
  <c r="M342" i="2"/>
  <c r="M921" i="2"/>
  <c r="M337" i="2"/>
  <c r="M610" i="2"/>
  <c r="M416" i="2"/>
  <c r="M577" i="2"/>
  <c r="M404" i="2"/>
  <c r="M579" i="2"/>
  <c r="M922" i="2"/>
  <c r="M578" i="2"/>
  <c r="M541" i="2"/>
  <c r="M178" i="2"/>
  <c r="M739" i="2"/>
  <c r="M17" i="2"/>
  <c r="M23" i="2"/>
  <c r="M148" i="2"/>
  <c r="M439" i="2"/>
  <c r="M44" i="2"/>
  <c r="M636" i="2"/>
  <c r="M923" i="2"/>
  <c r="M171" i="2"/>
  <c r="M205" i="2"/>
  <c r="M115" i="2"/>
  <c r="M377" i="2"/>
  <c r="M252" i="2"/>
  <c r="M433" i="2"/>
  <c r="M563" i="2"/>
  <c r="M390" i="2"/>
  <c r="M924" i="2"/>
  <c r="M459" i="2"/>
  <c r="M201" i="2"/>
  <c r="M562" i="2"/>
  <c r="M559" i="2"/>
  <c r="M925" i="2"/>
  <c r="M363" i="2"/>
  <c r="M650" i="2"/>
  <c r="M666" i="2"/>
  <c r="M926" i="2"/>
  <c r="M613" i="2"/>
  <c r="M689" i="2"/>
  <c r="M465" i="2"/>
  <c r="M378" i="2"/>
  <c r="M736" i="2"/>
  <c r="M771" i="2"/>
  <c r="M643" i="2"/>
  <c r="M513" i="2"/>
  <c r="M746" i="2"/>
  <c r="M687" i="2"/>
  <c r="M593" i="2"/>
  <c r="M516" i="2"/>
  <c r="M65" i="2"/>
  <c r="M51" i="2"/>
  <c r="M394" i="2"/>
  <c r="M90" i="2"/>
  <c r="M637" i="2"/>
  <c r="M343" i="2"/>
  <c r="M927" i="2"/>
  <c r="M928" i="2"/>
  <c r="M929" i="2"/>
  <c r="M930" i="2"/>
  <c r="M403" i="2"/>
  <c r="M218" i="2"/>
  <c r="M273" i="2"/>
  <c r="M246" i="2"/>
  <c r="M92" i="2"/>
  <c r="M186" i="2"/>
  <c r="M245" i="2"/>
  <c r="M188" i="2"/>
  <c r="M487" i="2"/>
  <c r="M460" i="2"/>
  <c r="M397" i="2"/>
  <c r="M249" i="2"/>
  <c r="M164" i="2"/>
  <c r="M157" i="2"/>
  <c r="M549" i="2"/>
  <c r="M708" i="2"/>
  <c r="M257" i="2"/>
  <c r="M402" i="2"/>
  <c r="M415" i="2"/>
  <c r="M409" i="2"/>
  <c r="M357" i="2"/>
  <c r="M558" i="2"/>
  <c r="M931" i="2"/>
  <c r="M124" i="2"/>
  <c r="M553" i="2"/>
  <c r="M680" i="2"/>
  <c r="M264" i="2"/>
  <c r="M399" i="2"/>
  <c r="M484" i="2"/>
  <c r="M486" i="2"/>
  <c r="M932" i="2"/>
  <c r="M411" i="2"/>
  <c r="M537" i="2"/>
  <c r="M286" i="2"/>
  <c r="M933" i="2"/>
  <c r="M611" i="2"/>
  <c r="M398" i="2"/>
  <c r="M743" i="2"/>
  <c r="M407" i="2"/>
  <c r="M660" i="2"/>
  <c r="M332" i="2"/>
  <c r="M697" i="2"/>
  <c r="M485" i="2"/>
  <c r="M446" i="2"/>
  <c r="M609" i="2"/>
  <c r="M934" i="2"/>
  <c r="M935" i="2"/>
  <c r="M588" i="2"/>
  <c r="M189" i="2"/>
  <c r="M764" i="2"/>
  <c r="M11" i="2"/>
  <c r="M41" i="2"/>
  <c r="M374" i="2"/>
  <c r="M202" i="2"/>
  <c r="M159" i="2"/>
  <c r="M698" i="2"/>
  <c r="Y698" i="2"/>
  <c r="M389" i="2"/>
  <c r="M663" i="2"/>
  <c r="M499" i="2"/>
  <c r="M331" i="2"/>
  <c r="M382" i="2"/>
  <c r="M503" i="2"/>
  <c r="M603" i="2"/>
  <c r="M351" i="2"/>
  <c r="M254" i="2"/>
  <c r="M550" i="2"/>
  <c r="M589" i="2"/>
  <c r="M303" i="2"/>
  <c r="M700" i="2"/>
  <c r="M752" i="2"/>
  <c r="M692" i="2"/>
  <c r="M760" i="2"/>
  <c r="M714" i="2"/>
  <c r="M586" i="2"/>
  <c r="M693" i="2"/>
  <c r="M735" i="2"/>
  <c r="M501" i="2"/>
  <c r="M132" i="2"/>
  <c r="M615" i="2"/>
  <c r="M323" i="2"/>
  <c r="M105" i="2"/>
  <c r="M261" i="2"/>
  <c r="M473" i="2"/>
  <c r="M365" i="2"/>
  <c r="M659" i="2"/>
  <c r="M329" i="2"/>
  <c r="M745" i="2"/>
  <c r="M328" i="2"/>
  <c r="M557" i="2"/>
  <c r="M469" i="2"/>
  <c r="M330" i="2"/>
  <c r="M302" i="2"/>
  <c r="M707" i="2"/>
  <c r="M619" i="2"/>
  <c r="M319" i="2"/>
  <c r="M474" i="2"/>
  <c r="M608" i="2"/>
  <c r="M476" i="2"/>
  <c r="M770" i="2"/>
  <c r="M220" i="2"/>
  <c r="M682" i="2"/>
  <c r="Y682" i="2"/>
  <c r="M750" i="2"/>
  <c r="M470" i="2"/>
  <c r="M478" i="2"/>
  <c r="M717" i="2"/>
  <c r="M640" i="2"/>
  <c r="M658" i="2"/>
  <c r="M471" i="2"/>
  <c r="M475" i="2"/>
  <c r="M472" i="2"/>
  <c r="M678" i="2"/>
  <c r="M655" i="2"/>
  <c r="Y655" i="2"/>
  <c r="M656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D19" i="4"/>
  <c r="D20" i="4"/>
  <c r="D21" i="4"/>
  <c r="D22" i="4"/>
  <c r="D23" i="4"/>
  <c r="D2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tc={17DE1078-1B8F-44A6-83A2-6918FC73C4C8}</author>
    <author>tc={CFD8CABA-5A48-4F73-9CEA-C4A5C9058E27}</author>
    <author>tc={A7C1883E-01AC-4749-8A67-DE301C6FDB1A}</author>
    <author>tc={7423171D-1DA3-42A8-A920-4A9738565118}</author>
    <author>tc={CD5BE5F3-5430-44A7-95D0-5BAB7A559C93}</author>
    <author>tc={705FDF3C-B1E4-4F75-B991-3FD382BBAC96}</author>
    <author>tc={4E5C5257-3C25-4EDC-BF38-487FB3FC37BD}</author>
    <author>tc={7A2FB2E0-0D94-47B4-8D90-C773E23ACEE6}</author>
    <author>tc={76FA1F15-8B27-4336-99E8-CD045CD7917B}</author>
    <author>tc={D078156A-4410-4CEB-ACF3-03D5AD457A9E}</author>
    <author>tc={E687FA74-482E-46EE-A6F5-83A9C9C08CCC}</author>
    <author>tc={1BCEA3AF-7921-4703-B6E5-A1DC82943874}</author>
    <author>tc={D7B8F9FD-A8E9-4436-BBEB-1A1C25D8B98F}</author>
    <author>tc={E3F5D00C-6AD6-4513-B616-EBEBCA2E838E}</author>
    <author>tc={15D3CF3C-DD2E-4592-B250-98F4B5AF69C8}</author>
    <author>tc={F2E20CC8-845F-4579-98E0-7C4A7D242C57}</author>
    <author>tc={FD9BADA0-9B2F-476E-ACB6-2743BB491AED}</author>
    <author>tc={9C20ED60-F66D-4D72-A37A-2E5E1392156D}</author>
    <author>tc={CC37DE2B-A4CF-4CEC-A428-45F80368EEB5}</author>
    <author>tc={E544ED40-54FF-4A8F-8175-20473E3487A0}</author>
    <author>tc={72B7F5F0-CD2D-47E2-8550-E6FF44843FD9}</author>
    <author>tc={AA353292-E300-4AE4-8088-0730A6ED7809}</author>
    <author>tc={B5210039-0EF1-4587-9D0A-56B9CE9093E2}</author>
    <author>tc={FF0B8552-0F56-4CCD-9C90-03E2391860A0}</author>
    <author>tc={6EF9EA8B-382C-4C47-AFC3-69132008ACF1}</author>
    <author>tc={DBEE7052-06B7-4A63-8797-701A9313B74F}</author>
    <author>tc={6A29838E-64FA-4318-AEDA-4EE25B4BB3D3}</author>
    <author>tc={D8D6097E-A14B-463F-B6CF-C51F40F3BF3F}</author>
    <author>tc={1ED0B8EA-E896-4F52-938E-C9A084793E31}</author>
    <author>tc={DCE061C9-844B-4125-B53F-67675A2AB66C}</author>
    <author>tc={CA2A4676-694D-4406-8AB2-E4ED5626928D}</author>
    <author>tc={2801D516-5956-4937-89B9-CBCCA7CBFFD2}</author>
    <author>tc={F5B533F4-17DD-49B3-9D8C-835B3732C913}</author>
    <author>tc={41846F97-EF51-4B53-8C8B-8F0A0CA59E2D}</author>
    <author>tc={4BDA1D48-ECFC-4748-B0B4-4A8DDC7B9265}</author>
    <author>tc={FCD986C2-AF0F-4C2C-BB5D-E17CCEBCC7A4}</author>
    <author>tc={D6120E6E-4604-44FF-83A0-AE0D1FDBD772}</author>
    <author>tc={38B8DA2E-3356-43F9-A206-7294DA82EBB6}</author>
    <author>tc={DD63234C-92C8-43FD-A087-8BF1EA782D40}</author>
    <author>tc={759B3A45-9616-456E-9A80-9FE055F787B4}</author>
    <author>tc={4F474F76-0AD2-499D-9379-D3F36DBEDA11}</author>
    <author>tc={989A3E44-D572-49E6-BEA1-A62D377F56FB}</author>
    <author>tc={5D6D4EB1-D19B-49AB-8775-F10DC7A3094D}</author>
    <author>tc={B26ADDC2-805F-4BC5-9B43-99DC950BA6C6}</author>
    <author>tc={9809C9A2-76CA-492D-94B7-9D91C896442A}</author>
    <author>tc={3B95CD01-0F31-4196-97FD-46A28624B44A}</author>
    <author>tc={9A5DBA69-61B9-4E0D-9279-4E3A3CAD28FC}</author>
    <author>tc={CC388AAB-2AD6-4F67-BB87-D28C84472631}</author>
    <author>tc={0BF08454-FB5F-4D57-A807-3B353A8E4D56}</author>
    <author>tc={5D63E671-0113-47A4-B626-2FF24FDA82F8}</author>
    <author>tc={9F461C51-4C4E-4884-8C61-583EEA272B4A}</author>
    <author>tc={9AC963BA-38A7-4A02-856F-3B7B6CFDDED4}</author>
    <author>tc={AD1E7038-3808-43D1-A801-E4E6A50FC866}</author>
    <author>tc={89293B6B-F84F-4FA6-8102-048D09989857}</author>
    <author>tc={4879099C-F675-4327-9B67-B30B09D97CB6}</author>
    <author>tc={A43E09E5-490E-4B06-AD6C-197CF8ACE7F7}</author>
    <author>tc={3013D503-206F-43F7-98D7-4F1AD5E93A65}</author>
    <author>tc={F3C9EA9E-AE6E-4551-8642-490A86859F17}</author>
    <author>tc={0359CD5D-A93D-4801-A8C0-B521CAA032C9}</author>
    <author>tc={42909D6D-80EF-4789-A360-DD7BDEBFB7AE}</author>
    <author>tc={2AB919A7-2E23-4F3F-B1B2-A9FA45FE9439}</author>
    <author>tc={6AFDDACF-F9DA-4D88-8A0F-9465808A17FC}</author>
    <author>tc={955616C6-7005-4514-AF8D-5A1B2369131E}</author>
    <author>tc={60063553-E059-4446-93FE-7803D5FEF699}</author>
    <author>tc={13B931A9-6770-4F87-A281-B6D8DB960C6F}</author>
    <author>tc={F9D5C609-B608-4AE3-AFFC-2755B1241E40}</author>
    <author>tc={4DF550E5-6039-4F61-B573-FA8AFDC1F9E6}</author>
    <author>tc={3FD153B9-F545-4A01-BE23-4AE481A5F1A9}</author>
    <author>tc={2F928198-77F1-4547-917A-BECEE50CB94D}</author>
    <author>tc={B80BCAAE-0B6C-43D6-804E-89B2B295900B}</author>
    <author>tc={B73A4663-0349-4982-89F6-B71E9DC0AD7F}</author>
    <author>tc={E3019D3A-7FA3-446D-A99E-8DB10C69B524}</author>
    <author>tc={A625087D-8E1F-4175-A180-DD40A512E3EA}</author>
    <author>tc={D48ADA50-0A48-4A27-90BC-30E681784F6B}</author>
    <author>tc={CDA5BC05-C875-423A-8C0A-918BEA1F4DD4}</author>
    <author>tc={B422EA1A-2C22-466A-BC33-EC847082B2D5}</author>
    <author>tc={4A97854E-F73E-463B-A419-892C6022D745}</author>
    <author>tc={928A76E1-4F78-4E58-AE44-B4A0F046C465}</author>
  </authors>
  <commentList>
    <comment ref="B12" authorId="0" shapeId="0" xr:uid="{17DE1078-1B8F-44A6-83A2-6918FC73C4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14" authorId="1" shapeId="0" xr:uid="{CFD8CABA-5A48-4F73-9CEA-C4A5C9058E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25" authorId="2" shapeId="0" xr:uid="{A7C1883E-01AC-4749-8A67-DE301C6FDB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30" authorId="3" shapeId="0" xr:uid="{7423171D-1DA3-42A8-A920-4A973856511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não deve ser faturada
</t>
      </text>
    </comment>
    <comment ref="B34" authorId="4" shapeId="0" xr:uid="{CD5BE5F3-5430-44A7-95D0-5BAB7A559C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35" authorId="5" shapeId="0" xr:uid="{705FDF3C-B1E4-4F75-B991-3FD382BBAC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não deve ser faturada</t>
      </text>
    </comment>
    <comment ref="B37" authorId="6" shapeId="0" xr:uid="{4E5C5257-3C25-4EDC-BF38-487FB3FC37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mas que não supre todo o consumo.</t>
      </text>
    </comment>
    <comment ref="B45" authorId="7" shapeId="0" xr:uid="{7A2FB2E0-0D94-47B4-8D90-C773E23ACE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não deve ser faturada
</t>
      </text>
    </comment>
    <comment ref="B61" authorId="8" shapeId="0" xr:uid="{76FA1F15-8B27-4336-99E8-CD045CD791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70" authorId="9" shapeId="0" xr:uid="{D078156A-4410-4CEB-ACF3-03D5AD457A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em GDI e GDII</t>
      </text>
    </comment>
    <comment ref="B73" authorId="10" shapeId="0" xr:uid="{E687FA74-482E-46EE-A6F5-83A9C9C08C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77" authorId="11" shapeId="0" xr:uid="{1BCEA3AF-7921-4703-B6E5-A1DC8294387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mas que não supre todo o consumo.</t>
      </text>
    </comment>
    <comment ref="B78" authorId="12" shapeId="0" xr:uid="{D7B8F9FD-A8E9-4436-BBEB-1A1C25D8B9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82" authorId="13" shapeId="0" xr:uid="{E3F5D00C-6AD6-4513-B616-EBEBCA2E83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83" authorId="14" shapeId="0" xr:uid="{15D3CF3C-DD2E-4592-B250-98F4B5AF69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97" authorId="15" shapeId="0" xr:uid="{F2E20CC8-845F-4579-98E0-7C4A7D242C5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em GDI e GDII
</t>
      </text>
    </comment>
    <comment ref="B100" authorId="16" shapeId="0" xr:uid="{FD9BADA0-9B2F-476E-ACB6-2743BB491AE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emissão maior ou igual a data de emissão da fatura da Usina de Abril. Isso gerou uma diferença entre Gerado e Gerado TUSD
</t>
      </text>
    </comment>
    <comment ref="B107" authorId="17" shapeId="0" xr:uid="{9C20ED60-F66D-4D72-A37A-2E5E139215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119" authorId="18" shapeId="0" xr:uid="{CC37DE2B-A4CF-4CEC-A428-45F80368EE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122" authorId="19" shapeId="0" xr:uid="{E544ED40-54FF-4A8F-8175-20473E3487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127" authorId="20" shapeId="0" xr:uid="{72B7F5F0-CD2D-47E2-8550-E6FF44843F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156" authorId="21" shapeId="0" xr:uid="{AA353292-E300-4AE4-8088-0730A6ED78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mas que não supre todo o consumo.</t>
      </text>
    </comment>
    <comment ref="B174" authorId="22" shapeId="0" xr:uid="{B5210039-0EF1-4587-9D0A-56B9CE9093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187" authorId="23" shapeId="0" xr:uid="{FF0B8552-0F56-4CCD-9C90-03E2391860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233" authorId="24" shapeId="0" xr:uid="{6EF9EA8B-382C-4C47-AFC3-69132008AC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234" authorId="25" shapeId="0" xr:uid="{DBEE7052-06B7-4A63-8797-701A9313B7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244" authorId="26" shapeId="0" xr:uid="{6A29838E-64FA-4318-AEDA-4EE25B4BB3D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emissão maior ou igual a data de emissão da fatura da Usina de Abril. Isso gerou uma diferença entre Gerado e Gerado TUSD
</t>
      </text>
    </comment>
    <comment ref="B255" authorId="27" shapeId="0" xr:uid="{D8D6097E-A14B-463F-B6CF-C51F40F3BF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306" authorId="28" shapeId="0" xr:uid="{1ED0B8EA-E896-4F52-938E-C9A084793E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320" authorId="29" shapeId="0" xr:uid="{DCE061C9-844B-4125-B53F-67675A2AB6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358" authorId="30" shapeId="0" xr:uid="{CA2A4676-694D-4406-8AB2-E4ED562692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384" authorId="31" shapeId="0" xr:uid="{2801D516-5956-4937-89B9-CBCCA7CBFF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em GDI e GDII
</t>
      </text>
    </comment>
    <comment ref="B400" authorId="32" shapeId="0" xr:uid="{F5B533F4-17DD-49B3-9D8C-835B3732C91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emissão maior ou igual a data de emissão da fatura da Usina de Abril. Isso gerou uma diferença entre Gerado e Gerado TUSD
</t>
      </text>
    </comment>
    <comment ref="B401" authorId="33" shapeId="0" xr:uid="{41846F97-EF51-4B53-8C8B-8F0A0CA59E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emissão maior ou igual a data de emissão da fatura da Usina de Abril. Isso gerou uma diferença entre Gerado e Gerado TUSD
</t>
      </text>
    </comment>
    <comment ref="B404" authorId="34" shapeId="0" xr:uid="{4BDA1D48-ECFC-4748-B0B4-4A8DDC7B926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emissão maior ou igual a data de emissão da fatura da Usina de Abril. Isso gerou uma diferença entre Gerado e Gerado TUSD
</t>
      </text>
    </comment>
    <comment ref="B405" authorId="35" shapeId="0" xr:uid="{FCD986C2-AF0F-4C2C-BB5D-E17CCEBCC7A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emissão maior ou igual a data de emissão da fatura da Usina de Abril. Isso gerou uma diferença entre Gerado e Gerado TUSD
</t>
      </text>
    </comment>
    <comment ref="B408" authorId="36" shapeId="0" xr:uid="{D6120E6E-4604-44FF-83A0-AE0D1FDBD77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rateio 0 mas teve crédito inj. 
</t>
      </text>
    </comment>
    <comment ref="B420" authorId="37" shapeId="0" xr:uid="{38B8DA2E-3356-43F9-A206-7294DA82EB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mas que não supre todo o consumo.</t>
      </text>
    </comment>
    <comment ref="B450" authorId="38" shapeId="0" xr:uid="{DD63234C-92C8-43FD-A087-8BF1EA782D4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em GDI e GDII
</t>
      </text>
    </comment>
    <comment ref="B568" authorId="39" shapeId="0" xr:uid="{759B3A45-9616-456E-9A80-9FE055F787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créditos de GDII, provavelmente oriundos de GIROSSOL III</t>
      </text>
    </comment>
    <comment ref="B610" authorId="40" shapeId="0" xr:uid="{4F474F76-0AD2-499D-9379-D3F36DBEDA1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emissão maior ou igual a data de emissão da fatura da Usina de Abril. Isso gerou uma diferença entre Gerado e Gerado TUSD
</t>
      </text>
    </comment>
    <comment ref="B711" authorId="41" shapeId="0" xr:uid="{989A3E44-D572-49E6-BEA1-A62D377F56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em GDI e GDII</t>
      </text>
    </comment>
    <comment ref="B810" authorId="42" shapeId="0" xr:uid="{5D6D4EB1-D19B-49AB-8775-F10DC7A309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está vinculada a essa usina no CVS para o portal, mas não foi enviada para o rateio para a EMS
Responder:
    Houve erro e não foi incluída no rateio. Pode ser incluída nos próximos rateios</t>
      </text>
    </comment>
    <comment ref="B823" authorId="43" shapeId="0" xr:uid="{B26ADDC2-805F-4BC5-9B43-99DC950BA6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não foi enviada no CSV para o portal, mas esta no rateio
Responder:
    Estava na usina GDI, mas está como inativa e devem ser removidas</t>
      </text>
    </comment>
    <comment ref="B824" authorId="44" shapeId="0" xr:uid="{9809C9A2-76CA-492D-94B7-9D91C89644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não foi enviada no CSV para o portal, mas esta no rateio
Responder:
    Também esta inativa</t>
      </text>
    </comment>
    <comment ref="B825" authorId="45" shapeId="0" xr:uid="{3B95CD01-0F31-4196-97FD-46A28624B4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consumo</t>
      </text>
    </comment>
    <comment ref="B826" authorId="46" shapeId="0" xr:uid="{9A5DBA69-61B9-4E0D-9279-4E3A3CAD28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compensação</t>
      </text>
    </comment>
    <comment ref="B827" authorId="47" shapeId="0" xr:uid="{CC388AAB-2AD6-4F67-BB87-D28C844726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está vinculada a essa usina no CVS para o portal, mas não foi enviada para o rateio para a EMS
Responder:
    Houve erro e não foi incluída no rateio. Pode ser incluída nos próximos rateios</t>
      </text>
    </comment>
    <comment ref="B828" authorId="48" shapeId="0" xr:uid="{0BF08454-FB5F-4D57-A807-3B353A8E4D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não foi enviada no CSV para o portal, mas esta no rateio
Responder:
    Estava na usina GDI, mas está como inativa e devem ser removidas</t>
      </text>
    </comment>
    <comment ref="B829" authorId="49" shapeId="0" xr:uid="{5D63E671-0113-47A4-B626-2FF24FDA82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não foi enviada no CSV para o portal, mas esta no rateio
Responder:
    Também esta inativa (O pastor pediu para retirar do rateio)</t>
      </text>
    </comment>
    <comment ref="B830" authorId="50" shapeId="0" xr:uid="{9F461C51-4C4E-4884-8C61-583EEA272B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B831" authorId="51" shapeId="0" xr:uid="{9AC963BA-38A7-4A02-856F-3B7B6CFDDE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cobrança do custo de disponibilidade</t>
      </text>
    </comment>
    <comment ref="B832" authorId="52" shapeId="0" xr:uid="{AD1E7038-3808-43D1-A801-E4E6A50FC8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cobrança do custo de disponibilidade</t>
      </text>
    </comment>
    <comment ref="B833" authorId="53" shapeId="0" xr:uid="{89293B6B-F84F-4FA6-8102-048D099898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compensação</t>
      </text>
    </comment>
    <comment ref="B835" authorId="54" shapeId="0" xr:uid="{4879099C-F675-4327-9B67-B30B09D97C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2344751-9 - Dados antigos da UC 10/2934980-0 - Igreja 63105 Mudou de Endereço</t>
      </text>
    </comment>
    <comment ref="B836" authorId="55" shapeId="0" xr:uid="{A43E09E5-490E-4B06-AD6C-197CF8ACE7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B837" authorId="56" shapeId="0" xr:uid="{3013D503-206F-43F7-98D7-4F1AD5E93A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não foi enviada no CSV para o portal, mas esta no rateio
Responder:
    Estava na usina GDI, mas está como inativa e devem ser removidas</t>
      </text>
    </comment>
    <comment ref="B838" authorId="57" shapeId="0" xr:uid="{F3C9EA9E-AE6E-4551-8642-490A86859F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não foi enviada no CSV para o portal, mas esta no rateio
Responder:
    Também esta inativa</t>
      </text>
    </comment>
    <comment ref="B840" authorId="58" shapeId="0" xr:uid="{0359CD5D-A93D-4801-A8C0-B521CAA032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B866" authorId="59" shapeId="0" xr:uid="{42909D6D-80EF-4789-A360-DD7BDEBFB7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B878" authorId="60" shapeId="0" xr:uid="{2AB919A7-2E23-4F3F-B1B2-A9FA45FE94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2344751-9 - Dados antigos da UC 10/2934980-0 - Igreja 63105 Mudou de Endereço</t>
      </text>
    </comment>
    <comment ref="B880" authorId="61" shapeId="0" xr:uid="{6AFDDACF-F9DA-4D88-8A0F-9465808A17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B901" authorId="62" shapeId="0" xr:uid="{955616C6-7005-4514-AF8D-5A1B2369131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encerrada. 
</t>
      </text>
    </comment>
    <comment ref="B905" authorId="63" shapeId="0" xr:uid="{60063553-E059-4446-93FE-7803D5FEF69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Estava riscado no rateio enviado com o numero: 3507698 escrito a mão. 
Responder:
    UC 10/512142-1 inda sem fatura de Março na distribuidora. </t>
      </text>
    </comment>
    <comment ref="B911" authorId="64" shapeId="0" xr:uid="{13B931A9-6770-4F87-A281-B6D8DB960C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2344751-9 - Dados antigos da UC 10/2934980-0 - Igreja 63105 Mudou de Endereço</t>
      </text>
    </comment>
    <comment ref="B916" authorId="65" shapeId="0" xr:uid="{F9D5C609-B608-4AE3-AFFC-2755B1241E4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não deve ser faturada
</t>
      </text>
    </comment>
    <comment ref="B917" authorId="66" shapeId="0" xr:uid="{4DF550E5-6039-4F61-B573-FA8AFDC1F9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B919" authorId="67" shapeId="0" xr:uid="{3FD153B9-F545-4A01-BE23-4AE481A5F1A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encerrada. 
</t>
      </text>
    </comment>
    <comment ref="B922" authorId="68" shapeId="0" xr:uid="{2F928198-77F1-4547-917A-BECEE50CB9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2344751-9 - Dados antigos da UC 10/2934980-0 - Igreja 63105 Mudou de Endereço
Responder:
    UC inativa na Energisa.</t>
      </text>
    </comment>
    <comment ref="B924" authorId="69" shapeId="0" xr:uid="{B80BCAAE-0B6C-43D6-804E-89B2B29590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segundo o Thiago Fontes.</t>
      </text>
    </comment>
    <comment ref="B927" authorId="70" shapeId="0" xr:uid="{B73A4663-0349-4982-89F6-B71E9DC0AD7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não deve ser faturada
</t>
      </text>
    </comment>
    <comment ref="B928" authorId="71" shapeId="0" xr:uid="{E3019D3A-7FA3-446D-A99E-8DB10C69B5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com Geração local, mas que não supre todo o consumo.</t>
      </text>
    </comment>
    <comment ref="B929" authorId="72" shapeId="0" xr:uid="{A625087D-8E1F-4175-A180-DD40A512E3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possivelmente com geração Local a partir de Maio/2025.</t>
      </text>
    </comment>
    <comment ref="B930" authorId="73" shapeId="0" xr:uid="{D48ADA50-0A48-4A27-90BC-30E681784F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encerrada</t>
      </text>
    </comment>
    <comment ref="B932" authorId="74" shapeId="0" xr:uid="{CDA5BC05-C875-423A-8C0A-918BEA1F4DD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encerrada. 
</t>
      </text>
    </comment>
    <comment ref="B933" authorId="75" shapeId="0" xr:uid="{B422EA1A-2C22-466A-BC33-EC847082B2D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encerrada. 
</t>
      </text>
    </comment>
    <comment ref="B934" authorId="76" shapeId="0" xr:uid="{4A97854E-F73E-463B-A419-892C6022D7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2344751-9 - Dados antigos da UC 10/2934980-0 - Igreja 63105 Mudou de Endereço
Responder:
    UC inativa na Energisa.</t>
      </text>
    </comment>
    <comment ref="B935" authorId="77" shapeId="0" xr:uid="{928A76E1-4F78-4E58-AE44-B4A0F046C4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UC Inativa segundo o Thiago Fontes.</t>
      </text>
    </comment>
  </commentList>
</comments>
</file>

<file path=xl/sharedStrings.xml><?xml version="1.0" encoding="utf-8"?>
<sst xmlns="http://schemas.openxmlformats.org/spreadsheetml/2006/main" count="9657" uniqueCount="1800">
  <si>
    <t>Entradas nas últimas semanas</t>
  </si>
  <si>
    <t>Histórico Atendimento</t>
  </si>
  <si>
    <t>Mensagens Transacionadas</t>
  </si>
  <si>
    <t>Mês Ref</t>
  </si>
  <si>
    <t>Qted</t>
  </si>
  <si>
    <t>Total Emitido (R$)</t>
  </si>
  <si>
    <t>Total Pago (R$)</t>
  </si>
  <si>
    <t>Valor em Acordo</t>
  </si>
  <si>
    <t>Valor Inadimplente</t>
  </si>
  <si>
    <t>% inadimplência anterior gestão HUBE</t>
  </si>
  <si>
    <t>Ano</t>
  </si>
  <si>
    <t>Mês</t>
  </si>
  <si>
    <t>Quantidade</t>
  </si>
  <si>
    <t>Entradas</t>
  </si>
  <si>
    <t>Saídas</t>
  </si>
  <si>
    <t>Agosto</t>
  </si>
  <si>
    <t>Setembro</t>
  </si>
  <si>
    <t>Outubro</t>
  </si>
  <si>
    <t>Total Geral</t>
  </si>
  <si>
    <t>Etapa</t>
  </si>
  <si>
    <t>Tempo Semanal</t>
  </si>
  <si>
    <t>Responsável</t>
  </si>
  <si>
    <t>Atendimento</t>
  </si>
  <si>
    <t>3 horas</t>
  </si>
  <si>
    <t>Isabella</t>
  </si>
  <si>
    <t>Faturamento</t>
  </si>
  <si>
    <t>0,5 horas</t>
  </si>
  <si>
    <t>Cobrança</t>
  </si>
  <si>
    <t>5 horas</t>
  </si>
  <si>
    <t>Adriano</t>
  </si>
  <si>
    <t>Report EGS</t>
  </si>
  <si>
    <t>1 hora</t>
  </si>
  <si>
    <t>Carol</t>
  </si>
  <si>
    <t>Total</t>
  </si>
  <si>
    <t>9,5 horas</t>
  </si>
  <si>
    <t>STATUS DE CLIENTE</t>
  </si>
  <si>
    <t>ATIVO</t>
  </si>
  <si>
    <t>CNPJ</t>
  </si>
  <si>
    <t>62.955.505/0001-67</t>
  </si>
  <si>
    <t>62.955.505/0151-99</t>
  </si>
  <si>
    <t>62.955.505/0153-50</t>
  </si>
  <si>
    <t>62.955.505/0154-31</t>
  </si>
  <si>
    <t>62.955.505/0155-12</t>
  </si>
  <si>
    <t>62.955.505/0159-46</t>
  </si>
  <si>
    <t>62.955.505/0160-80</t>
  </si>
  <si>
    <t>62.955.505/0161-60</t>
  </si>
  <si>
    <t>62.955.505/0164-03</t>
  </si>
  <si>
    <t>62.955.505/0165-94</t>
  </si>
  <si>
    <t>62.955.505/0168-37</t>
  </si>
  <si>
    <t>62.955.505/0169-18</t>
  </si>
  <si>
    <t>62.955.505/0170-51</t>
  </si>
  <si>
    <t>62.955.505/0172-13</t>
  </si>
  <si>
    <t>62.955.505/0408-94</t>
  </si>
  <si>
    <t>62.955.505/0585-99</t>
  </si>
  <si>
    <t>62.955.505/0676-60</t>
  </si>
  <si>
    <t>62.955.505/0800-98</t>
  </si>
  <si>
    <t>62.955.505/0847-51</t>
  </si>
  <si>
    <t>62.955.505/0884-04</t>
  </si>
  <si>
    <t>62.955.505/1138-75</t>
  </si>
  <si>
    <t>62.955.505/1344-49</t>
  </si>
  <si>
    <t>62.955.505/1355-00</t>
  </si>
  <si>
    <t>62.955.505/1364-92</t>
  </si>
  <si>
    <t>62.955.505/1490-47</t>
  </si>
  <si>
    <t>62.955.505/1570-66</t>
  </si>
  <si>
    <t>62.955.505/1822-57</t>
  </si>
  <si>
    <t>62.955.505/1935-34</t>
  </si>
  <si>
    <t>62.955.505/1975-21</t>
  </si>
  <si>
    <t>62.955.505/2132-33</t>
  </si>
  <si>
    <t>62.955.505/2157-91</t>
  </si>
  <si>
    <t>62.955.505/2391-19</t>
  </si>
  <si>
    <t>62.955.505/2488-86</t>
  </si>
  <si>
    <t>62.955.505/2730-58</t>
  </si>
  <si>
    <t>62.955.505/2740-20</t>
  </si>
  <si>
    <t>62.955.505/2876-01</t>
  </si>
  <si>
    <t>62.955.505/3124-87</t>
  </si>
  <si>
    <t>62.955.505/3311-98</t>
  </si>
  <si>
    <t>62.955.505/3358-51</t>
  </si>
  <si>
    <t>62.955.505/3544-81</t>
  </si>
  <si>
    <t>62.955.505/3574-05</t>
  </si>
  <si>
    <t>62.955.505/3586-30</t>
  </si>
  <si>
    <t>62.955.505/3671-17</t>
  </si>
  <si>
    <t>62.955.505/3757-21</t>
  </si>
  <si>
    <t>62.955.505/3793-95</t>
  </si>
  <si>
    <t>62.955.505/3932-07</t>
  </si>
  <si>
    <t>62.955.505/4027-10</t>
  </si>
  <si>
    <t>62.955.505/4051-40</t>
  </si>
  <si>
    <t>62.955.505/4194-43</t>
  </si>
  <si>
    <t>62.955.505/4612-10</t>
  </si>
  <si>
    <t>62.955.505/8432-53</t>
  </si>
  <si>
    <t>62.955.505/8789-87</t>
  </si>
  <si>
    <t>62.955.505/8873-82</t>
  </si>
  <si>
    <t>62.955.505/8921-14</t>
  </si>
  <si>
    <t>62.955.505/8979-30</t>
  </si>
  <si>
    <t>INSTALAÇÃO</t>
  </si>
  <si>
    <t>NOME COMPLETO OU RAZÃO SOCIAL</t>
  </si>
  <si>
    <t>STATUS RATEIO</t>
  </si>
  <si>
    <t>MOTIVO RETIRADA</t>
  </si>
  <si>
    <t>E-MAIL</t>
  </si>
  <si>
    <t>TELEFONE</t>
  </si>
  <si>
    <t>FORNECIMENTO</t>
  </si>
  <si>
    <t>DESCONTO CONTRATADO</t>
  </si>
  <si>
    <t>REGIÃO</t>
  </si>
  <si>
    <t>CEP</t>
  </si>
  <si>
    <t>UF</t>
  </si>
  <si>
    <t>ENDEREÇO COMPLETO</t>
  </si>
  <si>
    <t>CONS. DISPONÍVEL KWH</t>
  </si>
  <si>
    <t>BOLETOS ATRASADOS</t>
  </si>
  <si>
    <t>10/1017804-4</t>
  </si>
  <si>
    <t>IGREJA DO EVANGELHO QUADRANGULAR</t>
  </si>
  <si>
    <t>APTO RATEIO</t>
  </si>
  <si>
    <t>maretoliedu@hotmail.com</t>
  </si>
  <si>
    <t>BIFÁSICO</t>
  </si>
  <si>
    <t>MS</t>
  </si>
  <si>
    <t>RUA AIMORE DE OLIVEIRA LIMA, 835 - 14.094.85.107001 - 79920000</t>
  </si>
  <si>
    <t>10/10232-7</t>
  </si>
  <si>
    <t>katiaconceicaogomes2020@gmail.com</t>
  </si>
  <si>
    <t>67 996415566</t>
  </si>
  <si>
    <t>RUA ONZE S/N Q 74 L 22 10.002.13.434000 - NOVA AQUIDAUANA, CEP 79200000 - AQUIDAUANA / MS</t>
  </si>
  <si>
    <t>10/1035655-8</t>
  </si>
  <si>
    <t>auxiliar.cedms@gmail.com</t>
  </si>
  <si>
    <t>TRIFÁSICO</t>
  </si>
  <si>
    <t>RUA ANTONIO AMARO DE MATTOS 5422 CX 02 07.010.26.205001 - VILA ROSA, CEP 79831130 - DOURADOS / MS</t>
  </si>
  <si>
    <t>10/104720-8</t>
  </si>
  <si>
    <t>62.955.505/0914-56</t>
  </si>
  <si>
    <t>ACOMPANHAR CRÉDITO</t>
  </si>
  <si>
    <t>INATIVO</t>
  </si>
  <si>
    <t>Solicitação de distrato</t>
  </si>
  <si>
    <t>10/1081489-5</t>
  </si>
  <si>
    <t>regiao351@gmail.com</t>
  </si>
  <si>
    <t>RUA PRUDENTE DE MORAES ALTO MARACAJU CEP 79150000 - MARACAJU / MS</t>
  </si>
  <si>
    <t>10/109074-5</t>
  </si>
  <si>
    <t>Inadimplência</t>
  </si>
  <si>
    <t>67 91751433</t>
  </si>
  <si>
    <t>RUA QUINZE DE NOVEMBRO 2180 - CENTRO CEP 79940000 - CAARAPO / MS</t>
  </si>
  <si>
    <t>10/1117293-9</t>
  </si>
  <si>
    <t>pastoreliasmn@hotmail.com</t>
  </si>
  <si>
    <t>AVENIDA ANTONIO JOAQUIM DE MOURA ANDRADE 2141 10 041 07 522500 - CENTRO CEP 79750000 - NOVA ANDRADINA / MS</t>
  </si>
  <si>
    <t>10/1130988-7</t>
  </si>
  <si>
    <t>regiao371@gmail.com</t>
  </si>
  <si>
    <t>RUA CAPITAO CANTALICE S/N CENTRO CEP 79280000 - PORTO MURTINHO / MS</t>
  </si>
  <si>
    <t>10/113971-6</t>
  </si>
  <si>
    <t>62.955.505/0156-01</t>
  </si>
  <si>
    <t>RUA CARLOS CHAGAS 1092 05.026.05.081000 - JARDIM SAO PAULO, CEP 79700000 - FATIMA DO SUL / MS</t>
  </si>
  <si>
    <t>10/1184751-4</t>
  </si>
  <si>
    <t>67 96034976</t>
  </si>
  <si>
    <t>RUA DOM PEDRO I 1135 07.010.45.317001 - JARDIM GUANABARA, CEP 79833090 - DOURADOS / MS</t>
  </si>
  <si>
    <t>10/1266128-6</t>
  </si>
  <si>
    <t xml:space="preserve">RUA MARACANI 439 PARQUE DOS NOVOS ESTADOS CEP 79034280 - CAMPO GRANDE / MS </t>
  </si>
  <si>
    <t>10/127464-6</t>
  </si>
  <si>
    <t>mariza.ieq@gmail.com</t>
  </si>
  <si>
    <t>AVENIDA MATO GROSSO DO SUL 1466 CENTRO CEP 79400000 - COXIM / MS</t>
  </si>
  <si>
    <t>10/1288241-1</t>
  </si>
  <si>
    <t xml:space="preserve">AVENIDA TAMANDARE 1036 VILA PLANALTO CEP 79009790 - CAMPO GRANDE / MS </t>
  </si>
  <si>
    <t>10/129490-9</t>
  </si>
  <si>
    <t>,</t>
  </si>
  <si>
    <t>RUA JUVIANO MEDEIROS 1239 CENTRO CEP 79130000 - RIO BRILHANTE / MS</t>
  </si>
  <si>
    <t>10/135237-6</t>
  </si>
  <si>
    <t>RUA ROSALVO FRAGA SANTOS 60 05.031.05.383000 - VILA PRATEADA, CEP 79150000 - MARACAJU / MS</t>
  </si>
  <si>
    <t>10/13786-9</t>
  </si>
  <si>
    <t>regiao.357.25@gmail.com</t>
  </si>
  <si>
    <t>RUA MARECHAL DEODORO 118 DOM BOSCO CEP 79333080 - CORUMBA / MS</t>
  </si>
  <si>
    <t>10/142353-2</t>
  </si>
  <si>
    <t>odpto61@hotmail.com</t>
  </si>
  <si>
    <t>RUA ANTONIO JOAO 2547 CENTRO CEP 79904668 - PONTA PORA / MS</t>
  </si>
  <si>
    <t>10/1433087-2</t>
  </si>
  <si>
    <t>scr_prmarcal@hotmail.com</t>
  </si>
  <si>
    <t xml:space="preserve"> 67 91285460</t>
  </si>
  <si>
    <t>10/150263-2</t>
  </si>
  <si>
    <t>RESCINDIDO</t>
  </si>
  <si>
    <t>região358ms@gmail.com</t>
  </si>
  <si>
    <t>MONOFÁSICO</t>
  </si>
  <si>
    <t>10/15297-5</t>
  </si>
  <si>
    <t>RUA REPUBLICA DA BOLIVIA, 32 DOM BOSCO CORUMBA / MS</t>
  </si>
  <si>
    <t>10/1548741-6</t>
  </si>
  <si>
    <t>ieqreg349cassi@gmail.com</t>
  </si>
  <si>
    <t>67 81355403</t>
  </si>
  <si>
    <t>RUA JOSE AGI 651 12.014.07.803500 - JARDIM AMERICA CEP 79500000 - PARANAIBA / MS</t>
  </si>
  <si>
    <t>10/156956-5</t>
  </si>
  <si>
    <t>quadrangular994@gmail.com</t>
  </si>
  <si>
    <t>67 998338301</t>
  </si>
  <si>
    <t>RUA GENERAL CAMARA 561 14.036.03.163000 - CENTRO, CEP 79990000 - AMAMBAI / MS</t>
  </si>
  <si>
    <t>10/162736-3</t>
  </si>
  <si>
    <t>62.955.505/1973-60</t>
  </si>
  <si>
    <t>RUA SANTOS DUMONT 310 15.037.01.489000 - CENTRO CEP 79480000 - RIO VERDE DE MATO GROSSO / MS</t>
  </si>
  <si>
    <t>10/1672452-8</t>
  </si>
  <si>
    <t>RUA N SRA DA PENHA, 540, CENTRO, BONITO-MS</t>
  </si>
  <si>
    <t>10/1674177-9</t>
  </si>
  <si>
    <t>3ieqant302@gmail.com</t>
  </si>
  <si>
    <t xml:space="preserve">RUA JOAO LEITE RIBEIRO 1636 CENTRO CEP 79210000 - ANASTACIO / MS </t>
  </si>
  <si>
    <t>10/1695011-5</t>
  </si>
  <si>
    <t>RUA JOSE RICARTES DE OLIVEIRA, 56, SANTO ANDRE, RIBAS DO RIO PARDO</t>
  </si>
  <si>
    <t>10/1698130-0</t>
  </si>
  <si>
    <t>10/175073-6</t>
  </si>
  <si>
    <t>RUA MIGUEL MARCHETTI 149 ITAPOA CEP 79740000 - IVINHEMA / MS</t>
  </si>
  <si>
    <t>10/18015-8</t>
  </si>
  <si>
    <t>RUA JOAQUIM MURTINHO, 72, CENTRO, CORUMBA-MS</t>
  </si>
  <si>
    <t>10/191945-5</t>
  </si>
  <si>
    <t>RUA GOIAS, 1000, CENTRO, CASSILANDIA-MS</t>
  </si>
  <si>
    <t>10/1939035-0</t>
  </si>
  <si>
    <t>RUA NOVE, 121 / QD E LT 1B - RESIDENCIAL MODELO II - BATAGUASSU/MS</t>
  </si>
  <si>
    <t>10/202838-9</t>
  </si>
  <si>
    <t>RUA GUANABARA, 146 - 17.047.05.488000  TELEMETRIA - 79240000 VILA ANGELICA I JARDIM (AG: 47)</t>
  </si>
  <si>
    <t>10/218777-1</t>
  </si>
  <si>
    <t>RUA AMAZONAS 171 11.053.01.501000 - CENTRO CEP 79170000 - SIDROLANDIA / MS</t>
  </si>
  <si>
    <t>10/226667-4</t>
  </si>
  <si>
    <t>VISCONDE DE TAUNAY, 2925 CASA 1 X - CEP:79260000 - CENTRO - BELA VISTA MS</t>
  </si>
  <si>
    <t>10/237441-1</t>
  </si>
  <si>
    <t>AVENIDA HERON DO COUTO S/N 14.061.05.032000 - MARAMBA CEP 79290000 - BONITO / MS</t>
  </si>
  <si>
    <t>10/239312-2</t>
  </si>
  <si>
    <t>ieqnioaque@gmail.com</t>
  </si>
  <si>
    <t>RUA TREZE DE MAIO 692 CENTRO CEP 79220000 - NIOAQUE / MS</t>
  </si>
  <si>
    <t>10/24514-2</t>
  </si>
  <si>
    <t xml:space="preserve">RUA SAO PAULO 36 CRISTO REDENTOR CEP 79311040 - CORUMBA / MS </t>
  </si>
  <si>
    <t>10/252817-2</t>
  </si>
  <si>
    <t xml:space="preserve">RUA JOAO MARTINS LEITE 200 CENTRO CEP 79270000 - CARACOL / MS </t>
  </si>
  <si>
    <t>10/257864-9</t>
  </si>
  <si>
    <t>62.955.505/1821-76</t>
  </si>
  <si>
    <t>RUA SEN TEOTONIO VILELA 427 11.074.05.148000 - CENTRO, CEP 79965000 - ITAQUIRAI / MS</t>
  </si>
  <si>
    <t>10/2599101-9</t>
  </si>
  <si>
    <t>AVENIDA BANDEIRANTES, 0 - 79006001 GUANANDI CAMPO GRANDE (AG: 103)</t>
  </si>
  <si>
    <t>10/2605731-5</t>
  </si>
  <si>
    <t>RUA LUIZ DA COSTA LEITE, 2177 - BONITO MS</t>
  </si>
  <si>
    <t>10/260761-2</t>
  </si>
  <si>
    <t>RUA PARANA, 2051 - 14.075.07.245000 - 79490000 - CENTRO - SÃO GABRIEL DO OESTE</t>
  </si>
  <si>
    <t>10/276283-9</t>
  </si>
  <si>
    <t>ieqcelsapucaia@gmail.com</t>
  </si>
  <si>
    <t>46 999066691</t>
  </si>
  <si>
    <t>RUA ADOLFO DO AMARAL 284 15.085.81.377000 - JARDIM MONTIVIDEU, CEP 79995000 - CORONEL SAPUCAIA / MS</t>
  </si>
  <si>
    <t>10/2794432-1</t>
  </si>
  <si>
    <t>RUA BIRI, 503 - JARDIM CANGURU - CAMPO GRANDE/MS</t>
  </si>
  <si>
    <t>10/280638-8</t>
  </si>
  <si>
    <t>RUA CARACOL 1292 CENTRO CEP 79560000 - CHAPADAO DO SUL / MS</t>
  </si>
  <si>
    <t>10/283183-2</t>
  </si>
  <si>
    <t>renildofernandeslima@gmail.com</t>
  </si>
  <si>
    <t>16 988508102</t>
  </si>
  <si>
    <t>AVENIDA ALBERTO RATIER 1200 CENTRO CEP 79925000 - PARANHOS / MS</t>
  </si>
  <si>
    <t>10/29964-4</t>
  </si>
  <si>
    <t>RUA PARANA, 2481, POPULAR NOVA, CORUMBA-MS</t>
  </si>
  <si>
    <t>10/3030784-7</t>
  </si>
  <si>
    <t>RUA SALDANHA DA GAMA, 15, CENTRO, LADARIO-MS</t>
  </si>
  <si>
    <t>10/3040565-8</t>
  </si>
  <si>
    <t>RUA ANTONIO AMARO DE MATTOS 5413 07.010.34.501000 - VILA ROSA, CEP 79831130 - DOURADOS / MS</t>
  </si>
  <si>
    <t>10/3054052-0</t>
  </si>
  <si>
    <t>RUA FREI LIBERATO QUETTERE S/N NOVA ALIANCA CEP 79370000 - LADARIO / MS</t>
  </si>
  <si>
    <t>10/3092868-3</t>
  </si>
  <si>
    <t>67 9967-7090</t>
  </si>
  <si>
    <t>RUA ELMODAM OLIVEIRA SOARES 1909, NOVA PORTO XV-MS</t>
  </si>
  <si>
    <t>10/3123706-8</t>
  </si>
  <si>
    <t>sergio_ieq@outlook.com</t>
  </si>
  <si>
    <t>RUA CUIABA 225 CENTRO CEP 79950000 - NAVIRAI / MS</t>
  </si>
  <si>
    <t>10/3125732-2</t>
  </si>
  <si>
    <t>ieqaral@gmail.com</t>
  </si>
  <si>
    <t>RUA QUINZE DE NOVEMBRO 182 CENTRO CEP 79930000 - ARAL MOREIRA / MS</t>
  </si>
  <si>
    <t>10/31292-6</t>
  </si>
  <si>
    <t>RUA CASTRO ALVES 166 BOA ESPERANCA CEP 79370000 - LADARIO / MS</t>
  </si>
  <si>
    <t>10/3139326-7</t>
  </si>
  <si>
    <t>RUA ALBERTINA DE MATTOS S/N VILA SAO FRANCISCO CEP 79833280 - DOURADOS / MS</t>
  </si>
  <si>
    <t>10/341308-5</t>
  </si>
  <si>
    <t>RUA MAGNUS FONTAINE 121 VILA ALBUQUERQUE CEP 79060170 - CAMPO GRANDE / MS</t>
  </si>
  <si>
    <t>10/364440-8</t>
  </si>
  <si>
    <t>AVENIDA BANDEIRANTES, 1437, GUANANDI, CAMPO GRANDE-MS</t>
  </si>
  <si>
    <t>10/384823-1</t>
  </si>
  <si>
    <t>prhelcio51@gmail.com</t>
  </si>
  <si>
    <t>AVENIDA GEN ALBERTO CARLOS MENDONCA LIMA 2385 09.103.27.350000 - JARDIM SÃO CONRADO, CEP 79093290 - CAMPO GRANDE / MS</t>
  </si>
  <si>
    <t>10/395471-6</t>
  </si>
  <si>
    <t>RUA VERDE LOURO 931 JARDIM TARUMA CEP 79097200 - CAMPO GRANDE / MS</t>
  </si>
  <si>
    <t>10/399338-3</t>
  </si>
  <si>
    <t>RUA GENERAL ALCOFORADO 499 VILA PIRATININGA CEP 79081160 - CAMPO GRANDE / MS</t>
  </si>
  <si>
    <t>10/40190-1</t>
  </si>
  <si>
    <t>62.955.505/1775-04</t>
  </si>
  <si>
    <t>RUA JOSE VALERIO DOS SANTOS 435 PARQUE DAS NACOES II CEP 79842080 - DOURADOS / MS</t>
  </si>
  <si>
    <t>10/41548-9</t>
  </si>
  <si>
    <t>62.955.505/2690-26</t>
  </si>
  <si>
    <t>RUA JOAO VICENTE FERREIRA 6715 JARDIM MARACANA CEP 79833085 - DOURADOS / MS</t>
  </si>
  <si>
    <t>10/435964-2</t>
  </si>
  <si>
    <t>RUA THEODORO ROOSEVELT 1263 VILA MARLI CEP 79116191 - CAMPO GRANDE / MS</t>
  </si>
  <si>
    <t>10/452884-0</t>
  </si>
  <si>
    <t>israelregiao302@gmail.com</t>
  </si>
  <si>
    <t>67 996469842</t>
  </si>
  <si>
    <t>AVENIDA CAMISAO S/N 06.201.90.426000 - CAMISAO CEP 79202000 - CAMISAO / MS</t>
  </si>
  <si>
    <t>10/466560-0</t>
  </si>
  <si>
    <t>rochachimenezhilda@gmail.com</t>
  </si>
  <si>
    <t>RUA MARCILIANO MACIEL 246 SANGA PUITA CEP 79900000 - SANGA PUITA / MS</t>
  </si>
  <si>
    <t>10/480529-7</t>
  </si>
  <si>
    <t>RUA EULALIA PIRES 240 VILA CACHOEIRINHA CEP 79814330 - DOURADOS / MS</t>
  </si>
  <si>
    <t>10/489076-0</t>
  </si>
  <si>
    <t xml:space="preserve">RUA MARCILIO DIAS 939 CENTRO CEP 79370000 - LADARIO / MS </t>
  </si>
  <si>
    <t>10/501586-2</t>
  </si>
  <si>
    <t>67 92480766</t>
  </si>
  <si>
    <t>RUA LEONIDAS DE MATOS 841 05.104.11.174000 - SANTO ANTONIO, CEP 79100300 - CAMPO GRANDE / MS</t>
  </si>
  <si>
    <t>10/504844-2</t>
  </si>
  <si>
    <t>AVENIDA DO AEROPORTO S/N CENTRO CEP 79390000 - BODOQUENA / MS</t>
  </si>
  <si>
    <t>10/505854-0</t>
  </si>
  <si>
    <t>AVENIDA PRESIDENTE DUTRA 925 CENTRO CEP 79880000 - DOURADINA / MS</t>
  </si>
  <si>
    <t>10/510330-4</t>
  </si>
  <si>
    <t>adalberto123franca@gmail.com</t>
  </si>
  <si>
    <t>TRAVESSA JOSE MAURO OCAMPOS, 498, PORTAL DO MORUMBI, PONTA PORÃ</t>
  </si>
  <si>
    <t>10/511753-6</t>
  </si>
  <si>
    <t>RUA PEDRO FELICIDADE 351 04.004.01.200077 - CENTRO CEP 79370000 - LADARIO</t>
  </si>
  <si>
    <t>10/512142-1</t>
  </si>
  <si>
    <t>62.955.505/1893-40</t>
  </si>
  <si>
    <t>RUA OLINDA MARIA DE MENEZES 1968 JARDIM SAO VICENTE CEP 79570000 - APARECIDA DO TABOADO / MS</t>
  </si>
  <si>
    <t>10/513413-5</t>
  </si>
  <si>
    <t>62.955.505/3216-30</t>
  </si>
  <si>
    <t>RUA TREZE DE MAIO, 1200, VILA SÃO MIGUEL, GUIA LOPES DA LAGUNA</t>
  </si>
  <si>
    <t>10/5202-7</t>
  </si>
  <si>
    <t>RUA DUQUE DE CAXIAS, 887, CENTRO, AQUIDAUANA-MS</t>
  </si>
  <si>
    <t>10/52987-5</t>
  </si>
  <si>
    <t>RUA SALVIANO PEDROSO 1150 JARDIM AGUA BOA CEP 79812170 - DOURADOS / MS</t>
  </si>
  <si>
    <t>10/530195-7</t>
  </si>
  <si>
    <t>RUA JONAS PEDRO NUNES 1576 CENTRO CEP 79760000 - BATAYPORA / MS</t>
  </si>
  <si>
    <t>10/532081-7</t>
  </si>
  <si>
    <t>eugeniorodrigues2020@gmail.com; quadrangular994@gmail.com</t>
  </si>
  <si>
    <t>67 992321318</t>
  </si>
  <si>
    <t>RUA CASSIANO MARCELO 923 CENTRO CEP 79990000 - AMAMBAI / MS</t>
  </si>
  <si>
    <t>10/532723-4</t>
  </si>
  <si>
    <t>62.955.505/3593-60</t>
  </si>
  <si>
    <t>RUA DUAIR JOAO DE BARCELOS 267 CENTRO CEP 79140000 - NOVA ALVORADA DO SUL / MS</t>
  </si>
  <si>
    <t>10/61344-8</t>
  </si>
  <si>
    <t>RUA CUIABA 3395 CENTRO CEP 79802031 - DOURADOS / MS</t>
  </si>
  <si>
    <t>10/63920-3</t>
  </si>
  <si>
    <t>RUA INOCENCIA DE MATOS OSORIO 240 JARDIM MATO GROSSO CEP 79814040 - DOURADOS / MS</t>
  </si>
  <si>
    <t>10/69319-2</t>
  </si>
  <si>
    <t>RUA ANTONIO ALVES ROCHA 635 PANAMBI VERA CEP 79822200 - DOURADOS / MS</t>
  </si>
  <si>
    <t>10/72605-9</t>
  </si>
  <si>
    <t>AVENIDA MARCELINO PIRES 287 JARDIM CLIMAX CEP 79820010 - DOURADOS / MS</t>
  </si>
  <si>
    <t>10/76927-3</t>
  </si>
  <si>
    <t>lucashenriquemarianorosa@gmail.com</t>
  </si>
  <si>
    <t>67 999373813</t>
  </si>
  <si>
    <t>RUA EXPEDICIONARIO CANDIDO GOMES CENTRO CEP 79210000 - ANASTACIO / MS</t>
  </si>
  <si>
    <t>10/78338-1</t>
  </si>
  <si>
    <t>maurolimaaquino@hotmail.com</t>
  </si>
  <si>
    <t>67 984742936</t>
  </si>
  <si>
    <t>RUA 27 DE JULHO, 1200 CENTRO 79210000 CENTRO ANASTACIO / MS</t>
  </si>
  <si>
    <t>10/81222-2</t>
  </si>
  <si>
    <t>i.e.qmiranda302@gmail.com</t>
  </si>
  <si>
    <t>67 992491551</t>
  </si>
  <si>
    <t>RUA BENJAMIN CONSTANT 923 CENTRO CEP 79380000 - MIRANDA / MS</t>
  </si>
  <si>
    <t>10/8777-5</t>
  </si>
  <si>
    <t>62.955.505/1224-32</t>
  </si>
  <si>
    <t>adriana.santos@sanesul.ms.gov.br</t>
  </si>
  <si>
    <t>67 992319530</t>
  </si>
  <si>
    <t>RUA GIOVANI TOSCANO DE BRITO 2648 CENTRO CEP 79200000 - AQUIDAUANA / MS</t>
  </si>
  <si>
    <t>10/908866-7</t>
  </si>
  <si>
    <t>RUA APARECIDO PEREIRA BUENO, 1273 - 01.047.17.111577 - 79240000 - VILA ANGELICA II - JARDIM</t>
  </si>
  <si>
    <t>10/931327-1</t>
  </si>
  <si>
    <t>67 992158055</t>
  </si>
  <si>
    <t>RUA ALCINDO FRANCO MACHADO 951 10.036.25.249000 - VILA MARTINS CEP 79990000 - AMAMBAI / MS</t>
  </si>
  <si>
    <t>10/952579-1</t>
  </si>
  <si>
    <t>RUA PRESIDENTE VARGAS 42 CENTRO CEP 79415000 - SONORA / MS</t>
  </si>
  <si>
    <t>10/987178-1</t>
  </si>
  <si>
    <t>lucianop.duarte@outlook.com</t>
  </si>
  <si>
    <t>RUA JOAO PONCE DE ARRUDA 697 09.032.06.230000 - VILA VITORIA CEP 79906766 - PONTA PORA / MS</t>
  </si>
  <si>
    <t>10/3556072-1</t>
  </si>
  <si>
    <t>ieqdejardim@gmail.com</t>
  </si>
  <si>
    <t>RUA CORUMBA, 39 - VILA ANGELICA - JARDIM CEP 7924000</t>
  </si>
  <si>
    <t>10/141631-2</t>
  </si>
  <si>
    <t>regiao358ms@gmail.com</t>
  </si>
  <si>
    <t>67 992337953</t>
  </si>
  <si>
    <t>RUA ALEXANDRE GUSMAO 268 06.032.02.052000 - CENTRO CEP 79904726 - PONTA PORA / MS</t>
  </si>
  <si>
    <t>10/151994-1</t>
  </si>
  <si>
    <t>RUA LUIZ QUINTANA 107 01.032.25.605000 - FLAMBOYANT RESIDENCIAL PARK CEP 79906084 - PONTA PORA / MS</t>
  </si>
  <si>
    <t>Status Pagamento</t>
  </si>
  <si>
    <t>(Vários itens)</t>
  </si>
  <si>
    <t>% inadimplência</t>
  </si>
  <si>
    <t>% atual</t>
  </si>
  <si>
    <t>% anterior</t>
  </si>
  <si>
    <t>Redução</t>
  </si>
  <si>
    <t>Representatividade Inadimplencia por região</t>
  </si>
  <si>
    <t>Atrasado</t>
  </si>
  <si>
    <t>Região</t>
  </si>
  <si>
    <t>% inadimplente</t>
  </si>
  <si>
    <t>Processos EGS:</t>
  </si>
  <si>
    <t>Gestão de Energia</t>
  </si>
  <si>
    <t>1. Rateio</t>
  </si>
  <si>
    <t>to do: tentar internalizar esse processo</t>
  </si>
  <si>
    <t>envio base para Livia dia 20</t>
  </si>
  <si>
    <t>2. Alterações contratuais</t>
  </si>
  <si>
    <t>verificação da base antes de envio do rateio</t>
  </si>
  <si>
    <t>alteração direta na base</t>
  </si>
  <si>
    <t>3. Acesso às faturas</t>
  </si>
  <si>
    <t>Thiago responsável</t>
  </si>
  <si>
    <t>Acompanhamento dos recebimentos</t>
  </si>
  <si>
    <t>4.  Entrada / Saída unidade</t>
  </si>
  <si>
    <t>indicar na base / Prazo até 90 para retirada total /cobrança de crédito acumulado</t>
  </si>
  <si>
    <t>5. Faturamento</t>
  </si>
  <si>
    <t>Liberação relatório 1 dia útil antes do dia 10</t>
  </si>
  <si>
    <t>Faturamento todo dia 10</t>
  </si>
  <si>
    <t>6. Pagamento Inadimplência</t>
  </si>
  <si>
    <t>to do: Inclusão no relatório da coluna "Calculo HUBE final sem desconto"</t>
  </si>
  <si>
    <t>Realizar as cobranças com base no boleto sem desconto</t>
  </si>
  <si>
    <t>7. Conciliação pagamento inadimplencia</t>
  </si>
  <si>
    <t>Utilizar a base de clientes - aba Faturamento</t>
  </si>
  <si>
    <t>utilizar extrato Ictus para atualização</t>
  </si>
  <si>
    <t>CONTATO</t>
  </si>
  <si>
    <t>RAZÃO</t>
  </si>
  <si>
    <t>SOLUÇÃO</t>
  </si>
  <si>
    <t>RESPONSÁVEL UC</t>
  </si>
  <si>
    <t>RESPONSÁVEL REGIONAL</t>
  </si>
  <si>
    <t>1- Reforçar se o e-mail de recebimento das faturas está correto e se recebeu a fatura enviada dia 21/07.
2- Informar o nosso e-mail de atendimento (atendimento@egsenergia.com.br), que é o mesmo que foi encaminhada a fatura Jun/25.
3- Comunicar que em breve disponibilizaremos o canal de WhatsApp (Executivo de Contas - Adriano)</t>
  </si>
  <si>
    <t>EGS ENERGIA</t>
  </si>
  <si>
    <t>Adriana</t>
  </si>
  <si>
    <t xml:space="preserve"> 67  992466753</t>
  </si>
  <si>
    <t>67 993047635</t>
  </si>
  <si>
    <t>67 998229474</t>
  </si>
  <si>
    <t>Instalação</t>
  </si>
  <si>
    <t>Telefone</t>
  </si>
  <si>
    <t>Distribuidora</t>
  </si>
  <si>
    <t>Razão Social</t>
  </si>
  <si>
    <t>Referência</t>
  </si>
  <si>
    <t>COD</t>
  </si>
  <si>
    <t>Fatura Disco Disponível?</t>
  </si>
  <si>
    <t>Status Faturamento</t>
  </si>
  <si>
    <t>Valor sem desconto</t>
  </si>
  <si>
    <t>Valor liberado</t>
  </si>
  <si>
    <t>Data emissão</t>
  </si>
  <si>
    <t>Data Vencimento</t>
  </si>
  <si>
    <t>Valor emitido</t>
  </si>
  <si>
    <t>Motivo não emissão</t>
  </si>
  <si>
    <t>COD VALOR EMITIDO</t>
  </si>
  <si>
    <t>COD BOLETO</t>
  </si>
  <si>
    <t>Valor Pago</t>
  </si>
  <si>
    <t>Multa/Juros</t>
  </si>
  <si>
    <t>Data Pagamento</t>
  </si>
  <si>
    <t>CLIENTE (somente números)</t>
  </si>
  <si>
    <t>CANAL (somente números)</t>
  </si>
  <si>
    <t>NOME OU RAZÃO SOCIAL DO PAGADOR</t>
  </si>
  <si>
    <t>CPF/CNPJ DO PAGADOR (digitar somente números entre apóstrofos ( ' ' ))</t>
  </si>
  <si>
    <t>VALOR DO BOLETO (número com centavos separado por vírgula)</t>
  </si>
  <si>
    <t>DATA DE VENCIMENTO (dd/mm/aaaa)</t>
  </si>
  <si>
    <t>TEXTO QUE APARECERÁ NO CAMPO "INSTRUÇÕES" (opcional)</t>
  </si>
  <si>
    <t>E-MAIL DO PAGADOR</t>
  </si>
  <si>
    <t>Obs Planilha Rubia</t>
  </si>
  <si>
    <t>energisa_ms</t>
  </si>
  <si>
    <t>Igreja do Evangelho Quadrangular</t>
  </si>
  <si>
    <t>SIM</t>
  </si>
  <si>
    <t>sem valor liberado para emissão</t>
  </si>
  <si>
    <t>62955505393207</t>
  </si>
  <si>
    <t>Não faturado</t>
  </si>
  <si>
    <t>'62955505015199'</t>
  </si>
  <si>
    <t>A Unidade Consumidora 10/364440-8 economizou R$742,6 na fatura referente à jun/2025  consumindo 2579 kWh em créditos de energia renovável conforme fatura de energia. A economia foi de 25% em relação ao que seria pago para a Energisa considerando os créditos consumidos. Atenção: Mantenha as contas da Energisa em dia para evitar cortes.</t>
  </si>
  <si>
    <t>regiao359@gmail.com</t>
  </si>
  <si>
    <t>62955505182257</t>
  </si>
  <si>
    <t>'62955505393207'</t>
  </si>
  <si>
    <t>A Unidade Consumidora 10/5202-7 economizou R$225,37 na fatura referente à jun/2025  consumindo 777 kWh em créditos de energia renovável conforme fatura de energia. A economia foi de 25% em relação ao que seria pago para a Energisa considerando os créditos consumidos. Atenção: Mantenha as contas da Energisa em dia para evitar cortes.</t>
  </si>
  <si>
    <t>62955505892114</t>
  </si>
  <si>
    <t>'62955505017213'</t>
  </si>
  <si>
    <t>A Unidade Consumidora 10/1672452-8 economizou R$53,22 na fatura referente à jun/2025  consumindo 183 kWh em créditos de energia renovável conforme fatura de energia. A economia foi de 25% em relação ao que seria pago para a Energisa considerando os créditos consumidos. Atenção: Mantenha as contas da Energisa em dia para evitar cortes.</t>
  </si>
  <si>
    <t>62955505015601</t>
  </si>
  <si>
    <t>'62955505067660'</t>
  </si>
  <si>
    <t>A Unidade Consumidora 10/29964-4 economizou R$83,74 na fatura referente à jun/2025  consumindo 288 kWh em créditos de energia renovável conforme fatura de energia. A economia foi de 25% em relação ao que seria pago para a Energisa considerando os créditos consumidos. Atenção: Mantenha as contas da Energisa em dia para evitar cortes.</t>
  </si>
  <si>
    <t>ieqcatedral@hotmail.com; regiao.357@hotmail.com</t>
  </si>
  <si>
    <t>62955505149047</t>
  </si>
  <si>
    <t>'62955505215791'</t>
  </si>
  <si>
    <t>A Unidade Consumidora 10/191945-5 economizou R$97 na fatura referente à jun/2025  consumindo 329 kWh em créditos de energia renovável conforme fatura de energia. A economia foi de 25% em relação ao que seria pago para a Energisa considerando os créditos consumidos. Atenção: Mantenha as contas da Energisa em dia para evitar cortes.</t>
  </si>
  <si>
    <t>ieqpopularnova@hotmail.com; regiao.357@hotmail.com</t>
  </si>
  <si>
    <t>62955505080098</t>
  </si>
  <si>
    <t>'62955505367117'</t>
  </si>
  <si>
    <t>A Unidade Consumidora 10/510330-4 economizou R$13,71 na fatura referente à jun/2025  consumindo 47 kWh em créditos de energia renovável conforme fatura de energia. A economia foi de 25% em relação ao que seria pago para a Energisa considerando os créditos consumidos. Atenção: Mantenha as contas da Energisa em dia para evitar cortes.</t>
  </si>
  <si>
    <t>62955505084751</t>
  </si>
  <si>
    <t>'62955505016080'</t>
  </si>
  <si>
    <t>A Unidade Consumidora 10/3030784-7 economizou R$50,72 na fatura referente à jun/2025  consumindo 176 kWh em créditos de energia renovável conforme fatura de energia. A economia foi de 25% em relação ao que seria pago para a Energisa considerando os créditos consumidos. Atenção: Mantenha as contas da Energisa em dia para evitar cortes.</t>
  </si>
  <si>
    <t>62955505015350</t>
  </si>
  <si>
    <t>'62955505419443'</t>
  </si>
  <si>
    <t>A Unidade Consumidora 10/3092868-3 economizou R$18,73 na fatura referente à jun/2025  consumindo 64 kWh em créditos de energia renovável conforme fatura de energia. A economia foi de 25% em relação ao que seria pago para a Energisa considerando os créditos consumidos. Atenção: Mantenha as contas da Energisa em dia para evitar cortes.</t>
  </si>
  <si>
    <t>iranetesoaresieq@outlook.com; regiao.357@hotmail.com</t>
  </si>
  <si>
    <t>62955505015199</t>
  </si>
  <si>
    <t>'62955505177504'</t>
  </si>
  <si>
    <t>A Unidade Consumidora 10/276283-9 economizou R$37,11 na fatura referente à jun/2025  consumindo 126 kWh em créditos de energia renovável conforme fatura de energia. A economia foi de 25% em relação ao que seria pago para a Energisa considerando os créditos consumidos. Atenção: Mantenha as contas da Energisa em dia para evitar cortes.</t>
  </si>
  <si>
    <t>dal_ge@hotmail.com</t>
  </si>
  <si>
    <t>62955505197360</t>
  </si>
  <si>
    <t>'62955505359360'</t>
  </si>
  <si>
    <t>A Unidade Consumidora 10/532723-4 economizou R$58,99 na fatura referente à jun/2025  consumindo 221 kWh em créditos de energia renovável conforme fatura de energia. A economia foi de 25% em relação ao que seria pago para a Energisa considerando os créditos consumidos. Atenção: Mantenha as contas da Energisa em dia para evitar cortes.</t>
  </si>
  <si>
    <t>Ieqcelsapucaia@gmail.com; quadrangular994@gmail.com</t>
  </si>
  <si>
    <t>62955505017213</t>
  </si>
  <si>
    <t>'62955505182257'</t>
  </si>
  <si>
    <t>A Unidade Consumidora 10/1035655-8 economizou R$52,11 na fatura referente à jun/2025  consumindo 198 kWh em créditos de energia renovável conforme fatura de energia. A economia foi de 25% em relação ao que seria pago para a Energisa considerando os créditos consumidos. Atenção: Mantenha as contas da Energisa em dia para evitar cortes.</t>
  </si>
  <si>
    <t>62955505461210</t>
  </si>
  <si>
    <t>'62955505193534'</t>
  </si>
  <si>
    <t>A Unidade Consumidora 10/532081-7 economizou R$36,25 na fatura referente à jun/2025  consumindo 125 kWh em créditos de energia renovável conforme fatura de energia. A economia foi de 25% em relação ao que seria pago para a Energisa considerando os créditos consumidos. Atenção: Mantenha as contas da Energisa em dia para evitar cortes.</t>
  </si>
  <si>
    <t>evaniabenites@hotmail.com</t>
  </si>
  <si>
    <t>'62955505015350'</t>
  </si>
  <si>
    <t>A Unidade Consumidora 10/156956-5 economizou R$25,85 na fatura referente à jun/2025  consumindo 89 kWh em créditos de energia renovável conforme fatura de energia. A economia foi de 25% em relação ao que seria pago para a Energisa considerando os créditos consumidos. Atenção: Mantenha as contas da Energisa em dia para evitar cortes.</t>
  </si>
  <si>
    <t>62955505016080</t>
  </si>
  <si>
    <t>A Unidade Consumidora 10/511753-6 economizou R$57,58 na fatura referente à jun/2025  consumindo 210 kWh em créditos de energia renovável conforme fatura de energia. A economia foi de 25% em relação ao que seria pago para a Energisa considerando os créditos consumidos. Atenção: Mantenha as contas da Energisa em dia para evitar cortes.</t>
  </si>
  <si>
    <t>62955505215791</t>
  </si>
  <si>
    <t>'62955505402710'</t>
  </si>
  <si>
    <t>A Unidade Consumidora 10/931327-1 economizou R$74,16 na fatura referente à jun/2025  consumindo 273 kWh em créditos de energia renovável conforme fatura de energia. A economia foi de 25% em relação ao que seria pago para a Energisa considerando os créditos consumidos. Atenção: Mantenha as contas da Energisa em dia para evitar cortes.</t>
  </si>
  <si>
    <t>62955505419443</t>
  </si>
  <si>
    <t>'62955505461210'</t>
  </si>
  <si>
    <t>A Unidade Consumidora 10/1698130-0 economizou R$31,95 na fatura referente à jun/2025  consumindo 110 kWh em créditos de energia renovável conforme fatura de energia. A economia foi de 25% em relação ao que seria pago para a Energisa considerando os créditos consumidos. Atenção: Mantenha as contas da Energisa em dia para evitar cortes.</t>
  </si>
  <si>
    <t>62955505016403</t>
  </si>
  <si>
    <t>'62955505091456'</t>
  </si>
  <si>
    <t>A Unidade Consumidora 10/150263-2 economizou R$27,72 na fatura referente à jun/2025  consumindo 104 kWh em créditos de energia renovável conforme fatura de energia. A economia foi de 25% em relação ao que seria pago para a Energisa considerando os créditos consumidos. Atenção: Mantenha as contas da Energisa em dia para evitar cortes.</t>
  </si>
  <si>
    <t>prmarcelo.quadrangular@gmail.com</t>
  </si>
  <si>
    <t>62955505017051</t>
  </si>
  <si>
    <t>'62955505149047'</t>
  </si>
  <si>
    <t>A Unidade Consumidora 10/1184751-4 economizou R$64,69 na fatura referente à jun/2025  consumindo 223 kWh em créditos de energia renovável conforme fatura de energia. A economia foi de 25% em relação ao que seria pago para a Energisa considerando os créditos consumidos. Atenção: Mantenha as contas da Energisa em dia para evitar cortes.</t>
  </si>
  <si>
    <t>62955505040894</t>
  </si>
  <si>
    <t>A Unidade Consumidora 10/1695011-5 economizou R$13,36 na fatura referente à jun/2025  consumindo 46 kWh em créditos de energia renovável conforme fatura de energia. A economia foi de 25% em relação ao que seria pago para a Energisa considerando os créditos consumidos. Atenção: Mantenha as contas da Energisa em dia para evitar cortes.</t>
  </si>
  <si>
    <t>monicadossantosfonseca@hotmail.com</t>
  </si>
  <si>
    <t>'62955505892114'</t>
  </si>
  <si>
    <t>A Unidade Consumidora 10/1117293-9 economizou R$5,3 na fatura referente à jun/2025  consumindo 18 kWh em créditos de energia renovável conforme fatura de energia. A economia foi de 25% em relação ao que seria pago para a Energisa considerando os créditos consumidos. Atenção: Mantenha as contas da Energisa em dia para evitar cortes.</t>
  </si>
  <si>
    <t>gigiepeter@live.com; regiao371@gmail.com</t>
  </si>
  <si>
    <t>62955505182176</t>
  </si>
  <si>
    <t>'62955505273058'</t>
  </si>
  <si>
    <t>A Unidade Consumidora 10/501586-2 economizou R$14,51 na fatura referente à jun/2025  consumindo 53 kWh em créditos de energia renovável conforme fatura de energia. A economia foi de 25% em relação ao que seria pago para a Energisa considerando os créditos consumidos. Atenção: Mantenha as contas da Energisa em dia para evitar cortes.</t>
  </si>
  <si>
    <t>62955505379395</t>
  </si>
  <si>
    <t>'62955505040894'</t>
  </si>
  <si>
    <t>A Unidade Consumidora 10/226667-4 economizou R$3,77 na fatura referente à jun/2025  consumindo 14 kWh em créditos de energia renovável conforme fatura de energia. A economia foi de 25% em relação ao que seria pago para a Energisa considerando os créditos consumidos. Atenção: Mantenha as contas da Energisa em dia para evitar cortes.</t>
  </si>
  <si>
    <t>'62955505017051'</t>
  </si>
  <si>
    <t>A Unidade Consumidora 10/218777-1 economizou R$11,8 na fatura referente à jun/2025  consumindo 44 kWh em créditos de energia renovável conforme fatura de energia. A economia foi de 25% em relação ao que seria pago para a Energisa considerando os créditos consumidos. Atenção: Mantenha as contas da Energisa em dia para evitar cortes.</t>
  </si>
  <si>
    <t>pastordamilton@gmail.com</t>
  </si>
  <si>
    <t>62955505177504</t>
  </si>
  <si>
    <t>'62955505084751'</t>
  </si>
  <si>
    <t>A Unidade Consumidora 10/1548741-6 economizou R$28,27 na fatura referente à jun/2025  consumindo 100 kWh em créditos de energia renovável conforme fatura de energia. A economia foi de 25% em relação ao que seria pago para a Energisa considerando os créditos consumidos. Atenção: Mantenha as contas da Energisa em dia para evitar cortes.</t>
  </si>
  <si>
    <t>62955505067660</t>
  </si>
  <si>
    <t>'62955505182176'</t>
  </si>
  <si>
    <t>A Unidade Consumidora 10/257864-9 economizou R$14,23 na fatura referente à jun/2025  consumindo 49 kWh em créditos de energia renovável conforme fatura de energia. A economia foi de 25% em relação ao que seria pago para a Energisa considerando os créditos consumidos. Atenção: Mantenha as contas da Energisa em dia para evitar cortes.</t>
  </si>
  <si>
    <t>gelcimarsouza1220@gmail.com</t>
  </si>
  <si>
    <t>10/3005226-0</t>
  </si>
  <si>
    <t>62955505057789</t>
  </si>
  <si>
    <t>A Unidade Consumidora 10/10232-7 economizou R$8,25 na fatura referente à jun/2025  consumindo 28 kWh em créditos de energia renovável conforme fatura de energia. A economia foi de 25% em relação ao que seria pago para a Energisa considerando os créditos consumidos. Atenção: Mantenha as contas da Energisa em dia para evitar cortes.</t>
  </si>
  <si>
    <t>prjmar@outlook.com; regiao371@gmail.com</t>
  </si>
  <si>
    <t>'62955505000167'</t>
  </si>
  <si>
    <t>A Unidade Consumidora 10/384823-1 economizou R$36,8 na fatura referente à jun/2025  consumindo 135 kWh em créditos de energia renovável conforme fatura de energia. A economia foi de 25% em relação ao que seria pago para a Energisa considerando os créditos consumidos. Atenção: Mantenha as contas da Energisa em dia para evitar cortes.</t>
  </si>
  <si>
    <t>igrejaquadrangularmaracaju1@hotmail.com</t>
  </si>
  <si>
    <t>'62955505379395'</t>
  </si>
  <si>
    <t>A Unidade Consumidora 10/2599101-9 economizou R$104,55 na fatura referente à jun/2025  consumindo 362 kWh em créditos de energia renovável conforme fatura de energia. A economia foi de 25% em relação ao que seria pago para a Energisa considerando os créditos consumidos. Atenção: Mantenha as contas da Energisa em dia para evitar cortes.</t>
  </si>
  <si>
    <t>pr.josepires@hotmail.com</t>
  </si>
  <si>
    <t>10/3214521-1</t>
  </si>
  <si>
    <t>'62955505016403'</t>
  </si>
  <si>
    <t>A Unidade Consumidora 10/202838-9 economizou R$24,58 na fatura referente à jun/2025  consumindo 84 kWh em créditos de energia renovável conforme fatura de energia. A economia foi de 25% em relação ao que seria pago para a Energisa considerando os créditos consumidos. Atenção: Mantenha as contas da Energisa em dia para evitar cortes.</t>
  </si>
  <si>
    <t>neivaldocastro@hotmail.com</t>
  </si>
  <si>
    <t>A Unidade Consumidora 10/1939035-0 economizou R$60,19 na fatura referente à jun/2025  consumindo 218 kWh em créditos de energia renovável conforme fatura de energia. A economia foi de 25% em relação ao que seria pago para a Energisa considerando os créditos consumidos. Atenção: Mantenha as contas da Energisa em dia para evitar cortes.</t>
  </si>
  <si>
    <t>62955505000167</t>
  </si>
  <si>
    <t>A Unidade Consumidora 10/2605731-5 economizou R$122,94 na fatura referente à jun/2025  consumindo 417 kWh em créditos de energia renovável conforme fatura de energia. A economia foi de 25% em relação ao que seria pago para a Energisa considerando os créditos consumidos. Atenção: Mantenha as contas da Energisa em dia para evitar cortes.</t>
  </si>
  <si>
    <t>'62955505057789'</t>
  </si>
  <si>
    <t>A Unidade Consumidora 10/3005226-0 economizou R$72,3 na fatura referente à jun/2025  consumindo 260 kWh em créditos de energia renovável conforme fatura de energia. A economia foi de 25% em relação ao que seria pago para a Energisa considerando os créditos consumidos. Atenção: Mantenha as contas da Energisa em dia para evitar cortes.</t>
  </si>
  <si>
    <t>katiaconceicaogomes2020@gmail.com; israelregiao302@gmail.com</t>
  </si>
  <si>
    <t>62955505273058</t>
  </si>
  <si>
    <t>'62955505058599'</t>
  </si>
  <si>
    <t>A Unidade Consumidora 10/76927-3 economizou R$39,64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</t>
  </si>
  <si>
    <t>62955505367117</t>
  </si>
  <si>
    <t>'62955505113875'</t>
  </si>
  <si>
    <t>A Unidade Consumidora 10/142353-2 economizou R$54,85 na fatura referente à jun/2025  consumindo 217 kWh em créditos de energia renovável conforme fatura de energia. A economia foi de 25% em relação ao que seria pago para a Energisa considerando os créditos consumidos. Atenção: Mantenha as contas da Energisa em dia para evitar cortes.</t>
  </si>
  <si>
    <t>'62955505357405'</t>
  </si>
  <si>
    <t>A Unidade Consumidora 10/435964-2 economizou R$19,64 na fatura referente à jun/2025  consumindo 78 kWh em créditos de energia renovável conforme fatura de energia. A economia foi de 25% em relação ao que seria pago para a Energisa considerando os créditos consumidos. Atenção: Mantenha as contas da Energisa em dia para evitar cortes.</t>
  </si>
  <si>
    <t>62955505321630</t>
  </si>
  <si>
    <t>'62955505016918'</t>
  </si>
  <si>
    <t>A Unidade Consumidora 10/1081489-5 economizou R$59,14 na fatura referente à jun/2025  consumindo 237 kWh em créditos de energia renovável conforme fatura de energia. A economia foi de 25% em relação ao que seria pago para a Energisa considerando os créditos consumidos. Atenção: Mantenha as contas da Energisa em dia para evitar cortes.</t>
  </si>
  <si>
    <t>pastordill@hotmail.com</t>
  </si>
  <si>
    <t>'62955505312487'</t>
  </si>
  <si>
    <t>A Unidade Consumidora 10/15297-5 economizou R$6,06 na fatura referente à jun/2025  consumindo 24 kWh em créditos de energia renovável conforme fatura de energia. A economia foi de 25% em relação ao que seria pago para a Energisa considerando os créditos consumidos. Atenção: Mantenha as contas da Energisa em dia para evitar cortes.</t>
  </si>
  <si>
    <t>62955505193534</t>
  </si>
  <si>
    <t>A Unidade Consumidora 10/489076-0 economizou R$59,14 na fatura referente à jun/2025  consumindo 237 kWh em créditos de energia renovável conforme fatura de energia. A economia foi de 25% em relação ao que seria pago para a Energisa considerando os créditos consumidos. Atenção: Mantenha as contas da Energisa em dia para evitar cortes.</t>
  </si>
  <si>
    <t>62955505359360</t>
  </si>
  <si>
    <t>A Unidade Consumidora 10/69319-2 economizou R$31,08 na fatura referente à jun/2025  consumindo 123 kWh em créditos de energia renovável conforme fatura de energia. A economia foi de 25% em relação ao que seria pago para a Energisa considerando os créditos consumidos. Atenção: Mantenha as contas da Energisa em dia para evitar cortes.</t>
  </si>
  <si>
    <t>62955505402710</t>
  </si>
  <si>
    <t>A Unidade Consumidora 10/480529-7 economizou R$39,7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</t>
  </si>
  <si>
    <t>62955505015512</t>
  </si>
  <si>
    <t>A Unidade Consumidora 10/3139326-7 economizou R$59,08 na fatura referente à jun/2025  consumindo 237 kWh em créditos de energia renovável conforme fatura de energia. A economia foi de 25% em relação ao que seria pago para a Energisa considerando os créditos consumidos. Atenção: Mantenha as contas da Energisa em dia para evitar cortes.</t>
  </si>
  <si>
    <t>62955505091456</t>
  </si>
  <si>
    <t>'62955505213233'</t>
  </si>
  <si>
    <t>A Unidade Consumidora 10/399338-3 economizou R$64,72 na fatura referente à jun/2025  consumindo 257 kWh em créditos de energia renovável conforme fatura de energia. A economia foi de 25% em relação ao que seria pago para a Energisa considerando os créditos consumidos. Atenção: Mantenha as contas da Energisa em dia para evitar cortes.</t>
  </si>
  <si>
    <t>'62955505274020'</t>
  </si>
  <si>
    <t>A Unidade Consumidora 10/252817-2 economizou R$12,89 na fatura referente à jun/2025  consumindo 51 kWh em créditos de energia renovável conforme fatura de energia. A economia foi de 25% em relação ao que seria pago para a Energisa considerando os créditos consumidos. Atenção: Mantenha as contas da Energisa em dia para evitar cortes.</t>
  </si>
  <si>
    <t>6295550539320735,96</t>
  </si>
  <si>
    <t>Pago</t>
  </si>
  <si>
    <t>'62955505134449'</t>
  </si>
  <si>
    <t>A Unidade Consumidora 10/175073-6 economizou R$24,09 na fatura referente à jun/2025  consumindo 95 kWh em créditos de energia renovável conforme fatura de energia. A economia foi de 25% em relação ao que seria pago para a Energisa considerando os créditos consumidos. Atenção: Mantenha as contas da Energisa em dia para evitar cortes.</t>
  </si>
  <si>
    <t>62955505182257378,4</t>
  </si>
  <si>
    <t>'62955505015946'</t>
  </si>
  <si>
    <t>A Unidade Consumidora 10/81222-2 economizou R$60,92 na fatura referente à jun/2025  consumindo 241 kWh em créditos de energia renovável conforme fatura de energia. A economia foi de 25% em relação ao que seria pago para a Energisa considerando os créditos consumidos. Atenção: Mantenha as contas da Energisa em dia para evitar cortes.</t>
  </si>
  <si>
    <t>62955505892114154,34</t>
  </si>
  <si>
    <t>'62955505016160'</t>
  </si>
  <si>
    <t>A Unidade Consumidora 10/1674177-9 economizou R$39,63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</t>
  </si>
  <si>
    <t>62955505015601102,98</t>
  </si>
  <si>
    <t>'62955505136492'</t>
  </si>
  <si>
    <t>A Unidade Consumidora 10/72605-9 economizou R$25,15 na fatura referente à jun/2025  consumindo 100 kWh em créditos de energia renovável conforme fatura de energia. A economia foi de 25% em relação ao que seria pago para a Energisa considerando os créditos consumidos. Atenção: Mantenha as contas da Energisa em dia para evitar cortes.</t>
  </si>
  <si>
    <t>6295550514904756,93</t>
  </si>
  <si>
    <t>A Unidade Consumidora 10/40190-1 economizou R$39,43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</t>
  </si>
  <si>
    <t>A Unidade Consumidora 10/1266128-6 economizou R$1,78 na fatura referente à jun/2025  consumindo 7 kWh em créditos de energia renovável conforme fatura de energia. A economia foi de 25% em relação ao que seria pago para a Energisa considerando os créditos consumidos. Atenção: Mantenha as contas da Energisa em dia para evitar cortes.</t>
  </si>
  <si>
    <t>62955505084751119,45</t>
  </si>
  <si>
    <t>'62955505331198'</t>
  </si>
  <si>
    <t>A Unidade Consumidora 10/127464-6 economizou R$79,22 na fatura referente à jun/2025  consumindo 317 kWh em créditos de energia renovável conforme fatura de energia. A economia foi de 25% em relação ao que seria pago para a Energisa considerando os créditos consumidos. Atenção: Mantenha as contas da Energisa em dia para evitar cortes.</t>
  </si>
  <si>
    <t>62955505015350247,8</t>
  </si>
  <si>
    <t>'62955505157066'</t>
  </si>
  <si>
    <t>A Unidade Consumidora 10/24514-2 economizou R$15,58 na fatura referente à jun/2025  consumindo 62 kWh em créditos de energia renovável conforme fatura de energia. A economia foi de 25% em relação ao que seria pago para a Energisa considerando os créditos consumidos. Atenção: Mantenha as contas da Energisa em dia para evitar cortes.</t>
  </si>
  <si>
    <t>62955505015199120,82</t>
  </si>
  <si>
    <t>'62955505287601'</t>
  </si>
  <si>
    <t>A Unidade Consumidora 10/283183-2 economizou R$5,57 na fatura referente à jun/2025  consumindo 22 kWh em créditos de energia renovável conforme fatura de energia. A economia foi de 25% em relação ao que seria pago para a Energisa considerando os créditos consumidos. Atenção: Mantenha as contas da Energisa em dia para evitar cortes.</t>
  </si>
  <si>
    <t>62955505197360194,21</t>
  </si>
  <si>
    <t>'62955505197521'</t>
  </si>
  <si>
    <t>A Unidade Consumidora 10/13786-9 economizou R$17,7 na fatura referente à jun/2025  consumindo 70 kWh em créditos de energia renovável conforme fatura de energia. A economia foi de 25% em relação ao que seria pago para a Energisa considerando os créditos consumidos. Atenção: Mantenha as contas da Energisa em dia para evitar cortes.</t>
  </si>
  <si>
    <t>62955505017213183,35</t>
  </si>
  <si>
    <t>'62955505135500'</t>
  </si>
  <si>
    <t>A Unidade Consumidora 10/63920-3 economizou R$39,7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</t>
  </si>
  <si>
    <t>62955505461210205,95</t>
  </si>
  <si>
    <t>'62955505269026'</t>
  </si>
  <si>
    <t>A Unidade Consumidora 10/41548-9 economizou R$39,35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</t>
  </si>
  <si>
    <t>62955505461210200,09</t>
  </si>
  <si>
    <t>A Unidade Consumidora 10/52987-5 economizou R$11,4 na fatura referente à jun/2025  consumindo 45 kWh em créditos de energia renovável conforme fatura de energia. A economia foi de 25% em relação ao que seria pago para a Energisa considerando os créditos consumidos. Atenção: Mantenha as contas da Energisa em dia para evitar cortes.</t>
  </si>
  <si>
    <t>62955505016080940,03</t>
  </si>
  <si>
    <t>'62955505239119'</t>
  </si>
  <si>
    <t>A Unidade Consumidora 10/341308-5 economizou R$21,64 na fatura referente à jun/2025  consumindo 86 kWh em créditos de energia renovável conforme fatura de energia. A economia foi de 25% em relação ao que seria pago para a Energisa considerando os créditos consumidos. Atenção: Mantenha as contas da Energisa em dia para evitar cortes.</t>
  </si>
  <si>
    <t>62955505215791584,37</t>
  </si>
  <si>
    <t>'62955505335851'</t>
  </si>
  <si>
    <t>A Unidade Consumidora 10/1288241-1 economizou R$19,7 na fatura referente à jun/2025  consumindo 79 kWh em créditos de energia renovável conforme fatura de energia. A economia foi de 25% em relação ao que seria pago para a Energisa considerando os créditos consumidos. Atenção: Mantenha as contas da Energisa em dia para evitar cortes.</t>
  </si>
  <si>
    <t>62955505419443281,29</t>
  </si>
  <si>
    <t>'62955505016594'</t>
  </si>
  <si>
    <t>A Unidade Consumidora 10/239312-2 economizou R$39,7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</t>
  </si>
  <si>
    <t>62955505016403308,93</t>
  </si>
  <si>
    <t>A Unidade Consumidora 10/109074-5 economizou R$39,51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</t>
  </si>
  <si>
    <t>6295550501705182,04</t>
  </si>
  <si>
    <t>'62955505016837'</t>
  </si>
  <si>
    <t>A Unidade Consumidora 10/78338-1 economizou R$39,7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</t>
  </si>
  <si>
    <t xml:space="preserve">regiao371@gmail.com </t>
  </si>
  <si>
    <t>62955505040894113,02</t>
  </si>
  <si>
    <t>A Unidade Consumidora 10/530195-7 economizou R$16,26 na fatura referente à jun/2025  consumindo 65 kWh em créditos de energia renovável conforme fatura de energia. A economia foi de 25% em relação ao que seria pago para a Energisa considerando os créditos consumidos. Atenção: Mantenha as contas da Energisa em dia para evitar cortes.</t>
  </si>
  <si>
    <t>62955505017213141,48</t>
  </si>
  <si>
    <t>'62955505248886'</t>
  </si>
  <si>
    <t>A Unidade Consumidora 10/395471-6 economizou R$40,21 na fatura referente à jun/2025  consumindo 159 kWh em créditos de energia renovável conforme fatura de energia. A economia foi de 25% em relação ao que seria pago para a Energisa considerando os créditos consumidos. Atenção: Mantenha as contas da Energisa em dia para evitar cortes.</t>
  </si>
  <si>
    <t>62955505182176165,76</t>
  </si>
  <si>
    <t>'62955505015512'</t>
  </si>
  <si>
    <t>A Unidade Consumidora 10/3125732-2 economizou R$19,86 na fatura referente à jun/2025  consumindo 79 kWh em créditos de energia renovável conforme fatura de energia. A economia foi de 25% em relação ao que seria pago para a Energisa considerando os créditos consumidos. Atenção: Mantenha as contas da Energisa em dia para evitar cortes.</t>
  </si>
  <si>
    <t>62955505379395412,73</t>
  </si>
  <si>
    <t>A Unidade Consumidora 10/466560-0 economizou R$19,74 na fatura referente à jun/2025  consumindo 79 kWh em créditos de energia renovável conforme fatura de energia. A economia foi de 25% em relação ao que seria pago para a Energisa considerando os créditos consumidos. Atenção: Mantenha as contas da Energisa em dia para evitar cortes.</t>
  </si>
  <si>
    <t>629555050172131307,25</t>
  </si>
  <si>
    <t>62955505177504460,94</t>
  </si>
  <si>
    <t>62955505067660457,94</t>
  </si>
  <si>
    <t>62955505016080372,55</t>
  </si>
  <si>
    <t>62955505419443205,95</t>
  </si>
  <si>
    <t>629555050151992066,21</t>
  </si>
  <si>
    <t>6295550500016746,04</t>
  </si>
  <si>
    <t>62955505000167127,09</t>
  </si>
  <si>
    <t>6295550527305841,86</t>
  </si>
  <si>
    <t>62955505367117205,95</t>
  </si>
  <si>
    <t>62955505016080168,27</t>
  </si>
  <si>
    <t>62955505321630205,95</t>
  </si>
  <si>
    <t>629555053932071032,26</t>
  </si>
  <si>
    <t>62955505193534233,57</t>
  </si>
  <si>
    <t>62955505359360287,42</t>
  </si>
  <si>
    <t>62955505402710226,04</t>
  </si>
  <si>
    <t>6295550501551210,04</t>
  </si>
  <si>
    <t>10/10731-8</t>
  </si>
  <si>
    <t>62955505016918342,41</t>
  </si>
  <si>
    <t>62955505000167113,86</t>
  </si>
  <si>
    <t>6295550504089499,98</t>
  </si>
  <si>
    <t>62955505379395202,89</t>
  </si>
  <si>
    <t>62955505331198228,56</t>
  </si>
  <si>
    <t>6295550533585187,9</t>
  </si>
  <si>
    <t>62955505405140101,08</t>
  </si>
  <si>
    <t>62955505197521101,69</t>
  </si>
  <si>
    <t>62955505113875305,83</t>
  </si>
  <si>
    <t>62955505312487306,33</t>
  </si>
  <si>
    <t>62955505016160102,86</t>
  </si>
  <si>
    <t>629555051344495,98</t>
  </si>
  <si>
    <t>10/2247256-7</t>
  </si>
  <si>
    <t>62955505015199428,02</t>
  </si>
  <si>
    <t>62955505016594102,69</t>
  </si>
  <si>
    <t>62955505157066102,69</t>
  </si>
  <si>
    <t>62955505274020306,57</t>
  </si>
  <si>
    <t>62955505843253106,57</t>
  </si>
  <si>
    <t>6295550528760185,1</t>
  </si>
  <si>
    <t>62955505015431100,65</t>
  </si>
  <si>
    <t>62955505312487</t>
  </si>
  <si>
    <t>62955505375721100,19</t>
  </si>
  <si>
    <t>62955505015512102,69</t>
  </si>
  <si>
    <t>6295550501608077,02</t>
  </si>
  <si>
    <t>62955505182257228,56</t>
  </si>
  <si>
    <t>62955505239119102,53</t>
  </si>
  <si>
    <t>62955505248886101,69</t>
  </si>
  <si>
    <t>62955505213233307,25</t>
  </si>
  <si>
    <t>62955505177504228,56</t>
  </si>
  <si>
    <t>62955505269026113,86</t>
  </si>
  <si>
    <t>62955505357405300,47</t>
  </si>
  <si>
    <t>62955505015512107,99</t>
  </si>
  <si>
    <t>62955505182257102,69</t>
  </si>
  <si>
    <t>62955505016080228,56</t>
  </si>
  <si>
    <t>62955505354481205,09</t>
  </si>
  <si>
    <t>62955505887382</t>
  </si>
  <si>
    <t>6295550518934099,98</t>
  </si>
  <si>
    <t>62955505182257101,53</t>
  </si>
  <si>
    <t>6295550536711761,11</t>
  </si>
  <si>
    <t>62955505015431303,96</t>
  </si>
  <si>
    <t>62955505135500102,69</t>
  </si>
  <si>
    <t>62955505136492102,53</t>
  </si>
  <si>
    <t>62955505058599206,48</t>
  </si>
  <si>
    <t>62955505016837102,69</t>
  </si>
  <si>
    <t>62955505015946204,14</t>
  </si>
  <si>
    <t>62955505122432369,38</t>
  </si>
  <si>
    <t>10/925970-6</t>
  </si>
  <si>
    <t>6295550589793038,82</t>
  </si>
  <si>
    <t>62955505000167184,8</t>
  </si>
  <si>
    <t>6295550535863062,06</t>
  </si>
  <si>
    <t>10/2344751-9</t>
  </si>
  <si>
    <t>62955505135500</t>
  </si>
  <si>
    <t>10/2338577-6</t>
  </si>
  <si>
    <t>10/3170252-5</t>
  </si>
  <si>
    <t>Cobrança indevida (Planilha Rubia)</t>
  </si>
  <si>
    <t>62955505035629838,09</t>
  </si>
  <si>
    <t>Cancelado</t>
  </si>
  <si>
    <t>62955505393207129,32</t>
  </si>
  <si>
    <t>62955505182257287,5</t>
  </si>
  <si>
    <t>6295550589211459,91</t>
  </si>
  <si>
    <t>62955505015601115,53</t>
  </si>
  <si>
    <t>62955505149047185,85</t>
  </si>
  <si>
    <t>não emitido pela EGS</t>
  </si>
  <si>
    <t>62955505084751120,92</t>
  </si>
  <si>
    <t>62955505015350331,6</t>
  </si>
  <si>
    <t>62955505015199105,2</t>
  </si>
  <si>
    <t>62955505197360313,19</t>
  </si>
  <si>
    <t>62955505017213388,46</t>
  </si>
  <si>
    <t>62955505461210303,5</t>
  </si>
  <si>
    <t>62955505461210230,68</t>
  </si>
  <si>
    <t>62955505016080706,85</t>
  </si>
  <si>
    <t>62955505215791528,83</t>
  </si>
  <si>
    <t>62955505419443308,21</t>
  </si>
  <si>
    <t>62955505016403737,41</t>
  </si>
  <si>
    <t>62955505017051107,46</t>
  </si>
  <si>
    <t>6295550504089482,88</t>
  </si>
  <si>
    <t>6295550501721349,39</t>
  </si>
  <si>
    <t>62955505182176191,1</t>
  </si>
  <si>
    <t>62955505379395618,18</t>
  </si>
  <si>
    <t>629555050172131163,33</t>
  </si>
  <si>
    <t>62955505177504300,45</t>
  </si>
  <si>
    <t>62955505067660575,94</t>
  </si>
  <si>
    <t>62955505016080465,9</t>
  </si>
  <si>
    <t>62955505419443285,19</t>
  </si>
  <si>
    <t>629555050151992081,12</t>
  </si>
  <si>
    <t>6295550500016794,6</t>
  </si>
  <si>
    <t>62955505000167162,27</t>
  </si>
  <si>
    <t>6295550527305866,98</t>
  </si>
  <si>
    <t>62955505367117472,25</t>
  </si>
  <si>
    <t>62955505016080228,92</t>
  </si>
  <si>
    <t>62955505321630231,9</t>
  </si>
  <si>
    <t>629555053932071410,48</t>
  </si>
  <si>
    <t>62955505193534385,07</t>
  </si>
  <si>
    <t>62955505359360267,11</t>
  </si>
  <si>
    <t>62955505402710219,17</t>
  </si>
  <si>
    <t>629555050155127,53</t>
  </si>
  <si>
    <t>62955505419443149,85</t>
  </si>
  <si>
    <t>62955505035629620,24</t>
  </si>
  <si>
    <t>NÃO IRA PAGAR</t>
  </si>
  <si>
    <t>62955505015199738,71</t>
  </si>
  <si>
    <t>62955505058599</t>
  </si>
  <si>
    <t>62955505113875</t>
  </si>
  <si>
    <t>62955505357405151,96</t>
  </si>
  <si>
    <t>62955505016918</t>
  </si>
  <si>
    <t>62955505122432</t>
  </si>
  <si>
    <t>62955505354481</t>
  </si>
  <si>
    <t>62955505843253</t>
  </si>
  <si>
    <t>62955505213233</t>
  </si>
  <si>
    <t>62955505015431</t>
  </si>
  <si>
    <t>62955505274020</t>
  </si>
  <si>
    <t>6295550513444927,76</t>
  </si>
  <si>
    <t>62955505015946</t>
  </si>
  <si>
    <t>62955505016160</t>
  </si>
  <si>
    <t>62955505136492</t>
  </si>
  <si>
    <t>6295550589793076,7</t>
  </si>
  <si>
    <t>62955505331198</t>
  </si>
  <si>
    <t>62955505157066</t>
  </si>
  <si>
    <t>62955505287601</t>
  </si>
  <si>
    <t>62955505197521</t>
  </si>
  <si>
    <t>62955505375721</t>
  </si>
  <si>
    <t>62955505405140</t>
  </si>
  <si>
    <t>62955505269026</t>
  </si>
  <si>
    <t>62955505239119</t>
  </si>
  <si>
    <t>62955505189340</t>
  </si>
  <si>
    <t>6295550533585122,65</t>
  </si>
  <si>
    <t>62955505016594</t>
  </si>
  <si>
    <t>6295550531248751,87</t>
  </si>
  <si>
    <t>62955505016837</t>
  </si>
  <si>
    <t>6295550536711746,03</t>
  </si>
  <si>
    <t>62955505248886</t>
  </si>
  <si>
    <t>6295550501608032,15</t>
  </si>
  <si>
    <t>6295550501551228,49</t>
  </si>
  <si>
    <t>62955505000167293,68</t>
  </si>
  <si>
    <t>6295550535863063,56</t>
  </si>
  <si>
    <t>629555050151992105,15</t>
  </si>
  <si>
    <t>629555053932072131,34</t>
  </si>
  <si>
    <t>62955505017213314,78</t>
  </si>
  <si>
    <t>62955505016080341,48</t>
  </si>
  <si>
    <t>62955505067660525,46</t>
  </si>
  <si>
    <t>62955505215791100,46</t>
  </si>
  <si>
    <t>62955505321630211,81</t>
  </si>
  <si>
    <t>62955505367117422,94</t>
  </si>
  <si>
    <t>62955505016080427,42</t>
  </si>
  <si>
    <t>62955505419443442,98</t>
  </si>
  <si>
    <t>62955505177504353,28</t>
  </si>
  <si>
    <t>62955505359360324,83</t>
  </si>
  <si>
    <t>62955505182257402,69</t>
  </si>
  <si>
    <t>62955505193534365,61</t>
  </si>
  <si>
    <t>62955505015350332,11</t>
  </si>
  <si>
    <t>62955505016080229,38</t>
  </si>
  <si>
    <t>62955505402710266,59</t>
  </si>
  <si>
    <t>62955505461210193,43</t>
  </si>
  <si>
    <t>62955505091456143,99</t>
  </si>
  <si>
    <t>62955505015601105,48</t>
  </si>
  <si>
    <t>62955505149047229,61</t>
  </si>
  <si>
    <t>62955505017213181,45</t>
  </si>
  <si>
    <t>62955505461210274,64</t>
  </si>
  <si>
    <t>62955505419443195,9</t>
  </si>
  <si>
    <t>62955505000167224,35</t>
  </si>
  <si>
    <t>6295550589211471,15</t>
  </si>
  <si>
    <t>62955505273058142,31</t>
  </si>
  <si>
    <t>62955505197360322,07</t>
  </si>
  <si>
    <t>6295550504089491,04</t>
  </si>
  <si>
    <t>6295550508009881,2</t>
  </si>
  <si>
    <t>6295550501705192,09</t>
  </si>
  <si>
    <t>62955505084751102,97</t>
  </si>
  <si>
    <t>6295550501551230,97</t>
  </si>
  <si>
    <t>62955505182176169,16</t>
  </si>
  <si>
    <t>62955505393207154,03</t>
  </si>
  <si>
    <t>62955505000167118,04</t>
  </si>
  <si>
    <t>629555053793951100,14</t>
  </si>
  <si>
    <t>62955505016403864,05</t>
  </si>
  <si>
    <t>62955505419443423,12</t>
  </si>
  <si>
    <t>62955505017213604,46</t>
  </si>
  <si>
    <t>62955505015199100,46</t>
  </si>
  <si>
    <t>62955505057789215,51</t>
  </si>
  <si>
    <t>62955505035629</t>
  </si>
  <si>
    <t>62955505015199292,13</t>
  </si>
  <si>
    <t>62955505057789439,79</t>
  </si>
  <si>
    <t>62955505357405</t>
  </si>
  <si>
    <t>62955505843253200,93</t>
  </si>
  <si>
    <t>62955505015431503,99</t>
  </si>
  <si>
    <t>6295550513444916,8</t>
  </si>
  <si>
    <t>62955505379395263,73</t>
  </si>
  <si>
    <t>6295550589793065,02</t>
  </si>
  <si>
    <t>6295550588738216,8</t>
  </si>
  <si>
    <t>6295550528760138,72</t>
  </si>
  <si>
    <t>62955505375721175,34</t>
  </si>
  <si>
    <t>62955505405140175,34</t>
  </si>
  <si>
    <t>62955505335851</t>
  </si>
  <si>
    <t>6295550504089487,67</t>
  </si>
  <si>
    <t>62955505015431200,93</t>
  </si>
  <si>
    <t>62955505358630</t>
  </si>
  <si>
    <t>629555050151992119,61</t>
  </si>
  <si>
    <t>629555053932071641,54</t>
  </si>
  <si>
    <t>62955505017213354,55</t>
  </si>
  <si>
    <t>62955505016080183,38</t>
  </si>
  <si>
    <t>62955505067660504,92</t>
  </si>
  <si>
    <t>6295550521579191,74</t>
  </si>
  <si>
    <t>62955505367117201,37</t>
  </si>
  <si>
    <t>62955505016080285,67</t>
  </si>
  <si>
    <t>62955505419443282,13</t>
  </si>
  <si>
    <t>6295550517750477,41</t>
  </si>
  <si>
    <t>62955505359360238,97</t>
  </si>
  <si>
    <t>62955505182257200,2</t>
  </si>
  <si>
    <t>62955505193534132,41</t>
  </si>
  <si>
    <t>62955505015350181,03</t>
  </si>
  <si>
    <t>62955505016080151,04</t>
  </si>
  <si>
    <t>62955505402710209,76</t>
  </si>
  <si>
    <t>62955505461210156,78</t>
  </si>
  <si>
    <t>62955505091456105,98</t>
  </si>
  <si>
    <t>62955505149047185,51</t>
  </si>
  <si>
    <t>6295550501721343,64</t>
  </si>
  <si>
    <t>6295550546121060,32</t>
  </si>
  <si>
    <t>62955505419443108,26</t>
  </si>
  <si>
    <t>62955505000167211,63</t>
  </si>
  <si>
    <t>6295550589211463,95</t>
  </si>
  <si>
    <t>62955505273058117,17</t>
  </si>
  <si>
    <t>62955505197360135,84</t>
  </si>
  <si>
    <t>6295550504089440,57</t>
  </si>
  <si>
    <t>6295550508009847,84</t>
  </si>
  <si>
    <t>62955505017051102,94</t>
  </si>
  <si>
    <t>62955505084751124,81</t>
  </si>
  <si>
    <t>6295550501551210,88</t>
  </si>
  <si>
    <t>62955505182176118,15</t>
  </si>
  <si>
    <t>62955505393207125,36</t>
  </si>
  <si>
    <t>6295550500016784,68</t>
  </si>
  <si>
    <t>62955505379395704,99</t>
  </si>
  <si>
    <t>62955505016403437,88</t>
  </si>
  <si>
    <t>62955505419443267,77</t>
  </si>
  <si>
    <t>62955505017213551,3</t>
  </si>
  <si>
    <t>6295550501519991,72</t>
  </si>
  <si>
    <t>62955505057789207,56</t>
  </si>
  <si>
    <t>62955505015199147,78</t>
  </si>
  <si>
    <t>62955505057789377,05</t>
  </si>
  <si>
    <t>62955505058599175,28</t>
  </si>
  <si>
    <t>62955505113875263,36</t>
  </si>
  <si>
    <t>62955505357405175,19</t>
  </si>
  <si>
    <t>62955505016918263,73</t>
  </si>
  <si>
    <t>62955505312487251,02</t>
  </si>
  <si>
    <t>62955505122432175,09</t>
  </si>
  <si>
    <t>62955505016080263,73</t>
  </si>
  <si>
    <t>62955505354481175,19</t>
  </si>
  <si>
    <t>62955505843253150,24</t>
  </si>
  <si>
    <t>62955505182257175,13</t>
  </si>
  <si>
    <t>62955505182257175,24</t>
  </si>
  <si>
    <t>62955505182257263,73</t>
  </si>
  <si>
    <t>62955505213233351,11</t>
  </si>
  <si>
    <t>62955505015431376,88</t>
  </si>
  <si>
    <t>6295550527402087,54</t>
  </si>
  <si>
    <t>6295550513444929,18</t>
  </si>
  <si>
    <t>62955505015946235,64</t>
  </si>
  <si>
    <t>62955505016160175,28</t>
  </si>
  <si>
    <t>62955505136492146,74</t>
  </si>
  <si>
    <t>62955505177504175,34</t>
  </si>
  <si>
    <t>62955505379395225,98</t>
  </si>
  <si>
    <t>6295550589793070,03</t>
  </si>
  <si>
    <t>62955505331198324,36</t>
  </si>
  <si>
    <t>6295550515706659,15</t>
  </si>
  <si>
    <t>6295550528760122,61</t>
  </si>
  <si>
    <t>62955505197521175,09</t>
  </si>
  <si>
    <t>62955505135500175,24</t>
  </si>
  <si>
    <t>62955505375721150,09</t>
  </si>
  <si>
    <t>Pix</t>
  </si>
  <si>
    <t>62955505405140150,17</t>
  </si>
  <si>
    <t>62955505269026175,34</t>
  </si>
  <si>
    <t>Acordo</t>
  </si>
  <si>
    <t>6295550518225787,54</t>
  </si>
  <si>
    <t>62955505239119175,21</t>
  </si>
  <si>
    <t>6295550533585187,67</t>
  </si>
  <si>
    <t>62955505016594175,24</t>
  </si>
  <si>
    <t>62955505000167175,33</t>
  </si>
  <si>
    <t>6295550504089475,04</t>
  </si>
  <si>
    <t>62955505016837148,95</t>
  </si>
  <si>
    <t>6295550536711787,67</t>
  </si>
  <si>
    <t>62955505015431150,11</t>
  </si>
  <si>
    <t>62955505248886175,09</t>
  </si>
  <si>
    <t>6295550501551287,62</t>
  </si>
  <si>
    <t>6295550501608087,67</t>
  </si>
  <si>
    <t>62955505015512100,08</t>
  </si>
  <si>
    <t>62955505000167272,26</t>
  </si>
  <si>
    <t>6295550535863022,62</t>
  </si>
  <si>
    <t>629555050151992066,18</t>
  </si>
  <si>
    <t>629555053932071234,4</t>
  </si>
  <si>
    <t>62955505017213302,11</t>
  </si>
  <si>
    <t>62955505016080132,53</t>
  </si>
  <si>
    <t>62955505067660629,29</t>
  </si>
  <si>
    <t>6295550521579165,94</t>
  </si>
  <si>
    <t/>
  </si>
  <si>
    <t>62955505367117277,09</t>
  </si>
  <si>
    <t>62955505016080250,55</t>
  </si>
  <si>
    <t>62955505419443350,9</t>
  </si>
  <si>
    <t>62955505177504159,19</t>
  </si>
  <si>
    <t>62955505359360223,37</t>
  </si>
  <si>
    <t>62955505182257135,97</t>
  </si>
  <si>
    <t>6295550519353492,27</t>
  </si>
  <si>
    <t>62955505015350152,04</t>
  </si>
  <si>
    <t>62955505016080124,23</t>
  </si>
  <si>
    <t>62955505402710251,25</t>
  </si>
  <si>
    <t>6295550546121092,43</t>
  </si>
  <si>
    <t>6295550509145693,19</t>
  </si>
  <si>
    <t>62955505149047165,89</t>
  </si>
  <si>
    <t>6295550501721361,61</t>
  </si>
  <si>
    <t>6295550546121055,12</t>
  </si>
  <si>
    <t>6295550500016773,98</t>
  </si>
  <si>
    <t>6295550589211445,36</t>
  </si>
  <si>
    <t>62955505273058120,32</t>
  </si>
  <si>
    <t>62955505197360158,2</t>
  </si>
  <si>
    <t>6295550504089422,97</t>
  </si>
  <si>
    <t>629555050800985,1</t>
  </si>
  <si>
    <t>6295550501705163,21</t>
  </si>
  <si>
    <t>62955505084751105,37</t>
  </si>
  <si>
    <t>6295550501551217,7</t>
  </si>
  <si>
    <t>6295550518217645,79</t>
  </si>
  <si>
    <t>6295550539320782,18</t>
  </si>
  <si>
    <t>62955505000167103,14</t>
  </si>
  <si>
    <t>62955505379395485,15</t>
  </si>
  <si>
    <t>62955505016403596,04</t>
  </si>
  <si>
    <t>62955505419443151,46</t>
  </si>
  <si>
    <t>62955505017213399,11</t>
  </si>
  <si>
    <t>6295550501519965,9</t>
  </si>
  <si>
    <t>62955505057789175,23</t>
  </si>
  <si>
    <t>62955505058599150,15</t>
  </si>
  <si>
    <t>62955505113875238,77</t>
  </si>
  <si>
    <t>62955505357405209,2</t>
  </si>
  <si>
    <t>62955505016918225,43</t>
  </si>
  <si>
    <t>62955505312487395,57</t>
  </si>
  <si>
    <t>62955505122432266,76</t>
  </si>
  <si>
    <t>62955505016080225,45</t>
  </si>
  <si>
    <t>62955505354481266,3</t>
  </si>
  <si>
    <t>62955505843253116,05</t>
  </si>
  <si>
    <t>62955505182257121,54</t>
  </si>
  <si>
    <t>62955505182257150,46</t>
  </si>
  <si>
    <t>62955505182257225,28</t>
  </si>
  <si>
    <t>62955505213233286,12</t>
  </si>
  <si>
    <t>62955505015431291,78</t>
  </si>
  <si>
    <t>6295550527402095,98</t>
  </si>
  <si>
    <t>6295550513444938,18</t>
  </si>
  <si>
    <t>62955505015946219,83</t>
  </si>
  <si>
    <t>62955505016160150,16</t>
  </si>
  <si>
    <t>62955505136492149,11</t>
  </si>
  <si>
    <t>62955505177504149,8</t>
  </si>
  <si>
    <t>62955505379395169,47</t>
  </si>
  <si>
    <t>6295550589793093,21</t>
  </si>
  <si>
    <t>62955505331198327,44</t>
  </si>
  <si>
    <t>6295550515706694,95</t>
  </si>
  <si>
    <t>6295550528760148,44</t>
  </si>
  <si>
    <t>62955505197521212,72</t>
  </si>
  <si>
    <t>62955505135500150,44</t>
  </si>
  <si>
    <t>62955505375721116,63</t>
  </si>
  <si>
    <t>62955505405140116,41</t>
  </si>
  <si>
    <t>62955505269026149,41</t>
  </si>
  <si>
    <t>62955505182257100,57</t>
  </si>
  <si>
    <t>62955505239119203,23</t>
  </si>
  <si>
    <t>6295550533585174,86</t>
  </si>
  <si>
    <t>62955505016594150,46</t>
  </si>
  <si>
    <t>6295550531248719,58</t>
  </si>
  <si>
    <t>62955505000167150,02</t>
  </si>
  <si>
    <t>6295550504089458,36</t>
  </si>
  <si>
    <t>62955505016837176,78</t>
  </si>
  <si>
    <t>6295550536711741,5</t>
  </si>
  <si>
    <t>62955505015431116,5</t>
  </si>
  <si>
    <t>62955505248886129</t>
  </si>
  <si>
    <t>6295550501551275,22</t>
  </si>
  <si>
    <t>6295550501551283,68</t>
  </si>
  <si>
    <t>62955505000167266,27</t>
  </si>
  <si>
    <t>6295550535863010,26</t>
  </si>
  <si>
    <t>629555050151992227,79</t>
  </si>
  <si>
    <t>09/00012472737-9</t>
  </si>
  <si>
    <t>05/08/2025</t>
  </si>
  <si>
    <t>62955505393207676,11</t>
  </si>
  <si>
    <t>09/00012472738-7</t>
  </si>
  <si>
    <t>01/08/2025</t>
  </si>
  <si>
    <t>62955505017213159,65</t>
  </si>
  <si>
    <t>09/00012472739-5</t>
  </si>
  <si>
    <t>62955505067660251,23</t>
  </si>
  <si>
    <t>09/00012472740-3</t>
  </si>
  <si>
    <t>62955505215791291</t>
  </si>
  <si>
    <t>09/00012472741-1</t>
  </si>
  <si>
    <t>6295550536711741,14</t>
  </si>
  <si>
    <t>09/00012472742-9</t>
  </si>
  <si>
    <t>62955505016080152,17</t>
  </si>
  <si>
    <t>09/00012472743-7</t>
  </si>
  <si>
    <t>6295550541944356,18</t>
  </si>
  <si>
    <t>09/00012472744-5</t>
  </si>
  <si>
    <t>06/08/2025</t>
  </si>
  <si>
    <t>62955505088404111,32</t>
  </si>
  <si>
    <t>09/00012472745-2</t>
  </si>
  <si>
    <t>62955505359360176,97</t>
  </si>
  <si>
    <t>09/00012472746-0</t>
  </si>
  <si>
    <t>62955505182257156,34</t>
  </si>
  <si>
    <t>09/00012472747-8</t>
  </si>
  <si>
    <t>62955505193534108,76</t>
  </si>
  <si>
    <t>09/00012472748-6</t>
  </si>
  <si>
    <t>31/07/2025</t>
  </si>
  <si>
    <t>6295550501535077,55</t>
  </si>
  <si>
    <t>09/00012472749-4</t>
  </si>
  <si>
    <t>04/08/2025</t>
  </si>
  <si>
    <t>62955505016080172,74</t>
  </si>
  <si>
    <t>09/00012472750-2</t>
  </si>
  <si>
    <t>02/08/2025</t>
  </si>
  <si>
    <t>62955505402710222,49</t>
  </si>
  <si>
    <t>09/00012472751-0</t>
  </si>
  <si>
    <t>6295550546121095,85</t>
  </si>
  <si>
    <t>09/00012472752-8</t>
  </si>
  <si>
    <t>6295550509145683,17</t>
  </si>
  <si>
    <t>09/00012472753-6</t>
  </si>
  <si>
    <t>62955505149047194,07</t>
  </si>
  <si>
    <t>09/00012472754-4</t>
  </si>
  <si>
    <t>6295550546121040,09</t>
  </si>
  <si>
    <t>09/00012472755-1</t>
  </si>
  <si>
    <t>6295550589211415,9</t>
  </si>
  <si>
    <t>09/00012472756-9</t>
  </si>
  <si>
    <t>6295550527305843,54</t>
  </si>
  <si>
    <t>09/00012472757-7</t>
  </si>
  <si>
    <t>6295550504089411,32</t>
  </si>
  <si>
    <t>09/00012472758-5</t>
  </si>
  <si>
    <t>6295550501705135,4</t>
  </si>
  <si>
    <t>09/00012472759-3</t>
  </si>
  <si>
    <t>6295550508475184,82</t>
  </si>
  <si>
    <t>09/00012472760-1</t>
  </si>
  <si>
    <t>6295550518217642,69</t>
  </si>
  <si>
    <t>09/00012472761-9</t>
  </si>
  <si>
    <t>6295550539320724,74</t>
  </si>
  <si>
    <t>09/00012472762-7</t>
  </si>
  <si>
    <t>62955505000167110,4</t>
  </si>
  <si>
    <t>09/00012472763-5</t>
  </si>
  <si>
    <t>62955505379395313,65</t>
  </si>
  <si>
    <t>09/00012472764-3</t>
  </si>
  <si>
    <t>6295550501640373,74</t>
  </si>
  <si>
    <t>09/00012472765-0</t>
  </si>
  <si>
    <t>62955505419443180,56</t>
  </si>
  <si>
    <t>09/00012472766-8</t>
  </si>
  <si>
    <t>62955505017213368,83</t>
  </si>
  <si>
    <t>09/00012472767-6</t>
  </si>
  <si>
    <t>62955505057789216,9</t>
  </si>
  <si>
    <t>09/00012472768-4</t>
  </si>
  <si>
    <t>62955505058599118,91</t>
  </si>
  <si>
    <t>09/00012472769-2</t>
  </si>
  <si>
    <t>62955505113875164,56</t>
  </si>
  <si>
    <t>09/00012472770-0</t>
  </si>
  <si>
    <t>6295550535740558,93</t>
  </si>
  <si>
    <t>09/00012472771-8</t>
  </si>
  <si>
    <t>62955505016918177,43</t>
  </si>
  <si>
    <t>09/00012472772-6</t>
  </si>
  <si>
    <t>6295550531248718,19</t>
  </si>
  <si>
    <t>09/00012472773-4</t>
  </si>
  <si>
    <t>62955505016080177,43</t>
  </si>
  <si>
    <t>09/00012472774-2</t>
  </si>
  <si>
    <t>6295550518225793,23</t>
  </si>
  <si>
    <t>09/00012472775-9</t>
  </si>
  <si>
    <t>62955505182257119,11</t>
  </si>
  <si>
    <t>09/00012472776-7</t>
  </si>
  <si>
    <t>62955505182257177,24</t>
  </si>
  <si>
    <t>09/00012472777-5</t>
  </si>
  <si>
    <t>62955505213233194,17</t>
  </si>
  <si>
    <t>09/00012472778-3</t>
  </si>
  <si>
    <t>6295550527402038,68</t>
  </si>
  <si>
    <t>09/00012472779-1</t>
  </si>
  <si>
    <t>6295550513444972,26</t>
  </si>
  <si>
    <t>09/00012472780-9</t>
  </si>
  <si>
    <t>62955505015946182,75</t>
  </si>
  <si>
    <t>09/00012472781-7</t>
  </si>
  <si>
    <t>62955505016160118,89</t>
  </si>
  <si>
    <t>09/00012472782-5</t>
  </si>
  <si>
    <t>6295550513649275,46</t>
  </si>
  <si>
    <t>09/00012472783-3</t>
  </si>
  <si>
    <t>62955505177504118,29</t>
  </si>
  <si>
    <t>09/00012472784-1</t>
  </si>
  <si>
    <t>629555053793955,34</t>
  </si>
  <si>
    <t>09/00012472785-8</t>
  </si>
  <si>
    <t>62955505331198237,65</t>
  </si>
  <si>
    <t>09/00012472786-6</t>
  </si>
  <si>
    <t>6295550515706646,74</t>
  </si>
  <si>
    <t>09/00012472787-4</t>
  </si>
  <si>
    <t>6295550528760116,72</t>
  </si>
  <si>
    <t>09/00012472788-2</t>
  </si>
  <si>
    <t>6295550519752153,1</t>
  </si>
  <si>
    <t>09/00012472789-0</t>
  </si>
  <si>
    <t>62955505135500119,1</t>
  </si>
  <si>
    <t>09/00012472790-8</t>
  </si>
  <si>
    <t>62955505269026118,05</t>
  </si>
  <si>
    <t>09/00012472791-6</t>
  </si>
  <si>
    <t>6295550518225734,2</t>
  </si>
  <si>
    <t>09/00012472792-4</t>
  </si>
  <si>
    <t>6295550523911964,91</t>
  </si>
  <si>
    <t>09/00012472793-2</t>
  </si>
  <si>
    <t>6295550533585159,09</t>
  </si>
  <si>
    <t>09/00012472794-0</t>
  </si>
  <si>
    <t>62955505016594119,09</t>
  </si>
  <si>
    <t>09/00012472795-7</t>
  </si>
  <si>
    <t>62955505000167118,54</t>
  </si>
  <si>
    <t>09/00012472796-5</t>
  </si>
  <si>
    <t>62955505016837119,09</t>
  </si>
  <si>
    <t>09/00012472797-3</t>
  </si>
  <si>
    <t>6295550536711748,78</t>
  </si>
  <si>
    <t>09/00012472799-9</t>
  </si>
  <si>
    <t>62955505248886120,62</t>
  </si>
  <si>
    <t>09/00012472800-5</t>
  </si>
  <si>
    <t>6295550501551259,57</t>
  </si>
  <si>
    <t>09/00012472801-3</t>
  </si>
  <si>
    <t>6295550501551259,21</t>
  </si>
  <si>
    <t>09/00012472802-1</t>
  </si>
  <si>
    <t>sem crédito consumido</t>
  </si>
  <si>
    <t>62955505897930</t>
  </si>
  <si>
    <t>62955505393207422,89</t>
  </si>
  <si>
    <t>09/00012683467-8</t>
  </si>
  <si>
    <t>629555050151992336,92</t>
  </si>
  <si>
    <t>09/00012683468-6</t>
  </si>
  <si>
    <t>62955505017213409,61</t>
  </si>
  <si>
    <t>09/00012683469-4</t>
  </si>
  <si>
    <t>62955505016080320,88</t>
  </si>
  <si>
    <t>09/00012683470-2</t>
  </si>
  <si>
    <t>62955505016403305,99</t>
  </si>
  <si>
    <t>09/00012683471-0</t>
  </si>
  <si>
    <t>62955505215791286,38</t>
  </si>
  <si>
    <t>09/00012683472-8</t>
  </si>
  <si>
    <t>62955505379395128,12</t>
  </si>
  <si>
    <t>09/00012683473-6</t>
  </si>
  <si>
    <t>62955505461210364,55</t>
  </si>
  <si>
    <t>09/00012683474-4</t>
  </si>
  <si>
    <t>62955505015431274,51</t>
  </si>
  <si>
    <t>09/00012683492-6</t>
  </si>
  <si>
    <t>6295550532163094,11</t>
  </si>
  <si>
    <t>09/00012683476-9</t>
  </si>
  <si>
    <t>62955505067660107,34</t>
  </si>
  <si>
    <t>09/00012683477-7</t>
  </si>
  <si>
    <t>62955505375721238,05</t>
  </si>
  <si>
    <t>09/00012683504-8</t>
  </si>
  <si>
    <t>629555050160802,59</t>
  </si>
  <si>
    <t>09/00012683479-3</t>
  </si>
  <si>
    <t>629555050151990</t>
  </si>
  <si>
    <t>62955505419443117,46</t>
  </si>
  <si>
    <t>09/00012683480-1</t>
  </si>
  <si>
    <t>#ND</t>
  </si>
  <si>
    <t>sem informação de CNPJ</t>
  </si>
  <si>
    <t>#ND0</t>
  </si>
  <si>
    <t>6295550519353480,72</t>
  </si>
  <si>
    <t>09/00012683481-9</t>
  </si>
  <si>
    <t>629555054194430</t>
  </si>
  <si>
    <t>62955505419443150,05</t>
  </si>
  <si>
    <t>09/00012683482-7</t>
  </si>
  <si>
    <t>6295550546121050,01</t>
  </si>
  <si>
    <t>09/00012683483-5</t>
  </si>
  <si>
    <t>Pago por Pix</t>
  </si>
  <si>
    <t>6295550501560186,94</t>
  </si>
  <si>
    <t>09/00012683484-3</t>
  </si>
  <si>
    <t>6295550501535049,71</t>
  </si>
  <si>
    <t>09/00012683485-0</t>
  </si>
  <si>
    <t>629555051973600</t>
  </si>
  <si>
    <t>629555050914560</t>
  </si>
  <si>
    <t>62955505331198232,76</t>
  </si>
  <si>
    <t>09/00012683496-7</t>
  </si>
  <si>
    <t>6295550500016712,54</t>
  </si>
  <si>
    <t>09/00012683487-6</t>
  </si>
  <si>
    <t>6295550508475179,65</t>
  </si>
  <si>
    <t>09/00012683488-4</t>
  </si>
  <si>
    <t>62955505149047114,43</t>
  </si>
  <si>
    <t>09/00012683489-2</t>
  </si>
  <si>
    <t>6295550501608031,61</t>
  </si>
  <si>
    <t>09/00012683490-0</t>
  </si>
  <si>
    <t>62955505088404125,58</t>
  </si>
  <si>
    <t>09/00012683491-8</t>
  </si>
  <si>
    <t>62955505177504196,62</t>
  </si>
  <si>
    <t>09/00012683509-7</t>
  </si>
  <si>
    <t>62955505016918280,46</t>
  </si>
  <si>
    <t>09/00012683493-4</t>
  </si>
  <si>
    <t>62955505312487191,81</t>
  </si>
  <si>
    <t>09/00012683494-2</t>
  </si>
  <si>
    <t>62955505213233134,34</t>
  </si>
  <si>
    <t>09/00012683495-9</t>
  </si>
  <si>
    <t>62955505878987183,73</t>
  </si>
  <si>
    <t>09/00012683478-5</t>
  </si>
  <si>
    <t>62955505113875218,45</t>
  </si>
  <si>
    <t>09/00012683497-5</t>
  </si>
  <si>
    <t>62955505015946105,46</t>
  </si>
  <si>
    <t>09/00012683498-3</t>
  </si>
  <si>
    <t>62955505016080172,04</t>
  </si>
  <si>
    <t>09/00012683499-1</t>
  </si>
  <si>
    <t>6295550537939546,62</t>
  </si>
  <si>
    <t>09/00012683500-6</t>
  </si>
  <si>
    <t>62955505122432161,26</t>
  </si>
  <si>
    <t>09/00012683501-4</t>
  </si>
  <si>
    <t>62955505182257248,06</t>
  </si>
  <si>
    <t>09/00012683502-2</t>
  </si>
  <si>
    <t>62955505354481144,22</t>
  </si>
  <si>
    <t>09/00012683503-0</t>
  </si>
  <si>
    <t>62955505359360172,58</t>
  </si>
  <si>
    <t>09/00012683531-1</t>
  </si>
  <si>
    <t>6295550501616096,61</t>
  </si>
  <si>
    <t>09/00012683505-5</t>
  </si>
  <si>
    <t>62955505135500181,13</t>
  </si>
  <si>
    <t>09/00012683506-3</t>
  </si>
  <si>
    <t>62955505015431219,94</t>
  </si>
  <si>
    <t>09/00012683507-1</t>
  </si>
  <si>
    <t>62955505367117168,31</t>
  </si>
  <si>
    <t>09/00012683475-1</t>
  </si>
  <si>
    <t>62955505239119161,56</t>
  </si>
  <si>
    <t>09/00012683513-9</t>
  </si>
  <si>
    <t>62955505182257148,56</t>
  </si>
  <si>
    <t>09/00012683510-5</t>
  </si>
  <si>
    <t>62955505405140156,63</t>
  </si>
  <si>
    <t>09/00012683508-9</t>
  </si>
  <si>
    <t>62955505357405111,12</t>
  </si>
  <si>
    <t>09/00012683512-1</t>
  </si>
  <si>
    <t>6295550533585170,78</t>
  </si>
  <si>
    <t>09/00012683528-7</t>
  </si>
  <si>
    <t>62955505000167276,03</t>
  </si>
  <si>
    <t>09/00012683514-7</t>
  </si>
  <si>
    <t>6295550504089439,55</t>
  </si>
  <si>
    <t>09/00012683515-4</t>
  </si>
  <si>
    <t>Valor abaixo do mínimo</t>
  </si>
  <si>
    <t>629555052740200</t>
  </si>
  <si>
    <t>6295550501683761,73</t>
  </si>
  <si>
    <t>09/00012683516-2</t>
  </si>
  <si>
    <t>62955505000167177,96</t>
  </si>
  <si>
    <t>09/00012683517-0</t>
  </si>
  <si>
    <t>6295550509145663,02</t>
  </si>
  <si>
    <t>09/00012683534-5</t>
  </si>
  <si>
    <t>6295550513649212,14</t>
  </si>
  <si>
    <t>09/00012683519-6</t>
  </si>
  <si>
    <t>62955505016594140,01</t>
  </si>
  <si>
    <t>09/00012683520-4</t>
  </si>
  <si>
    <t>62955505197521135,82</t>
  </si>
  <si>
    <t>09/00012683521-2</t>
  </si>
  <si>
    <t>6295550584325379,09</t>
  </si>
  <si>
    <t>09/00012683522-0</t>
  </si>
  <si>
    <t>6295550515706635,69</t>
  </si>
  <si>
    <t>09/00012683523-8</t>
  </si>
  <si>
    <t>6295550518225737,02</t>
  </si>
  <si>
    <t>09/00012683524-6</t>
  </si>
  <si>
    <t>629555051893400</t>
  </si>
  <si>
    <t>62955505248886113,7</t>
  </si>
  <si>
    <t>09/00012683525-3</t>
  </si>
  <si>
    <t>62955505015512153,69</t>
  </si>
  <si>
    <t>09/00012683526-1</t>
  </si>
  <si>
    <t>6295550501551280,88</t>
  </si>
  <si>
    <t>09/00012683527-9</t>
  </si>
  <si>
    <t>6295550505859955,52</t>
  </si>
  <si>
    <t>09/00012683511-3</t>
  </si>
  <si>
    <t>629555050160800</t>
  </si>
  <si>
    <t>6295550589793074,43</t>
  </si>
  <si>
    <t>09/00012683529-5</t>
  </si>
  <si>
    <t>629555053671170</t>
  </si>
  <si>
    <t>629555053586300</t>
  </si>
  <si>
    <t>629555058873820</t>
  </si>
  <si>
    <t>629555052876010</t>
  </si>
  <si>
    <t>6295550501721360,06</t>
  </si>
  <si>
    <t>09/00012683530-3</t>
  </si>
  <si>
    <t>6295550518225734,93</t>
  </si>
  <si>
    <t>09/00012683542-8</t>
  </si>
  <si>
    <t>6295550518225769,19</t>
  </si>
  <si>
    <t>09/00012683532-9</t>
  </si>
  <si>
    <t>62955505402710156,36</t>
  </si>
  <si>
    <t>09/00012683533-7</t>
  </si>
  <si>
    <t>6295550518217615,96</t>
  </si>
  <si>
    <t>09/00012683486-8</t>
  </si>
  <si>
    <t>629555050172130</t>
  </si>
  <si>
    <t>6295550589211413,71</t>
  </si>
  <si>
    <t>09/00012683535-2</t>
  </si>
  <si>
    <t>6295550527305872,69</t>
  </si>
  <si>
    <t>09/00012683536-0</t>
  </si>
  <si>
    <t>629555050408940</t>
  </si>
  <si>
    <t>629555050800980</t>
  </si>
  <si>
    <t>6295550501705125,54</t>
  </si>
  <si>
    <t>09/00012683537-8</t>
  </si>
  <si>
    <t>6295550501551272,59</t>
  </si>
  <si>
    <t>09/00012683538-6</t>
  </si>
  <si>
    <t>6295550539320715,65</t>
  </si>
  <si>
    <t>09/00012683539-4</t>
  </si>
  <si>
    <t>6295550500016787,76</t>
  </si>
  <si>
    <t>09/00012683540-2</t>
  </si>
  <si>
    <t>Enviado para rateio de forma equivocada pel Hube</t>
  </si>
  <si>
    <t>629555050577890</t>
  </si>
  <si>
    <t>629555052690262</t>
  </si>
  <si>
    <t>09/00012683518-8</t>
  </si>
  <si>
    <t>6295550513444926,82</t>
  </si>
  <si>
    <t>09/00012683543-6</t>
  </si>
  <si>
    <t>629555053124870</t>
  </si>
  <si>
    <t>62955505016160557,19</t>
  </si>
  <si>
    <t>09/00012749630-3</t>
  </si>
  <si>
    <t>629555050151992313,99</t>
  </si>
  <si>
    <t>09/00012749632-9</t>
  </si>
  <si>
    <t>62955505017213530,42</t>
  </si>
  <si>
    <t>09/00012749633-7</t>
  </si>
  <si>
    <t>62955505016080609,04</t>
  </si>
  <si>
    <t>09/00012749634-5</t>
  </si>
  <si>
    <t>62955505461210378,55</t>
  </si>
  <si>
    <t>09/00012749635-2</t>
  </si>
  <si>
    <t>62955505215791318,73</t>
  </si>
  <si>
    <t>09/00012749636-0</t>
  </si>
  <si>
    <t>62955505016403383,74</t>
  </si>
  <si>
    <t>09/00012749637-8</t>
  </si>
  <si>
    <t>62955505379395204,16</t>
  </si>
  <si>
    <t>09/00012749638-6</t>
  </si>
  <si>
    <t>62955505367117159,3</t>
  </si>
  <si>
    <t>09/00012749639-4</t>
  </si>
  <si>
    <t>62955505015199243,65</t>
  </si>
  <si>
    <t>09/00012749640-2</t>
  </si>
  <si>
    <t>62955505088404136,09</t>
  </si>
  <si>
    <t>09/00012749641-0</t>
  </si>
  <si>
    <t>62955505067660335,5</t>
  </si>
  <si>
    <t>09/00012749642-8</t>
  </si>
  <si>
    <t>62955505016080126,24</t>
  </si>
  <si>
    <t>09/00012749643-6</t>
  </si>
  <si>
    <t>62955505321630111,57</t>
  </si>
  <si>
    <t>09/00012749644-4</t>
  </si>
  <si>
    <t>6295550587898795,38</t>
  </si>
  <si>
    <t>09/00012749645-1</t>
  </si>
  <si>
    <t>62955505419443116,02</t>
  </si>
  <si>
    <t>09/00012749646-9</t>
  </si>
  <si>
    <t>6295550501608088,17</t>
  </si>
  <si>
    <t>09/00012749647-7</t>
  </si>
  <si>
    <t>6295550519353462,32</t>
  </si>
  <si>
    <t>09/00012749648-5</t>
  </si>
  <si>
    <t>62955505402710171,77</t>
  </si>
  <si>
    <t>09/00012749649-3</t>
  </si>
  <si>
    <t>6295550501560175,77</t>
  </si>
  <si>
    <t>09/00012749650-1</t>
  </si>
  <si>
    <t>6295550514904779,48</t>
  </si>
  <si>
    <t>09/00012749651-9</t>
  </si>
  <si>
    <t>6295550508475162,38</t>
  </si>
  <si>
    <t>09/00012749652-7</t>
  </si>
  <si>
    <t>6295550501535090,56</t>
  </si>
  <si>
    <t>09/00012749653-5</t>
  </si>
  <si>
    <t>6295550546121069,73</t>
  </si>
  <si>
    <t>09/00012749654-3</t>
  </si>
  <si>
    <t>62955505419443159,48</t>
  </si>
  <si>
    <t>09/00012749655-0</t>
  </si>
  <si>
    <t>629555051821763,62</t>
  </si>
  <si>
    <t>09/00012749656-8</t>
  </si>
  <si>
    <t>6295550500016733,14</t>
  </si>
  <si>
    <t>09/00012749657-6</t>
  </si>
  <si>
    <t>629555054194435,46</t>
  </si>
  <si>
    <t>09/00012749658-4</t>
  </si>
  <si>
    <t>6295550539320728,5</t>
  </si>
  <si>
    <t>09/00012749659-2</t>
  </si>
  <si>
    <t>6295550518225798,76</t>
  </si>
  <si>
    <t>09/00012749660-0</t>
  </si>
  <si>
    <t>6295550589211419,31</t>
  </si>
  <si>
    <t>09/00012749661-8</t>
  </si>
  <si>
    <t>6295550501721387,97</t>
  </si>
  <si>
    <t>09/00012749662-6</t>
  </si>
  <si>
    <t>6295550501705137,58</t>
  </si>
  <si>
    <t>09/00012749663-4</t>
  </si>
  <si>
    <t>6295550504089410,99</t>
  </si>
  <si>
    <t>09/00012749664-2</t>
  </si>
  <si>
    <t>Pendente dado cadastral</t>
  </si>
  <si>
    <t>#ND178,11</t>
  </si>
  <si>
    <t>6295550500016797,03</t>
  </si>
  <si>
    <t>09/00012749665-9</t>
  </si>
  <si>
    <t>6295550527305872,55</t>
  </si>
  <si>
    <t>09/00012749666-7</t>
  </si>
  <si>
    <t>62955505359360197,04</t>
  </si>
  <si>
    <t>09/00012749667-5</t>
  </si>
  <si>
    <t>62955505015512100,61</t>
  </si>
  <si>
    <t>09/00012749668-3</t>
  </si>
  <si>
    <t>6295550509145665,77</t>
  </si>
  <si>
    <t>62955505015431303,55</t>
  </si>
  <si>
    <t>09/00012749669-1</t>
  </si>
  <si>
    <t>62955505016918300,63</t>
  </si>
  <si>
    <t>09/00012749670-9</t>
  </si>
  <si>
    <t>62955505312487239,05</t>
  </si>
  <si>
    <t>09/00012749671-7</t>
  </si>
  <si>
    <t>62955505016080247,65</t>
  </si>
  <si>
    <t>09/00012749672-5</t>
  </si>
  <si>
    <t>62955505213233129,92</t>
  </si>
  <si>
    <t>09/00012749673-3</t>
  </si>
  <si>
    <t>62955505331198205,77</t>
  </si>
  <si>
    <t>09/00012749674-1</t>
  </si>
  <si>
    <t>6295550505859993</t>
  </si>
  <si>
    <t>09/00012749675-8</t>
  </si>
  <si>
    <t>62955505113875213,68</t>
  </si>
  <si>
    <t>09/00012749676-6</t>
  </si>
  <si>
    <t>62955505122432377,07</t>
  </si>
  <si>
    <t>09/00012749677-4</t>
  </si>
  <si>
    <t>62955505354481179,54</t>
  </si>
  <si>
    <t>09/00012749678-2</t>
  </si>
  <si>
    <t>62955505182257161,64</t>
  </si>
  <si>
    <t>09/00012749679-0</t>
  </si>
  <si>
    <t>62955505182257267,36</t>
  </si>
  <si>
    <t>09/00012749680-8</t>
  </si>
  <si>
    <t>62955505016160149,29</t>
  </si>
  <si>
    <t>09/00012749681-6</t>
  </si>
  <si>
    <t>6295550537939585,14</t>
  </si>
  <si>
    <t>09/00012749682-4</t>
  </si>
  <si>
    <t>62955505135500210,23</t>
  </si>
  <si>
    <t>09/00012749683-2</t>
  </si>
  <si>
    <t>62955505000167247,3</t>
  </si>
  <si>
    <t>09/00012749684-0</t>
  </si>
  <si>
    <t>62955505357405115,74</t>
  </si>
  <si>
    <t>09/00012749685-7</t>
  </si>
  <si>
    <t>6295550584325368,32</t>
  </si>
  <si>
    <t>09/00012749686-5</t>
  </si>
  <si>
    <t>6295550518225767,83</t>
  </si>
  <si>
    <t>09/00012749687-3</t>
  </si>
  <si>
    <t>6295550527402015,81</t>
  </si>
  <si>
    <t>09/00012749688-1</t>
  </si>
  <si>
    <t>62955505015946163,52</t>
  </si>
  <si>
    <t>09/00012749689-9</t>
  </si>
  <si>
    <t>62955505197521153,66</t>
  </si>
  <si>
    <t>09/00012749690-7</t>
  </si>
  <si>
    <t>62955505375721207,51</t>
  </si>
  <si>
    <t>09/00012749691-5</t>
  </si>
  <si>
    <t>62955505405140166,45</t>
  </si>
  <si>
    <t>09/00012749692-3</t>
  </si>
  <si>
    <t>6295550526902639,45</t>
  </si>
  <si>
    <t>09/00012749693-1</t>
  </si>
  <si>
    <t>62955505239119172,03</t>
  </si>
  <si>
    <t>09/00012749694-9</t>
  </si>
  <si>
    <t>62955505016594180,44</t>
  </si>
  <si>
    <t>09/00012749695-6</t>
  </si>
  <si>
    <t>62955505000167223,6</t>
  </si>
  <si>
    <t>09/00012749696-4</t>
  </si>
  <si>
    <t>6295550504089495,21</t>
  </si>
  <si>
    <t>09/00012749697-2</t>
  </si>
  <si>
    <t>6295550501683778,44</t>
  </si>
  <si>
    <t>09/00012749698-0</t>
  </si>
  <si>
    <t>62955505015431225,41</t>
  </si>
  <si>
    <t>09/00012749699-8</t>
  </si>
  <si>
    <t>6295550513649291,92</t>
  </si>
  <si>
    <t>09/00012749700-4</t>
  </si>
  <si>
    <t>6295550589793066,57</t>
  </si>
  <si>
    <t>09/00012749701-2</t>
  </si>
  <si>
    <t>6295550515706672,15</t>
  </si>
  <si>
    <t>09/00012749702-0</t>
  </si>
  <si>
    <t>6295550518225772,08</t>
  </si>
  <si>
    <t>09/00012749703-8</t>
  </si>
  <si>
    <t>62955505335851119,66</t>
  </si>
  <si>
    <t>09/00012749704-6</t>
  </si>
  <si>
    <t>629555053671170,829999999999998</t>
  </si>
  <si>
    <t>62955505248886101,13</t>
  </si>
  <si>
    <t>09/00012749706-1</t>
  </si>
  <si>
    <t>6295550501551298,08</t>
  </si>
  <si>
    <t>09/00012749707-9</t>
  </si>
  <si>
    <t>6295550501551281,09</t>
  </si>
  <si>
    <t>09/00012749708-7</t>
  </si>
  <si>
    <t>#ND142,67</t>
  </si>
  <si>
    <t>6295550513444941,97</t>
  </si>
  <si>
    <t>09/00012749709-5</t>
  </si>
  <si>
    <t>Abatimento pagamento em duplicidade</t>
  </si>
  <si>
    <t>6295550528760114,26</t>
  </si>
  <si>
    <t>09/00012749710-3</t>
  </si>
  <si>
    <t>Aprovado</t>
  </si>
  <si>
    <t>62955505016160676,01</t>
  </si>
  <si>
    <t>09/00012851396-5</t>
  </si>
  <si>
    <t>629555050151992266,77</t>
  </si>
  <si>
    <t>09/00012851397-3</t>
  </si>
  <si>
    <t>62955505016080876,65</t>
  </si>
  <si>
    <t>09/00012851398-1</t>
  </si>
  <si>
    <t>62955505016403477,13</t>
  </si>
  <si>
    <t>09/00012851399-9</t>
  </si>
  <si>
    <t>62955505017213888,07</t>
  </si>
  <si>
    <t>09/00012851400-5</t>
  </si>
  <si>
    <t>62955505461210307,51</t>
  </si>
  <si>
    <t>09/00012851401-3</t>
  </si>
  <si>
    <t>62955505379395803,17</t>
  </si>
  <si>
    <t>09/00012851402-1</t>
  </si>
  <si>
    <t>62955505215791529,3</t>
  </si>
  <si>
    <t>09/00012851403-9</t>
  </si>
  <si>
    <t>62955505367117244,77</t>
  </si>
  <si>
    <t>09/00012851404-7</t>
  </si>
  <si>
    <t>62955505067660250,94</t>
  </si>
  <si>
    <t>09/00012851405-4</t>
  </si>
  <si>
    <t>62955505321630111,33</t>
  </si>
  <si>
    <t>09/00012851406-2</t>
  </si>
  <si>
    <t>62955505016080233,29</t>
  </si>
  <si>
    <t>09/00012851407-0</t>
  </si>
  <si>
    <t>62955505015199302,19</t>
  </si>
  <si>
    <t>09/00012851408-8</t>
  </si>
  <si>
    <t>62955505878987128,12</t>
  </si>
  <si>
    <t>09/00012851409-6</t>
  </si>
  <si>
    <t>62955505182257252,7</t>
  </si>
  <si>
    <t>09/00012851410-4</t>
  </si>
  <si>
    <t>62955505359360254,93</t>
  </si>
  <si>
    <t>09/00012851411-2</t>
  </si>
  <si>
    <t>62955505419443212,08</t>
  </si>
  <si>
    <t>09/00012851412-0</t>
  </si>
  <si>
    <t>62955505017213125,46</t>
  </si>
  <si>
    <t>09/00012851413-8</t>
  </si>
  <si>
    <t>62955505402710142,26</t>
  </si>
  <si>
    <t>09/00012851414-6</t>
  </si>
  <si>
    <t>62955505419443209,44</t>
  </si>
  <si>
    <t>09/00012851415-3</t>
  </si>
  <si>
    <t>6295550519736062,73</t>
  </si>
  <si>
    <t>09/00012851416-1</t>
  </si>
  <si>
    <t>62955505015601103,38</t>
  </si>
  <si>
    <t>09/00012851417-9</t>
  </si>
  <si>
    <t>62955505193534120,17</t>
  </si>
  <si>
    <t>09/00012851418-7</t>
  </si>
  <si>
    <t>Não emitido</t>
  </si>
  <si>
    <t>Sem valor liberado para emissão</t>
  </si>
  <si>
    <t>629555050001670</t>
  </si>
  <si>
    <t>6295550541944368,92</t>
  </si>
  <si>
    <t>09/00012851419-5</t>
  </si>
  <si>
    <t>Ameaça judicialização</t>
  </si>
  <si>
    <t>6295550509145682,19</t>
  </si>
  <si>
    <t>629555051490470</t>
  </si>
  <si>
    <t>6295550546121090,12</t>
  </si>
  <si>
    <t>09/00012851420-3</t>
  </si>
  <si>
    <t>62955505015350101,62</t>
  </si>
  <si>
    <t>09/00012851421-1</t>
  </si>
  <si>
    <t>6295550501705133,71</t>
  </si>
  <si>
    <t>09/00012851422-9</t>
  </si>
  <si>
    <t>6295550500016796,32</t>
  </si>
  <si>
    <t>09/00012851423-7</t>
  </si>
  <si>
    <t>629555051821766,18</t>
  </si>
  <si>
    <t>09/00012851424-5</t>
  </si>
  <si>
    <t>6295550527305817,52</t>
  </si>
  <si>
    <t>09/00012851425-2</t>
  </si>
  <si>
    <t>6295550504089455,66</t>
  </si>
  <si>
    <t>09/00012851426-0</t>
  </si>
  <si>
    <t>62955505393207127,26</t>
  </si>
  <si>
    <t>09/00012851427-8</t>
  </si>
  <si>
    <t>62955505084751121,11</t>
  </si>
  <si>
    <t>09/00012851428-6</t>
  </si>
  <si>
    <t>6295550589211433,57</t>
  </si>
  <si>
    <t>09/00012851429-4</t>
  </si>
  <si>
    <t>6295550501608069,8</t>
  </si>
  <si>
    <t>09/00012851430-2</t>
  </si>
  <si>
    <t>62955505088404268,38</t>
  </si>
  <si>
    <t>09/00012851431-0</t>
  </si>
  <si>
    <t>6295550501551241,52</t>
  </si>
  <si>
    <t>09/00012851432-8</t>
  </si>
  <si>
    <t>#ND194,42</t>
  </si>
  <si>
    <t>62955505015431361,99</t>
  </si>
  <si>
    <t>09/00012851433-6</t>
  </si>
  <si>
    <t>62955505016918268,7</t>
  </si>
  <si>
    <t>09/00012851434-4</t>
  </si>
  <si>
    <t>62955505213233269,12</t>
  </si>
  <si>
    <t>09/00012851435-1</t>
  </si>
  <si>
    <t>62955505113875213,01</t>
  </si>
  <si>
    <t>09/00012851436-9</t>
  </si>
  <si>
    <t>62955505312487414,64</t>
  </si>
  <si>
    <t>09/00012851437-7</t>
  </si>
  <si>
    <t>62955505016080198,37</t>
  </si>
  <si>
    <t>09/00012851438-5</t>
  </si>
  <si>
    <t>62955505331198305,31</t>
  </si>
  <si>
    <t>09/00012851439-3</t>
  </si>
  <si>
    <t>62955505122432239,89</t>
  </si>
  <si>
    <t>09/00012851440-1</t>
  </si>
  <si>
    <t>62955505182257232,23</t>
  </si>
  <si>
    <t>09/00012851441-9</t>
  </si>
  <si>
    <t>62955505354481276,75</t>
  </si>
  <si>
    <t>09/00012851442-7</t>
  </si>
  <si>
    <t>62955505016160320,69</t>
  </si>
  <si>
    <t>09/00012851444-3</t>
  </si>
  <si>
    <t>62955505015946334,52</t>
  </si>
  <si>
    <t>09/00012851445-0</t>
  </si>
  <si>
    <t>62955505000167150,69</t>
  </si>
  <si>
    <t>09/00012851446-8</t>
  </si>
  <si>
    <t>62955505379395146,85</t>
  </si>
  <si>
    <t>09/00012851447-6</t>
  </si>
  <si>
    <t>62955505135500226,08</t>
  </si>
  <si>
    <t>09/00012851448-4</t>
  </si>
  <si>
    <t>62955505182257171,47</t>
  </si>
  <si>
    <t>09/00012851449-2</t>
  </si>
  <si>
    <t>62955505058599126,86</t>
  </si>
  <si>
    <t>09/00012851450-0</t>
  </si>
  <si>
    <t>62955505357405286,09</t>
  </si>
  <si>
    <t>09/00012851451-8</t>
  </si>
  <si>
    <t>62955505375721256,05</t>
  </si>
  <si>
    <t>09/00012851452-6</t>
  </si>
  <si>
    <t>62955505239119126,88</t>
  </si>
  <si>
    <t>09/00012851453-4</t>
  </si>
  <si>
    <t>62955505000167107,64</t>
  </si>
  <si>
    <t>09/00012851454-2</t>
  </si>
  <si>
    <t>62955505015431242,25</t>
  </si>
  <si>
    <t>09/00012851455-9</t>
  </si>
  <si>
    <t>62955505182257149,16</t>
  </si>
  <si>
    <t>09/00012851456-7</t>
  </si>
  <si>
    <t>62955505269026145,32</t>
  </si>
  <si>
    <t>09/00012851528-3</t>
  </si>
  <si>
    <t>62955505197521193,65</t>
  </si>
  <si>
    <t>09/00012851529-1</t>
  </si>
  <si>
    <t>62955505016594155,33</t>
  </si>
  <si>
    <t>09/00012851530-9</t>
  </si>
  <si>
    <t>62955505405140196,17</t>
  </si>
  <si>
    <t>09/00012851531-7</t>
  </si>
  <si>
    <t>62955505016837151,48</t>
  </si>
  <si>
    <t>09/00012851532-5</t>
  </si>
  <si>
    <t>62955505248886136,86</t>
  </si>
  <si>
    <t>09/00012851533-3</t>
  </si>
  <si>
    <t>62955505274020114,56</t>
  </si>
  <si>
    <t>09/00012851534-1</t>
  </si>
  <si>
    <t>62955505040894160,77</t>
  </si>
  <si>
    <t>09/00012851535-8</t>
  </si>
  <si>
    <t>62955505843253149,15</t>
  </si>
  <si>
    <t>09/00012851536-6</t>
  </si>
  <si>
    <t>6295550518225785,35</t>
  </si>
  <si>
    <t>09/00012851537-4</t>
  </si>
  <si>
    <t>6295550501551230,76</t>
  </si>
  <si>
    <t>09/00012851538-2</t>
  </si>
  <si>
    <t>6295550533585150,75</t>
  </si>
  <si>
    <t>09/00012851539-0</t>
  </si>
  <si>
    <t>6295550501551250,75</t>
  </si>
  <si>
    <t>09/00012851540-8</t>
  </si>
  <si>
    <t>6295550513649267,66</t>
  </si>
  <si>
    <t>09/00012851541-6</t>
  </si>
  <si>
    <t>6295550515706673,81</t>
  </si>
  <si>
    <t>09/00012851543-2</t>
  </si>
  <si>
    <t>62955505897930153,77</t>
  </si>
  <si>
    <t>09/00012851544-0</t>
  </si>
  <si>
    <t>6295550536711711,53</t>
  </si>
  <si>
    <t>09/00012851545-7</t>
  </si>
  <si>
    <t>629555051344490</t>
  </si>
  <si>
    <t>6295550528760139,21</t>
  </si>
  <si>
    <t>09/00012851546-5</t>
  </si>
  <si>
    <t>6295550535863020,76</t>
  </si>
  <si>
    <t>09/00012851547-3</t>
  </si>
  <si>
    <t>Valor total</t>
  </si>
  <si>
    <t>Referência Negociadas</t>
  </si>
  <si>
    <t>Data de Pagamento</t>
  </si>
  <si>
    <t>Forma de Pagamento</t>
  </si>
  <si>
    <t>Status</t>
  </si>
  <si>
    <t>Verificação extrato</t>
  </si>
  <si>
    <t>Responsável Verificação</t>
  </si>
  <si>
    <t>Jan/25, Fev/25, Mar/25, Abr/25 e Mai/25</t>
  </si>
  <si>
    <t>Quitado</t>
  </si>
  <si>
    <t>ok</t>
  </si>
  <si>
    <t>Abr/25 e Maio/25</t>
  </si>
  <si>
    <t>Jan/25, Abr/25, Mai/25 e Jun/25</t>
  </si>
  <si>
    <r>
      <rPr>
        <sz val="11"/>
        <color theme="9"/>
        <rFont val="Aptos Narrow"/>
        <family val="2"/>
        <scheme val="minor"/>
      </rPr>
      <t>1ª Parc. Dia 04/09 - Pago (Valor R$ 119,53)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9"/>
        <rFont val="Aptos Narrow"/>
        <family val="2"/>
        <scheme val="minor"/>
      </rPr>
      <t>2ª Parc. Dia 25/09 - Pago (Valor R$ 119,53)</t>
    </r>
  </si>
  <si>
    <t>Jan/25, Abr/25, Mai/25, Jun/25 e Jul/25</t>
  </si>
  <si>
    <t>Pagamento em Duplicidade (Fev/25 à Maio/25 - Sem desconto)</t>
  </si>
  <si>
    <t>Abr/25, Maio/25, Junho/25 e Julho/25</t>
  </si>
  <si>
    <t>Pendente</t>
  </si>
  <si>
    <t>Jul/25 pago em duplicidade</t>
  </si>
  <si>
    <t>Abr/25, Maio/25, Jun/25 e Jul/25</t>
  </si>
  <si>
    <t>Abril/25 e Junho/25</t>
  </si>
  <si>
    <t>Maio/25 pago em duplicidade</t>
  </si>
  <si>
    <t>Jan/25, Abr/25 e Maio/25</t>
  </si>
  <si>
    <r>
      <rPr>
        <sz val="11"/>
        <color theme="9"/>
        <rFont val="Aptos Narrow"/>
        <family val="2"/>
        <scheme val="minor"/>
      </rPr>
      <t>1ª Parc. Dia 13/10 - Pago (Valor R$ 300,00)</t>
    </r>
    <r>
      <rPr>
        <sz val="1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 xml:space="preserve">Restante de R$ 32,60 dia 17/10 (R$ 32,60)
</t>
    </r>
    <r>
      <rPr>
        <sz val="11"/>
        <rFont val="Aptos Narrow"/>
        <family val="2"/>
        <scheme val="minor"/>
      </rPr>
      <t>2ª Parc. Dia 31/10 - Aguard. Pgmto (Valor R$ 332,60)</t>
    </r>
  </si>
  <si>
    <t xml:space="preserve">Pix </t>
  </si>
  <si>
    <t xml:space="preserve">Jul/25 e Ago/25 </t>
  </si>
  <si>
    <t>Créd. Consumido</t>
  </si>
  <si>
    <t>CONSUMO ALVO</t>
  </si>
  <si>
    <t>Mar/25 e Mai25</t>
  </si>
  <si>
    <t>-</t>
  </si>
  <si>
    <t>valor zerado</t>
  </si>
  <si>
    <r>
      <rPr>
        <sz val="11"/>
        <color theme="9"/>
        <rFont val="Aptos Narrow"/>
        <family val="2"/>
        <scheme val="minor"/>
      </rPr>
      <t>1ª Parc. Dia 18/09 - Pago (Valor R$ 129,01)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9"/>
        <rFont val="Aptos Narrow"/>
        <family val="2"/>
        <scheme val="minor"/>
      </rPr>
      <t xml:space="preserve">2ª Parc. Dia 09/10 - Pago (Valor R$ 129,01)  </t>
    </r>
    <r>
      <rPr>
        <sz val="11"/>
        <rFont val="Aptos Narrow"/>
        <family val="2"/>
        <scheme val="minor"/>
      </rPr>
      <t xml:space="preserve">      
</t>
    </r>
    <r>
      <rPr>
        <sz val="11"/>
        <color theme="9"/>
        <rFont val="Aptos Narrow"/>
        <family val="2"/>
        <scheme val="minor"/>
      </rPr>
      <t xml:space="preserve"> 3ª Parc. Dia 07/11 - Pago (Valor R$ 129,01)</t>
    </r>
  </si>
  <si>
    <r>
      <rPr>
        <sz val="11"/>
        <color theme="9"/>
        <rFont val="Aptos Narrow"/>
        <family val="2"/>
        <scheme val="minor"/>
      </rPr>
      <t>1ª Parc. Dia 10/09 - Pago (Valor R$ 202,39)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theme="9"/>
        <rFont val="Aptos Narrow"/>
        <family val="2"/>
        <scheme val="minor"/>
      </rPr>
      <t xml:space="preserve">2ª Parc. Dia 21/10 - Pago (Valor R$ 195,00) </t>
    </r>
    <r>
      <rPr>
        <sz val="11"/>
        <rFont val="Aptos Narrow"/>
        <family val="2"/>
        <scheme val="minor"/>
      </rPr>
      <t xml:space="preserve">   
     </t>
    </r>
    <r>
      <rPr>
        <sz val="11"/>
        <color theme="9" tint="-0.249977111117893"/>
        <rFont val="Aptos Narrow"/>
        <family val="2"/>
        <scheme val="minor"/>
      </rPr>
      <t>3ª Parc. Dia 12/11 - Pago (Valor R$ 195,00)</t>
    </r>
  </si>
  <si>
    <t>VALOR PAGO</t>
  </si>
  <si>
    <t>FORMA DE PAGAMENTO</t>
  </si>
  <si>
    <t>DATA DE PAGAMENTO</t>
  </si>
  <si>
    <t>VALOR POR REFERÊNCIA</t>
  </si>
  <si>
    <t>REFERÊNCIA</t>
  </si>
  <si>
    <t>VENCIMENTO PARCELAS</t>
  </si>
  <si>
    <t>STATUS</t>
  </si>
  <si>
    <t xml:space="preserve"> 25/09/2025</t>
  </si>
  <si>
    <t xml:space="preserve"> 21/10/2025</t>
  </si>
  <si>
    <t xml:space="preserve"> 31/10/2025</t>
  </si>
  <si>
    <t>1ª Parc. Dia 13/10/2025 - Pago (Valor R$ 300,00)</t>
  </si>
  <si>
    <t>Restante de R$ 32,60 dia 17/10/2025 (R$ 32,60)</t>
  </si>
  <si>
    <t>Abr/25, Jul/25 e Ago/25</t>
  </si>
  <si>
    <t>Pago por engano pela cliente, inserido para devolução (ref. set/25)</t>
  </si>
  <si>
    <t>Quitado Parc.</t>
  </si>
  <si>
    <t>09/00013026862-4</t>
  </si>
  <si>
    <t>09/00013026863-2</t>
  </si>
  <si>
    <t>09/00013026865-7</t>
  </si>
  <si>
    <t>09/00013026866-5</t>
  </si>
  <si>
    <t>09/00013026868-1</t>
  </si>
  <si>
    <t>09/00013026870-7</t>
  </si>
  <si>
    <t>09/00013026871-5</t>
  </si>
  <si>
    <t>09/00013026873-1</t>
  </si>
  <si>
    <t>09/00013026874-9</t>
  </si>
  <si>
    <t>09/00013026876-4</t>
  </si>
  <si>
    <t>09/00013026877-2</t>
  </si>
  <si>
    <t>09/00013026879-8</t>
  </si>
  <si>
    <t>09/00013026880-6</t>
  </si>
  <si>
    <t>09/00013026882-2</t>
  </si>
  <si>
    <t>09/00013026884-8</t>
  </si>
  <si>
    <t>09/00013026885-5</t>
  </si>
  <si>
    <t>09/00013026887-1</t>
  </si>
  <si>
    <t>09/00013026888-9</t>
  </si>
  <si>
    <t>09/00013026890-5</t>
  </si>
  <si>
    <t>09/00013026891-3</t>
  </si>
  <si>
    <t>09/00013026893-9</t>
  </si>
  <si>
    <t>09/00013026894-7</t>
  </si>
  <si>
    <t>09/00013026896-2</t>
  </si>
  <si>
    <t>09/00013026897-0</t>
  </si>
  <si>
    <t>09/00013026899-6</t>
  </si>
  <si>
    <t>09/00013026900-2</t>
  </si>
  <si>
    <t>09/00013026902-8</t>
  </si>
  <si>
    <t>09/00013026903-6</t>
  </si>
  <si>
    <t>09/00013026905-1</t>
  </si>
  <si>
    <t>09/00013026906-9</t>
  </si>
  <si>
    <t>09/00013026908-5</t>
  </si>
  <si>
    <t>09/00013026910-1</t>
  </si>
  <si>
    <t>09/00013026911-9</t>
  </si>
  <si>
    <t>09/00013026913-5</t>
  </si>
  <si>
    <t>09/00013026914-3</t>
  </si>
  <si>
    <t>09/00013026916-8</t>
  </si>
  <si>
    <t>09/00013026917-6</t>
  </si>
  <si>
    <t>09/00013026918-4</t>
  </si>
  <si>
    <t>09/00013026920-0</t>
  </si>
  <si>
    <t>09/00013026921-8</t>
  </si>
  <si>
    <t>09/00013026923-4</t>
  </si>
  <si>
    <t>09/00013026924-2</t>
  </si>
  <si>
    <t>09/00013026926-7</t>
  </si>
  <si>
    <t>09/00013026927-5</t>
  </si>
  <si>
    <t>09/00013026929-1</t>
  </si>
  <si>
    <t>09/00013026931-7</t>
  </si>
  <si>
    <t>09/00013026932-5</t>
  </si>
  <si>
    <t>09/00013026934-1</t>
  </si>
  <si>
    <t>09/00013026935-8</t>
  </si>
  <si>
    <t>09/00013026937-4</t>
  </si>
  <si>
    <t>09/00013026938-2</t>
  </si>
  <si>
    <t>09/00013026940-8</t>
  </si>
  <si>
    <t>09/00013026942-4</t>
  </si>
  <si>
    <t>09/00013026943-2</t>
  </si>
  <si>
    <t>09/00013026945-7</t>
  </si>
  <si>
    <t>09/00013026946-5</t>
  </si>
  <si>
    <t>09/00013026948-1</t>
  </si>
  <si>
    <t>09/00013026949-9</t>
  </si>
  <si>
    <t>09/00013026951-5</t>
  </si>
  <si>
    <t>09/00013026952-3</t>
  </si>
  <si>
    <t>09/00013026954-9</t>
  </si>
  <si>
    <t>09/00013026955-6</t>
  </si>
  <si>
    <t>09/00013026957-2</t>
  </si>
  <si>
    <t>09/00013026959-8</t>
  </si>
  <si>
    <t>09/00013026960-6</t>
  </si>
  <si>
    <t>09/00013026962-2</t>
  </si>
  <si>
    <t>09/00013026963-0</t>
  </si>
  <si>
    <t>09/00013026965-5</t>
  </si>
  <si>
    <t>09/00013026966-3</t>
  </si>
  <si>
    <t>09/00013026968-9</t>
  </si>
  <si>
    <t>09/00013026969-7</t>
  </si>
  <si>
    <t>09/00013026971-3</t>
  </si>
  <si>
    <t>09/00013026973-9</t>
  </si>
  <si>
    <t>09/00013026974-7</t>
  </si>
  <si>
    <t>09/00013026976-2</t>
  </si>
  <si>
    <t>09/00013026977-0</t>
  </si>
  <si>
    <t>09/00013026979-6</t>
  </si>
  <si>
    <t>09/00013026980-4</t>
  </si>
  <si>
    <t>09/00013026982-0</t>
  </si>
  <si>
    <t>09/00013026983-8</t>
  </si>
  <si>
    <t>09/00013026985-3</t>
  </si>
  <si>
    <t>09/00013026987-9</t>
  </si>
  <si>
    <t>09/00013026988-7</t>
  </si>
  <si>
    <t>09/00013026990-3</t>
  </si>
  <si>
    <t>09/00013026991-1</t>
  </si>
  <si>
    <t>valor encontrado foi de R$765,13</t>
  </si>
  <si>
    <t>DATA RETIRADA DE RATEIO</t>
  </si>
  <si>
    <t>DISTRIBUIDORA</t>
  </si>
  <si>
    <t>ENERGISA MS</t>
  </si>
  <si>
    <t xml:space="preserve">CUSTO_S_GD </t>
  </si>
  <si>
    <t>CUSTO_C_GD</t>
  </si>
  <si>
    <t>Estágio da Cobrança</t>
  </si>
  <si>
    <t>Cobrança Regular</t>
  </si>
  <si>
    <t>sanderortigosa1@gmail.com</t>
  </si>
  <si>
    <t>valor baixo para emissão</t>
  </si>
  <si>
    <t>pastorsilviocesar@hotmail.com</t>
  </si>
  <si>
    <t xml:space="preserve">Atrasado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</si>
</sst>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#,##0_ ;\-#,##0\ "/>
    <numFmt numFmtId="165" formatCode="00000"/>
    <numFmt numFmtId="166" formatCode="[$-416]mmm\-yy;@"/>
  </numFmts>
  <fonts count="2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Segoe UI"/>
      <family val="2"/>
    </font>
    <font>
      <sz val="11"/>
      <color theme="9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Roboto"/>
    </font>
    <font>
      <sz val="11"/>
      <color theme="1"/>
      <name val="Roboto"/>
    </font>
    <font>
      <b/>
      <sz val="11"/>
      <color theme="1"/>
      <name val="Roboto"/>
    </font>
    <font>
      <b/>
      <sz val="12"/>
      <color theme="1"/>
      <name val="Roboto"/>
    </font>
    <font>
      <sz val="12"/>
      <color theme="1"/>
      <name val="Roboto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242424"/>
      <name val="Calibri"/>
      <family val="2"/>
    </font>
    <font>
      <u/>
      <sz val="10"/>
      <color theme="10"/>
      <name val="Calibri"/>
      <family val="2"/>
    </font>
    <font>
      <sz val="11"/>
      <color theme="9" tint="-0.249977111117893"/>
      <name val="Aptos Narrow"/>
      <family val="2"/>
      <scheme val="minor"/>
    </font>
    <font>
      <sz val="10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/>
        <bgColor theme="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7" tint="0.3999755851924192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6" tint="0.59999389629810485"/>
      </bottom>
      <diagonal/>
    </border>
    <border>
      <left/>
      <right/>
      <top style="double">
        <color theme="6" tint="-0.249977111117893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44" fontId="0" fillId="0" borderId="0" xfId="2" applyFont="1"/>
    <xf numFmtId="14" fontId="0" fillId="0" borderId="0" xfId="0" applyNumberFormat="1"/>
    <xf numFmtId="0" fontId="0" fillId="6" borderId="0" xfId="0" applyFill="1"/>
    <xf numFmtId="14" fontId="0" fillId="6" borderId="0" xfId="0" applyNumberFormat="1" applyFill="1"/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3" xfId="0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44" fontId="0" fillId="0" borderId="0" xfId="0" applyNumberFormat="1"/>
    <xf numFmtId="10" fontId="0" fillId="0" borderId="0" xfId="0" applyNumberFormat="1"/>
    <xf numFmtId="0" fontId="5" fillId="0" borderId="0" xfId="0" applyFont="1"/>
    <xf numFmtId="0" fontId="0" fillId="0" borderId="0" xfId="0" applyAlignment="1">
      <alignment horizontal="left" vertical="center" wrapText="1"/>
    </xf>
    <xf numFmtId="0" fontId="1" fillId="10" borderId="0" xfId="0" applyFont="1" applyFill="1" applyAlignment="1">
      <alignment horizontal="center"/>
    </xf>
    <xf numFmtId="9" fontId="0" fillId="0" borderId="4" xfId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44" fontId="0" fillId="0" borderId="3" xfId="0" applyNumberFormat="1" applyBorder="1" applyAlignment="1">
      <alignment horizontal="center" vertical="center"/>
    </xf>
    <xf numFmtId="14" fontId="0" fillId="0" borderId="4" xfId="1" applyNumberFormat="1" applyFont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4" fontId="0" fillId="0" borderId="6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44" fontId="0" fillId="11" borderId="3" xfId="0" applyNumberForma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 wrapText="1"/>
    </xf>
    <xf numFmtId="14" fontId="0" fillId="11" borderId="3" xfId="0" applyNumberFormat="1" applyFill="1" applyBorder="1" applyAlignment="1">
      <alignment horizontal="center" vertical="center"/>
    </xf>
    <xf numFmtId="0" fontId="0" fillId="12" borderId="0" xfId="0" applyFill="1"/>
    <xf numFmtId="0" fontId="1" fillId="3" borderId="10" xfId="0" applyFont="1" applyFill="1" applyBorder="1"/>
    <xf numFmtId="0" fontId="1" fillId="4" borderId="10" xfId="0" applyFont="1" applyFill="1" applyBorder="1"/>
    <xf numFmtId="44" fontId="1" fillId="2" borderId="10" xfId="2" applyFont="1" applyFill="1" applyBorder="1"/>
    <xf numFmtId="44" fontId="1" fillId="4" borderId="10" xfId="2" applyFont="1" applyFill="1" applyBorder="1"/>
    <xf numFmtId="14" fontId="1" fillId="4" borderId="10" xfId="0" applyNumberFormat="1" applyFont="1" applyFill="1" applyBorder="1"/>
    <xf numFmtId="0" fontId="1" fillId="5" borderId="10" xfId="0" applyFont="1" applyFill="1" applyBorder="1"/>
    <xf numFmtId="44" fontId="1" fillId="5" borderId="10" xfId="2" applyFont="1" applyFill="1" applyBorder="1"/>
    <xf numFmtId="14" fontId="1" fillId="5" borderId="10" xfId="0" applyNumberFormat="1" applyFont="1" applyFill="1" applyBorder="1"/>
    <xf numFmtId="0" fontId="0" fillId="6" borderId="10" xfId="0" applyFill="1" applyBorder="1"/>
    <xf numFmtId="0" fontId="0" fillId="12" borderId="10" xfId="0" applyFill="1" applyBorder="1"/>
    <xf numFmtId="14" fontId="0" fillId="12" borderId="10" xfId="0" applyNumberFormat="1" applyFill="1" applyBorder="1"/>
    <xf numFmtId="44" fontId="0" fillId="12" borderId="10" xfId="2" applyFont="1" applyFill="1" applyBorder="1"/>
    <xf numFmtId="0" fontId="0" fillId="9" borderId="10" xfId="0" applyFill="1" applyBorder="1"/>
    <xf numFmtId="0" fontId="0" fillId="9" borderId="0" xfId="0" applyFill="1"/>
    <xf numFmtId="14" fontId="0" fillId="12" borderId="0" xfId="0" applyNumberFormat="1" applyFill="1"/>
    <xf numFmtId="44" fontId="0" fillId="12" borderId="0" xfId="2" applyFont="1" applyFill="1"/>
    <xf numFmtId="0" fontId="1" fillId="3" borderId="10" xfId="0" applyFont="1" applyFill="1" applyBorder="1" applyAlignment="1">
      <alignment horizontal="left"/>
    </xf>
    <xf numFmtId="0" fontId="0" fillId="12" borderId="10" xfId="0" applyFill="1" applyBorder="1" applyAlignment="1">
      <alignment horizontal="left"/>
    </xf>
    <xf numFmtId="0" fontId="0" fillId="12" borderId="0" xfId="0" applyFill="1" applyAlignment="1">
      <alignment horizontal="left"/>
    </xf>
    <xf numFmtId="9" fontId="0" fillId="0" borderId="0" xfId="1" applyFont="1"/>
    <xf numFmtId="9" fontId="0" fillId="0" borderId="0" xfId="1" applyFont="1" applyAlignment="1">
      <alignment horizontal="center"/>
    </xf>
    <xf numFmtId="165" fontId="0" fillId="12" borderId="0" xfId="0" applyNumberFormat="1" applyFill="1"/>
    <xf numFmtId="165" fontId="0" fillId="0" borderId="0" xfId="0" applyNumberFormat="1"/>
    <xf numFmtId="165" fontId="0" fillId="12" borderId="10" xfId="0" applyNumberFormat="1" applyFill="1" applyBorder="1"/>
    <xf numFmtId="17" fontId="6" fillId="0" borderId="0" xfId="0" applyNumberFormat="1" applyFont="1" applyAlignment="1">
      <alignment horizontal="center" vertical="center" wrapText="1"/>
    </xf>
    <xf numFmtId="0" fontId="0" fillId="7" borderId="0" xfId="0" applyFill="1"/>
    <xf numFmtId="164" fontId="0" fillId="0" borderId="0" xfId="0" applyNumberFormat="1" applyAlignment="1">
      <alignment horizontal="center"/>
    </xf>
    <xf numFmtId="44" fontId="0" fillId="0" borderId="0" xfId="1" applyNumberFormat="1" applyFont="1"/>
    <xf numFmtId="0" fontId="5" fillId="0" borderId="0" xfId="0" pivotButton="1" applyFont="1"/>
    <xf numFmtId="0" fontId="5" fillId="0" borderId="0" xfId="0" applyFont="1" applyAlignment="1">
      <alignment horizontal="center"/>
    </xf>
    <xf numFmtId="0" fontId="1" fillId="13" borderId="11" xfId="0" applyFont="1" applyFill="1" applyBorder="1"/>
    <xf numFmtId="44" fontId="5" fillId="0" borderId="12" xfId="0" applyNumberFormat="1" applyFont="1" applyBorder="1"/>
    <xf numFmtId="9" fontId="5" fillId="0" borderId="12" xfId="1" applyFont="1" applyBorder="1" applyAlignment="1">
      <alignment horizontal="center"/>
    </xf>
    <xf numFmtId="44" fontId="5" fillId="0" borderId="0" xfId="0" applyNumberFormat="1" applyFont="1"/>
    <xf numFmtId="9" fontId="5" fillId="0" borderId="0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1" fillId="14" borderId="0" xfId="0" applyFont="1" applyFill="1" applyAlignment="1">
      <alignment horizontal="left"/>
    </xf>
    <xf numFmtId="164" fontId="1" fillId="14" borderId="0" xfId="0" applyNumberFormat="1" applyFont="1" applyFill="1" applyAlignment="1">
      <alignment horizontal="center"/>
    </xf>
    <xf numFmtId="44" fontId="1" fillId="14" borderId="0" xfId="0" applyNumberFormat="1" applyFont="1" applyFill="1"/>
    <xf numFmtId="44" fontId="0" fillId="0" borderId="3" xfId="0" applyNumberFormat="1" applyBorder="1"/>
    <xf numFmtId="44" fontId="0" fillId="0" borderId="13" xfId="0" applyNumberFormat="1" applyBorder="1" applyAlignment="1">
      <alignment horizontal="center" vertical="center"/>
    </xf>
    <xf numFmtId="17" fontId="0" fillId="11" borderId="3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44" fontId="0" fillId="8" borderId="3" xfId="0" applyNumberFormat="1" applyFill="1" applyBorder="1" applyAlignment="1">
      <alignment horizontal="center" vertical="center"/>
    </xf>
    <xf numFmtId="17" fontId="0" fillId="8" borderId="3" xfId="0" applyNumberFormat="1" applyFill="1" applyBorder="1" applyAlignment="1">
      <alignment horizontal="center" vertical="center"/>
    </xf>
    <xf numFmtId="14" fontId="0" fillId="8" borderId="3" xfId="0" applyNumberForma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9" fillId="13" borderId="11" xfId="0" applyFont="1" applyFill="1" applyBorder="1"/>
    <xf numFmtId="1" fontId="9" fillId="13" borderId="11" xfId="0" applyNumberFormat="1" applyFont="1" applyFill="1" applyBorder="1" applyAlignment="1">
      <alignment horizontal="center"/>
    </xf>
    <xf numFmtId="0" fontId="10" fillId="0" borderId="0" xfId="0" applyFont="1"/>
    <xf numFmtId="14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44" fontId="10" fillId="0" borderId="0" xfId="0" applyNumberFormat="1" applyFont="1"/>
    <xf numFmtId="9" fontId="10" fillId="0" borderId="0" xfId="1" applyFont="1" applyAlignment="1">
      <alignment horizontal="center"/>
    </xf>
    <xf numFmtId="14" fontId="11" fillId="0" borderId="12" xfId="0" applyNumberFormat="1" applyFont="1" applyBorder="1"/>
    <xf numFmtId="1" fontId="11" fillId="0" borderId="12" xfId="0" applyNumberFormat="1" applyFont="1" applyBorder="1" applyAlignment="1">
      <alignment horizontal="center"/>
    </xf>
    <xf numFmtId="44" fontId="11" fillId="0" borderId="12" xfId="0" applyNumberFormat="1" applyFont="1" applyBorder="1"/>
    <xf numFmtId="9" fontId="11" fillId="0" borderId="12" xfId="1" applyFont="1" applyBorder="1" applyAlignment="1">
      <alignment horizontal="center"/>
    </xf>
    <xf numFmtId="0" fontId="0" fillId="0" borderId="14" xfId="0" applyBorder="1" applyAlignment="1">
      <alignment horizontal="left" vertical="center"/>
    </xf>
    <xf numFmtId="0" fontId="11" fillId="0" borderId="0" xfId="0" applyFont="1"/>
    <xf numFmtId="0" fontId="5" fillId="6" borderId="0" xfId="0" applyFont="1" applyFill="1" applyAlignment="1">
      <alignment horizontal="center"/>
    </xf>
    <xf numFmtId="1" fontId="12" fillId="6" borderId="0" xfId="0" applyNumberFormat="1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9" fontId="10" fillId="0" borderId="0" xfId="1" applyFont="1"/>
    <xf numFmtId="0" fontId="0" fillId="0" borderId="3" xfId="0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left"/>
    </xf>
    <xf numFmtId="9" fontId="16" fillId="0" borderId="0" xfId="0" applyNumberFormat="1" applyFont="1" applyAlignment="1">
      <alignment horizontal="center"/>
    </xf>
    <xf numFmtId="0" fontId="17" fillId="0" borderId="0" xfId="0" applyFont="1"/>
    <xf numFmtId="2" fontId="16" fillId="0" borderId="0" xfId="0" applyNumberFormat="1" applyFont="1" applyAlignment="1">
      <alignment horizontal="center"/>
    </xf>
    <xf numFmtId="0" fontId="18" fillId="0" borderId="0" xfId="3" applyFont="1" applyAlignment="1">
      <alignment horizontal="left"/>
    </xf>
    <xf numFmtId="9" fontId="16" fillId="0" borderId="0" xfId="1" applyFont="1" applyFill="1" applyAlignment="1">
      <alignment horizontal="center"/>
    </xf>
    <xf numFmtId="0" fontId="18" fillId="0" borderId="0" xfId="3" applyFont="1"/>
    <xf numFmtId="2" fontId="16" fillId="0" borderId="0" xfId="0" applyNumberFormat="1" applyFont="1"/>
    <xf numFmtId="44" fontId="0" fillId="6" borderId="0" xfId="2" applyFont="1" applyFill="1" applyBorder="1"/>
    <xf numFmtId="44" fontId="0" fillId="6" borderId="0" xfId="2" applyFont="1" applyFill="1"/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166" fontId="0" fillId="0" borderId="3" xfId="0" applyNumberFormat="1" applyBorder="1" applyAlignment="1">
      <alignment horizontal="center"/>
    </xf>
    <xf numFmtId="0" fontId="14" fillId="15" borderId="16" xfId="0" applyFont="1" applyFill="1" applyBorder="1" applyAlignment="1">
      <alignment horizontal="center" vertical="center"/>
    </xf>
    <xf numFmtId="166" fontId="0" fillId="0" borderId="18" xfId="0" applyNumberFormat="1" applyBorder="1" applyAlignment="1">
      <alignment horizontal="center"/>
    </xf>
    <xf numFmtId="14" fontId="0" fillId="0" borderId="18" xfId="0" applyNumberFormat="1" applyBorder="1" applyAlignment="1">
      <alignment horizontal="center" vertical="center"/>
    </xf>
    <xf numFmtId="0" fontId="0" fillId="0" borderId="20" xfId="0" applyBorder="1"/>
    <xf numFmtId="166" fontId="0" fillId="0" borderId="21" xfId="0" applyNumberFormat="1" applyBorder="1" applyAlignment="1">
      <alignment horizontal="center"/>
    </xf>
    <xf numFmtId="0" fontId="0" fillId="0" borderId="23" xfId="0" applyBorder="1"/>
    <xf numFmtId="14" fontId="0" fillId="0" borderId="18" xfId="0" applyNumberFormat="1" applyBorder="1" applyAlignment="1">
      <alignment horizontal="center" vertical="center" wrapText="1"/>
    </xf>
    <xf numFmtId="44" fontId="0" fillId="0" borderId="18" xfId="2" applyFont="1" applyBorder="1" applyAlignment="1">
      <alignment vertical="center"/>
    </xf>
    <xf numFmtId="44" fontId="0" fillId="0" borderId="3" xfId="2" applyFont="1" applyBorder="1" applyAlignment="1">
      <alignment vertical="center"/>
    </xf>
    <xf numFmtId="44" fontId="0" fillId="0" borderId="21" xfId="2" applyFont="1" applyBorder="1" applyAlignment="1">
      <alignment vertical="center"/>
    </xf>
    <xf numFmtId="44" fontId="0" fillId="0" borderId="0" xfId="2" applyFont="1" applyAlignment="1">
      <alignment vertical="center"/>
    </xf>
    <xf numFmtId="44" fontId="14" fillId="15" borderId="16" xfId="2" applyFont="1" applyFill="1" applyBorder="1" applyAlignment="1">
      <alignment vertical="center"/>
    </xf>
    <xf numFmtId="166" fontId="0" fillId="0" borderId="18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44" fontId="0" fillId="0" borderId="18" xfId="0" applyNumberFormat="1" applyBorder="1"/>
    <xf numFmtId="44" fontId="0" fillId="0" borderId="21" xfId="0" applyNumberFormat="1" applyBorder="1"/>
    <xf numFmtId="14" fontId="0" fillId="0" borderId="19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4" fontId="0" fillId="0" borderId="18" xfId="2" applyFont="1" applyBorder="1"/>
    <xf numFmtId="44" fontId="0" fillId="0" borderId="3" xfId="2" applyFont="1" applyBorder="1"/>
    <xf numFmtId="44" fontId="0" fillId="0" borderId="16" xfId="2" applyFont="1" applyBorder="1"/>
    <xf numFmtId="44" fontId="0" fillId="0" borderId="21" xfId="2" applyFont="1" applyBorder="1"/>
    <xf numFmtId="14" fontId="0" fillId="0" borderId="2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44" fontId="0" fillId="0" borderId="19" xfId="2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6" xfId="0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7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horizontal="center"/>
    </xf>
    <xf numFmtId="166" fontId="0" fillId="0" borderId="3" xfId="0" applyNumberFormat="1" applyBorder="1" applyAlignment="1">
      <alignment vertical="center"/>
    </xf>
    <xf numFmtId="166" fontId="0" fillId="0" borderId="21" xfId="0" applyNumberFormat="1" applyBorder="1" applyAlignment="1">
      <alignment vertical="center"/>
    </xf>
    <xf numFmtId="14" fontId="0" fillId="0" borderId="21" xfId="0" applyNumberForma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8" xfId="0" applyBorder="1"/>
    <xf numFmtId="14" fontId="0" fillId="0" borderId="0" xfId="2" applyNumberFormat="1" applyFont="1"/>
    <xf numFmtId="0" fontId="1" fillId="13" borderId="11" xfId="0" applyFont="1" applyFill="1" applyBorder="1" applyAlignment="1">
      <alignment horizontal="center"/>
    </xf>
    <xf numFmtId="17" fontId="0" fillId="11" borderId="3" xfId="0" applyNumberFormat="1" applyFill="1" applyBorder="1" applyAlignment="1">
      <alignment horizontal="center" vertical="center" wrapText="1"/>
    </xf>
    <xf numFmtId="44" fontId="0" fillId="0" borderId="16" xfId="0" applyNumberFormat="1" applyBorder="1" applyAlignment="1">
      <alignment horizontal="center" vertical="center"/>
    </xf>
    <xf numFmtId="17" fontId="0" fillId="0" borderId="16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4" fontId="0" fillId="0" borderId="18" xfId="0" applyNumberFormat="1" applyBorder="1" applyAlignment="1">
      <alignment horizontal="center" vertical="center"/>
    </xf>
    <xf numFmtId="17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4" fontId="0" fillId="0" borderId="21" xfId="0" applyNumberFormat="1" applyBorder="1" applyAlignment="1">
      <alignment horizontal="center" vertical="center"/>
    </xf>
    <xf numFmtId="17" fontId="0" fillId="0" borderId="21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16" fillId="0" borderId="0" xfId="0" applyNumberFormat="1" applyFont="1" applyAlignment="1">
      <alignment horizontal="center"/>
    </xf>
    <xf numFmtId="0" fontId="20" fillId="0" borderId="0" xfId="0" applyFont="1"/>
    <xf numFmtId="9" fontId="0" fillId="0" borderId="0" xfId="1" applyFont="1" applyFill="1" applyBorder="1" applyAlignment="1">
      <alignment horizontal="center"/>
    </xf>
    <xf numFmtId="0" fontId="0" fillId="0" borderId="10" xfId="0" applyBorder="1"/>
    <xf numFmtId="44" fontId="0" fillId="12" borderId="0" xfId="2" applyFont="1" applyFill="1" applyBorder="1"/>
    <xf numFmtId="0" fontId="0" fillId="0" borderId="34" xfId="0" applyBorder="1"/>
    <xf numFmtId="0" fontId="4" fillId="0" borderId="0" xfId="3" applyAlignment="1">
      <alignment horizontal="left"/>
    </xf>
    <xf numFmtId="44" fontId="0" fillId="0" borderId="10" xfId="2" applyFont="1" applyBorder="1"/>
    <xf numFmtId="0" fontId="0" fillId="0" borderId="3" xfId="0" applyBorder="1" applyAlignment="1">
      <alignment horizontal="center" vertical="top" wrapText="1"/>
    </xf>
  </cellXfs>
  <cellStyles count="4">
    <cellStyle name="Hiperlink" xfId="3" builtinId="8"/>
    <cellStyle name="Moeda" xfId="2" builtinId="4"/>
    <cellStyle name="Normal" xfId="0" builtinId="0"/>
    <cellStyle name="Porcentagem" xfId="1" builtinId="5"/>
  </cellStyles>
  <dxfs count="34"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164" formatCode="#,##0_ ;\-#,##0\ "/>
    </dxf>
    <dxf>
      <numFmt numFmtId="34" formatCode="_-&quot;R$&quot;\ * #,##0.00_-;\-&quot;R$&quot;\ * #,##0.00_-;_-&quot;R$&quot;\ * &quot;-&quot;??_-;_-@_-"/>
    </dxf>
    <dxf>
      <numFmt numFmtId="3" formatCode="#,##0"/>
    </dxf>
    <dxf>
      <numFmt numFmtId="3" formatCode="#,##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theme="7" tint="0.39997558519241921"/>
        </top>
      </border>
    </dxf>
    <dxf>
      <font>
        <strike val="0"/>
        <outline val="0"/>
        <shadow val="0"/>
        <vertAlign val="baseline"/>
        <sz val="1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CLIENTES - EGS.xlsx]Inadimplência!Tabela dinâmica3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r>
              <a:rPr lang="en-US"/>
              <a:t>Representatividade inadimplência por Região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Roboto" panose="02000000000000000000" pitchFamily="2" charset="0"/>
                  <a:ea typeface="Roboto" panose="02000000000000000000" pitchFamily="2" charset="0"/>
                  <a:cs typeface="Roboto" panose="02000000000000000000" pitchFamily="2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Inadimplência!$B$33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Inadimplência!$A$34</c:f>
              <c:strCache>
                <c:ptCount val="1"/>
                <c:pt idx="0">
                  <c:v>Total Geral</c:v>
                </c:pt>
              </c:strCache>
            </c:strRef>
          </c:cat>
          <c:val>
            <c:numRef>
              <c:f>Inadimplência!$B$34</c:f>
              <c:numCache>
                <c:formatCode>0.00%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D-4A6D-A29B-0270CDABC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2474128"/>
        <c:axId val="1182472208"/>
      </c:barChart>
      <c:catAx>
        <c:axId val="118247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pt-BR"/>
          </a:p>
        </c:txPr>
        <c:crossAx val="1182472208"/>
        <c:crosses val="autoZero"/>
        <c:auto val="1"/>
        <c:lblAlgn val="ctr"/>
        <c:lblOffset val="100"/>
        <c:noMultiLvlLbl val="0"/>
      </c:catAx>
      <c:valAx>
        <c:axId val="1182472208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8247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r>
              <a:rPr lang="pt-BR"/>
              <a:t>Inadimplência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Resumo!$D$2</c:f>
              <c:strCache>
                <c:ptCount val="1"/>
                <c:pt idx="0">
                  <c:v>Total Emitido (R$)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Resumo!$B$3:$B$13</c:f>
              <c:numCache>
                <c:formatCode>m/d/yyyy</c:formatCode>
                <c:ptCount val="1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</c:numCache>
            </c:numRef>
          </c:cat>
          <c:val>
            <c:numRef>
              <c:f>Resumo!$D$3:$D$13</c:f>
              <c:numCache>
                <c:formatCode>_("R$"* #,##0.00_);_("R$"* \(#,##0.00\);_("R$"* "-"??_);_(@_)</c:formatCode>
                <c:ptCount val="11"/>
                <c:pt idx="0">
                  <c:v>19964.239999999991</c:v>
                </c:pt>
                <c:pt idx="1">
                  <c:v>16003.590000000002</c:v>
                </c:pt>
                <c:pt idx="2">
                  <c:v>17915.000000000007</c:v>
                </c:pt>
                <c:pt idx="3">
                  <c:v>18900.910000000003</c:v>
                </c:pt>
                <c:pt idx="4">
                  <c:v>16645.900000000001</c:v>
                </c:pt>
                <c:pt idx="5">
                  <c:v>9822.369999999999</c:v>
                </c:pt>
                <c:pt idx="6">
                  <c:v>12120.210000000003</c:v>
                </c:pt>
                <c:pt idx="7">
                  <c:v>14372.969999999996</c:v>
                </c:pt>
                <c:pt idx="8">
                  <c:v>18122.969999999998</c:v>
                </c:pt>
                <c:pt idx="9">
                  <c:v>23671.210000000006</c:v>
                </c:pt>
                <c:pt idx="10">
                  <c:v>28544.620000000006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1-4E7B-84C9-A781A1DEE879}"/>
            </c:ext>
          </c:extLst>
        </c:ser>
        <c:ser>
          <c:idx val="1"/>
          <c:order val="1"/>
          <c:tx>
            <c:strRef>
              <c:f>Resumo!$E$2</c:f>
              <c:strCache>
                <c:ptCount val="1"/>
                <c:pt idx="0">
                  <c:v>Total Pago (R$)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Resumo!$B$3:$B$13</c:f>
              <c:numCache>
                <c:formatCode>m/d/yyyy</c:formatCode>
                <c:ptCount val="1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</c:numCache>
            </c:numRef>
          </c:cat>
          <c:val>
            <c:numRef>
              <c:f>Resumo!$E$3:$E$13</c:f>
              <c:numCache>
                <c:formatCode>_("R$"* #,##0.00_);_("R$"* \(#,##0.00\);_("R$"* "-"??_);_(@_)</c:formatCode>
                <c:ptCount val="11"/>
                <c:pt idx="0">
                  <c:v>19059.439999999995</c:v>
                </c:pt>
                <c:pt idx="1">
                  <c:v>15264.880000000003</c:v>
                </c:pt>
                <c:pt idx="2">
                  <c:v>17007.830000000002</c:v>
                </c:pt>
                <c:pt idx="3">
                  <c:v>16189.300000000007</c:v>
                </c:pt>
                <c:pt idx="4">
                  <c:v>14193.639000000003</c:v>
                </c:pt>
                <c:pt idx="5">
                  <c:v>9532.5733333333319</c:v>
                </c:pt>
                <c:pt idx="6">
                  <c:v>12060.140000000003</c:v>
                </c:pt>
                <c:pt idx="7">
                  <c:v>14030.099999999995</c:v>
                </c:pt>
                <c:pt idx="8">
                  <c:v>17328.50052631578</c:v>
                </c:pt>
                <c:pt idx="9">
                  <c:v>22313.22</c:v>
                </c:pt>
                <c:pt idx="10">
                  <c:v>18614.41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A1-4E7B-84C9-A781A1DE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459456"/>
        <c:axId val="1224458496"/>
      </c:barChart>
      <c:lineChart>
        <c:grouping val="standard"/>
        <c:varyColors val="0"/>
        <c:ser>
          <c:idx val="2"/>
          <c:order val="2"/>
          <c:tx>
            <c:strRef>
              <c:f>Resumo!$H$2</c:f>
              <c:strCache>
                <c:ptCount val="1"/>
                <c:pt idx="0">
                  <c:v>% inadimplência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Resumo!$B$3:$B$13</c:f>
              <c:numCache>
                <c:formatCode>m/d/yyyy</c:formatCode>
                <c:ptCount val="1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</c:numCache>
            </c:numRef>
          </c:cat>
          <c:val>
            <c:numRef>
              <c:f>Resumo!$H$3:$H$13</c:f>
              <c:numCache>
                <c:formatCode>0%</c:formatCode>
                <c:ptCount val="11"/>
                <c:pt idx="0">
                  <c:v>4.5321034008807548E-2</c:v>
                </c:pt>
                <c:pt idx="1">
                  <c:v>4.6159018070320412E-2</c:v>
                </c:pt>
                <c:pt idx="2">
                  <c:v>5.0637454646944191E-2</c:v>
                </c:pt>
                <c:pt idx="3">
                  <c:v>0.13419459697972194</c:v>
                </c:pt>
                <c:pt idx="4">
                  <c:v>0.14731921974780568</c:v>
                </c:pt>
                <c:pt idx="5">
                  <c:v>2.9503741629226664E-2</c:v>
                </c:pt>
                <c:pt idx="6">
                  <c:v>0</c:v>
                </c:pt>
                <c:pt idx="7">
                  <c:v>1.1886200277326179E-2</c:v>
                </c:pt>
                <c:pt idx="8">
                  <c:v>4.3837708371432367E-2</c:v>
                </c:pt>
                <c:pt idx="9">
                  <c:v>5.736884595253073E-2</c:v>
                </c:pt>
                <c:pt idx="10">
                  <c:v>0.34788376934077259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A1-4E7B-84C9-A781A1DEE879}"/>
            </c:ext>
          </c:extLst>
        </c:ser>
        <c:ser>
          <c:idx val="3"/>
          <c:order val="3"/>
          <c:tx>
            <c:strRef>
              <c:f>Resumo!$I$2</c:f>
              <c:strCache>
                <c:ptCount val="1"/>
                <c:pt idx="0">
                  <c:v>% inadimplência anterior gestão HUBE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Resumo!$B$3:$B$13</c:f>
              <c:numCache>
                <c:formatCode>m/d/yyyy</c:formatCode>
                <c:ptCount val="1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</c:numCache>
            </c:numRef>
          </c:cat>
          <c:val>
            <c:numRef>
              <c:f>Resumo!$I$3:$I$13</c:f>
              <c:numCache>
                <c:formatCode>0%</c:formatCode>
                <c:ptCount val="11"/>
                <c:pt idx="0">
                  <c:v>0.12</c:v>
                </c:pt>
                <c:pt idx="1">
                  <c:v>0.11</c:v>
                </c:pt>
                <c:pt idx="2">
                  <c:v>0.3</c:v>
                </c:pt>
                <c:pt idx="3">
                  <c:v>0.32</c:v>
                </c:pt>
                <c:pt idx="4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20-49C4-B5EE-AC8CF75E7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4979216"/>
        <c:axId val="1824977776"/>
      </c:lineChart>
      <c:dateAx>
        <c:axId val="12244594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pt-BR"/>
          </a:p>
        </c:txPr>
        <c:crossAx val="1224458496"/>
        <c:crosses val="autoZero"/>
        <c:auto val="1"/>
        <c:lblOffset val="100"/>
        <c:baseTimeUnit val="months"/>
      </c:dateAx>
      <c:valAx>
        <c:axId val="1224458496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pt-BR"/>
          </a:p>
        </c:txPr>
        <c:crossAx val="1224459456"/>
        <c:crosses val="autoZero"/>
        <c:crossBetween val="between"/>
      </c:valAx>
      <c:valAx>
        <c:axId val="182497777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pt-BR"/>
          </a:p>
        </c:txPr>
        <c:crossAx val="1824979216"/>
        <c:crosses val="max"/>
        <c:crossBetween val="between"/>
      </c:valAx>
      <c:dateAx>
        <c:axId val="182497921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82497777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r>
              <a:rPr lang="en-US"/>
              <a:t>Volume Atendimento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Resumo!$S$2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Resumo!$R$3:$R$5</c:f>
              <c:strCache>
                <c:ptCount val="3"/>
                <c:pt idx="0">
                  <c:v>Agosto</c:v>
                </c:pt>
                <c:pt idx="1">
                  <c:v>Setembro</c:v>
                </c:pt>
                <c:pt idx="2">
                  <c:v>Outubro</c:v>
                </c:pt>
              </c:strCache>
            </c:strRef>
          </c:cat>
          <c:val>
            <c:numRef>
              <c:f>Resumo!$S$3:$S$5</c:f>
              <c:numCache>
                <c:formatCode>General</c:formatCode>
                <c:ptCount val="3"/>
                <c:pt idx="0">
                  <c:v>135</c:v>
                </c:pt>
                <c:pt idx="1">
                  <c:v>150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4-461D-8833-97FBA1ED4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0148528"/>
        <c:axId val="1830151408"/>
      </c:barChart>
      <c:catAx>
        <c:axId val="183014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pt-BR"/>
          </a:p>
        </c:txPr>
        <c:crossAx val="1830151408"/>
        <c:crosses val="autoZero"/>
        <c:auto val="1"/>
        <c:lblAlgn val="ctr"/>
        <c:lblOffset val="100"/>
        <c:noMultiLvlLbl val="0"/>
      </c:catAx>
      <c:valAx>
        <c:axId val="1830151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014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r>
              <a:rPr lang="pt-BR"/>
              <a:t>Mensagens Transacionadas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Resumo!$V$2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Resumo!$U$3:$U$5</c:f>
              <c:strCache>
                <c:ptCount val="3"/>
                <c:pt idx="0">
                  <c:v>Agosto</c:v>
                </c:pt>
                <c:pt idx="1">
                  <c:v>Setembro</c:v>
                </c:pt>
                <c:pt idx="2">
                  <c:v>Outubro</c:v>
                </c:pt>
              </c:strCache>
            </c:strRef>
          </c:cat>
          <c:val>
            <c:numRef>
              <c:f>Resumo!$V$3:$V$5</c:f>
              <c:numCache>
                <c:formatCode>General</c:formatCode>
                <c:ptCount val="3"/>
                <c:pt idx="0">
                  <c:v>578</c:v>
                </c:pt>
                <c:pt idx="1">
                  <c:v>1183</c:v>
                </c:pt>
                <c:pt idx="2">
                  <c:v>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5-47CA-BCA5-27DEBD474D80}"/>
            </c:ext>
          </c:extLst>
        </c:ser>
        <c:ser>
          <c:idx val="1"/>
          <c:order val="1"/>
          <c:tx>
            <c:strRef>
              <c:f>Resumo!$W$2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Roboto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Resumo!$U$3:$U$5</c:f>
              <c:strCache>
                <c:ptCount val="3"/>
                <c:pt idx="0">
                  <c:v>Agosto</c:v>
                </c:pt>
                <c:pt idx="1">
                  <c:v>Setembro</c:v>
                </c:pt>
                <c:pt idx="2">
                  <c:v>Outubro</c:v>
                </c:pt>
              </c:strCache>
            </c:strRef>
          </c:cat>
          <c:val>
            <c:numRef>
              <c:f>Resumo!$W$3:$W$5</c:f>
              <c:numCache>
                <c:formatCode>General</c:formatCode>
                <c:ptCount val="3"/>
                <c:pt idx="0">
                  <c:v>662</c:v>
                </c:pt>
                <c:pt idx="1">
                  <c:v>1533</c:v>
                </c:pt>
                <c:pt idx="2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5-47CA-BCA5-27DEBD474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578256"/>
        <c:axId val="1355582096"/>
      </c:barChart>
      <c:catAx>
        <c:axId val="13555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pt-BR"/>
          </a:p>
        </c:txPr>
        <c:crossAx val="1355582096"/>
        <c:crosses val="autoZero"/>
        <c:auto val="1"/>
        <c:lblAlgn val="ctr"/>
        <c:lblOffset val="100"/>
        <c:noMultiLvlLbl val="0"/>
      </c:catAx>
      <c:valAx>
        <c:axId val="1355582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555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  <a:cs typeface="Roboto" panose="020000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CLIENTES - EGS.xlsx]Inadimplência!Tabela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Representatividade</a:t>
            </a:r>
            <a:r>
              <a:rPr lang="en-US" baseline="0"/>
              <a:t> inadimplência por Região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Inadimplência!$B$33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Inadimplência!$A$34</c:f>
              <c:strCache>
                <c:ptCount val="1"/>
                <c:pt idx="0">
                  <c:v>Total Geral</c:v>
                </c:pt>
              </c:strCache>
            </c:strRef>
          </c:cat>
          <c:val>
            <c:numRef>
              <c:f>Inadimplência!$B$34</c:f>
              <c:numCache>
                <c:formatCode>0.00%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E-4AD3-937A-19779D597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2474128"/>
        <c:axId val="1182472208"/>
      </c:barChart>
      <c:catAx>
        <c:axId val="118247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2472208"/>
        <c:crosses val="autoZero"/>
        <c:auto val="1"/>
        <c:lblAlgn val="ctr"/>
        <c:lblOffset val="100"/>
        <c:noMultiLvlLbl val="0"/>
      </c:catAx>
      <c:valAx>
        <c:axId val="1182472208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18247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493121</xdr:colOff>
      <xdr:row>12</xdr:row>
      <xdr:rowOff>141516</xdr:rowOff>
    </xdr:from>
    <xdr:to>
      <xdr:col>17</xdr:col>
      <xdr:colOff>141515</xdr:colOff>
      <xdr:row>31</xdr:row>
      <xdr:rowOff>141516</xdr:rowOff>
    </xdr:to>
    <xdr:graphicFrame macro="">
      <xdr:nvGraphicFramePr>
        <xdr:cNvPr id="206" name="Gráfico 1">
          <a:extLst>
            <a:ext uri="{FF2B5EF4-FFF2-40B4-BE49-F238E27FC236}">
              <a16:creationId xmlns:a16="http://schemas.microsoft.com/office/drawing/2014/main" id="{AF52473C-F883-4F68-B025-6E7CCCEF4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238123</xdr:colOff>
      <xdr:row>14</xdr:row>
      <xdr:rowOff>14287</xdr:rowOff>
    </xdr:from>
    <xdr:to>
      <xdr:col>11</xdr:col>
      <xdr:colOff>38099</xdr:colOff>
      <xdr:row>32</xdr:row>
      <xdr:rowOff>66674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1570F80E-7BFE-C127-EB7C-5DA02EF17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493942</xdr:colOff>
      <xdr:row>37</xdr:row>
      <xdr:rowOff>27893</xdr:rowOff>
    </xdr:from>
    <xdr:to>
      <xdr:col>5</xdr:col>
      <xdr:colOff>283031</xdr:colOff>
      <xdr:row>51</xdr:row>
      <xdr:rowOff>163285</xdr:rowOff>
    </xdr:to>
    <xdr:graphicFrame macro="">
      <xdr:nvGraphicFramePr>
        <xdr:cNvPr id="195" name="Gráfico 4">
          <a:extLst>
            <a:ext uri="{FF2B5EF4-FFF2-40B4-BE49-F238E27FC236}">
              <a16:creationId xmlns:a16="http://schemas.microsoft.com/office/drawing/2014/main" id="{4DD72723-A1EC-332B-88AC-B9D673C98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510268</xdr:colOff>
      <xdr:row>37</xdr:row>
      <xdr:rowOff>8845</xdr:rowOff>
    </xdr:from>
    <xdr:to>
      <xdr:col>11</xdr:col>
      <xdr:colOff>315686</xdr:colOff>
      <xdr:row>53</xdr:row>
      <xdr:rowOff>32658</xdr:rowOff>
    </xdr:to>
    <xdr:graphicFrame macro="">
      <xdr:nvGraphicFramePr>
        <xdr:cNvPr id="196" name="Gráfico 5">
          <a:extLst>
            <a:ext uri="{FF2B5EF4-FFF2-40B4-BE49-F238E27FC236}">
              <a16:creationId xmlns:a16="http://schemas.microsoft.com/office/drawing/2014/main" id="{1FCC464D-B7FE-8339-DC4B-3CB9F739C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590550</xdr:colOff>
      <xdr:row>6</xdr:row>
      <xdr:rowOff>14288</xdr:rowOff>
    </xdr:from>
    <xdr:to>
      <xdr:col>25</xdr:col>
      <xdr:colOff>285750</xdr:colOff>
      <xdr:row>26</xdr:row>
      <xdr:rowOff>42863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C0E480-09D2-346C-1562-C3F1AADEF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raeb\Downloads\Concilia&#231;&#227;o%20-%20032025.xlsx" TargetMode="External"/><Relationship Id="rId1" Type="http://schemas.openxmlformats.org/officeDocument/2006/relationships/externalLinkPath" Target="file:///C:\Users\Geraeb\Downloads\Concilia&#231;&#227;o%20-%2003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raeb\Downloads\Concilia&#231;&#227;o%20-%20022025.xlsx" TargetMode="External"/><Relationship Id="rId1" Type="http://schemas.openxmlformats.org/officeDocument/2006/relationships/externalLinkPath" Target="file:///C:\Users\Geraeb\Downloads\Concilia&#231;&#227;o%20-%2002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raeb\Downloads\Extrato%20Conta%20digital%20(3).xlsx" TargetMode="External"/><Relationship Id="rId1" Type="http://schemas.openxmlformats.org/officeDocument/2006/relationships/externalLinkPath" Target="file:///C:\Users\Geraeb\Downloads\Extrato%20Conta%20digital%20(3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raeb\Downloads\Relat&#243;rio%20EGS%20-%20GIROSSOL%20II%20e%20GIROSSOL%20III%20MACRO-REV%207.2.1%202%20(1).xlsm" TargetMode="External"/><Relationship Id="rId1" Type="http://schemas.openxmlformats.org/officeDocument/2006/relationships/externalLinkPath" Target="Relat&#243;rio%20EGS%20-%20GIROSSOL%20II%20e%20GIROSSOL%20III%20MACRO-REV%207.2.1%202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ciliação - 032025"/>
    </sheetNames>
    <sheetDataSet>
      <sheetData sheetId="0">
        <row r="1">
          <cell r="A1" t="str">
            <v>Unidade Consumidora</v>
          </cell>
          <cell r="B1" t="str">
            <v>CLIENTE (somente números)</v>
          </cell>
          <cell r="C1" t="str">
            <v>CANAL (somente números)</v>
          </cell>
          <cell r="D1" t="str">
            <v>NOME OU RAZÃO SOCIAL DO PAGADOR</v>
          </cell>
          <cell r="E1" t="str">
            <v>CPF/CNPJ DO PAGADOR (digitar somente números entre apóstrofos ( ' ' ))</v>
          </cell>
          <cell r="F1" t="str">
            <v>VALOR DO BOLETO (número com centavos separado por vírgula)</v>
          </cell>
          <cell r="G1" t="str">
            <v>TEXTO QUE APARECERÁ NO CAMPO "INSTRUÇÕES" (opcional)</v>
          </cell>
          <cell r="H1" t="str">
            <v>E-MAIL DO PAGADOR</v>
          </cell>
          <cell r="K1" t="str">
            <v>PAGAMENTO</v>
          </cell>
        </row>
        <row r="2">
          <cell r="A2" t="str">
            <v>10/257864-9</v>
          </cell>
          <cell r="B2">
            <v>283032</v>
          </cell>
          <cell r="C2">
            <v>362</v>
          </cell>
          <cell r="D2" t="str">
            <v>Igreja do Evangelho Quadrangular</v>
          </cell>
          <cell r="E2" t="str">
            <v>'62955505182176'</v>
          </cell>
          <cell r="F2">
            <v>169.16</v>
          </cell>
          <cell r="G2" t="str">
            <v>A Unidade Consumidora 10/257864-9 economizou R$56,39 na fatura referente à mar/2025  consumindo 212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H2" t="str">
            <v>pastoreliasmn@hotmail.com</v>
          </cell>
          <cell r="K2" t="str">
            <v>AGUARDANDO PAGAMENTO</v>
          </cell>
        </row>
        <row r="3">
          <cell r="A3" t="str">
            <v>10/3005226-0</v>
          </cell>
          <cell r="B3">
            <v>283032</v>
          </cell>
          <cell r="C3">
            <v>319</v>
          </cell>
          <cell r="D3" t="str">
            <v>Igreja do Evangelho Quadrangular</v>
          </cell>
          <cell r="E3" t="str">
            <v>'62955505057789'</v>
          </cell>
          <cell r="F3">
            <v>215.51</v>
          </cell>
          <cell r="G3" t="str">
            <v>A Unidade Consumidora 10/3005226-0 economizou R$73,88 na fatura referente à mar/2025  consumindo 295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H3" t="str">
            <v>pastordill@hotmail.com</v>
          </cell>
          <cell r="K3" t="str">
            <v>NÃO IRA PAGAR</v>
          </cell>
          <cell r="L3" t="str">
            <v>VALOR DEVIDO - Cancelamento via email dia 30/04, tenho tudo formalizado por whatsapp com Diil</v>
          </cell>
        </row>
        <row r="4">
          <cell r="A4" t="str">
            <v>10/150263-2</v>
          </cell>
          <cell r="B4">
            <v>283032</v>
          </cell>
          <cell r="C4">
            <v>994</v>
          </cell>
          <cell r="D4" t="str">
            <v>Igreja do Evangelho Quadrangular</v>
          </cell>
          <cell r="E4" t="str">
            <v>'62955505091456'</v>
          </cell>
          <cell r="F4">
            <v>143.99</v>
          </cell>
          <cell r="G4" t="str">
            <v>A Unidade Consumidora 10/150263-2 economizou R$48 na fatura referente à mar/2025  consumindo 172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K4" t="str">
            <v>PAGO</v>
          </cell>
          <cell r="L4" t="str">
            <v>DEPÓSITO ÚNICO ITAU 26/06/2025</v>
          </cell>
        </row>
        <row r="5">
          <cell r="A5" t="str">
            <v>10/175073-6</v>
          </cell>
          <cell r="B5">
            <v>283032</v>
          </cell>
          <cell r="C5">
            <v>362</v>
          </cell>
          <cell r="D5" t="str">
            <v>Igreja do Evangelho Quadrangular</v>
          </cell>
          <cell r="E5" t="str">
            <v>'62955505134449'</v>
          </cell>
          <cell r="F5">
            <v>16.8</v>
          </cell>
          <cell r="G5" t="str">
            <v>A Unidade Consumidora 10/175073-6 economizou R$5,6 na fatura referente à mar/2025  consumindo 23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H5" t="str">
            <v>pastoreliasmn@hotmail.com</v>
          </cell>
          <cell r="K5" t="str">
            <v>AGUARDANDO PAGAMENTO</v>
          </cell>
        </row>
        <row r="6">
          <cell r="A6" t="str">
            <v>10/452884-0</v>
          </cell>
          <cell r="B6">
            <v>283032</v>
          </cell>
          <cell r="C6">
            <v>302</v>
          </cell>
          <cell r="D6" t="str">
            <v>Igreja do Evangelho Quadrangular</v>
          </cell>
          <cell r="E6" t="str">
            <v>'62955505000167'</v>
          </cell>
          <cell r="F6">
            <v>224.35</v>
          </cell>
          <cell r="G6" t="str">
            <v>A Unidade Consumidora 10/452884-0 economizou R$74,78 na fatura referente à mar/2025  consumindo 268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H6" t="str">
            <v>israelregiao302@gmail.com</v>
          </cell>
          <cell r="K6" t="str">
            <v>PAGO</v>
          </cell>
          <cell r="L6" t="str">
            <v>DEPÓSITO UNIFICADO ITAU R$386,62 - 03/06/2025</v>
          </cell>
        </row>
        <row r="7">
          <cell r="A7" t="str">
            <v>10/10232-7</v>
          </cell>
          <cell r="B7">
            <v>283032</v>
          </cell>
          <cell r="C7">
            <v>302</v>
          </cell>
          <cell r="D7" t="str">
            <v>Igreja do Evangelho Quadrangular</v>
          </cell>
          <cell r="E7" t="str">
            <v>'62955505393207'</v>
          </cell>
          <cell r="F7">
            <v>154.03</v>
          </cell>
          <cell r="G7" t="str">
            <v>A Unidade Consumidora 10/10232-7 economizou R$51,34 na fatura referente à mar/2025  consumindo 184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H7" t="str">
            <v>katiaconceicaogomes2020@gmail.com; israelregiao302@gmail.com</v>
          </cell>
          <cell r="K7" t="str">
            <v>PAGO</v>
          </cell>
          <cell r="L7" t="str">
            <v>DEPÓSITO ÚNICO ITAU 04/06/2025</v>
          </cell>
        </row>
        <row r="8">
          <cell r="A8" t="str">
            <v>10/276283-9</v>
          </cell>
          <cell r="B8">
            <v>283032</v>
          </cell>
          <cell r="C8">
            <v>994</v>
          </cell>
          <cell r="D8" t="str">
            <v>Igreja do Evangelho Quadrangular</v>
          </cell>
          <cell r="E8" t="str">
            <v>'62955505177504'</v>
          </cell>
          <cell r="F8">
            <v>353.28</v>
          </cell>
          <cell r="G8" t="str">
            <v>A Unidade Consumidora 10/276283-9 economizou R$117,76 na fatura referente à mar/2025  consumindo 422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H8" t="str">
            <v>Ieqcelsapucaia@gmail.com; quadrangular994@gmail.com</v>
          </cell>
          <cell r="K8" t="str">
            <v>AGUARDANDO PAGAMENTO</v>
          </cell>
        </row>
        <row r="9">
          <cell r="A9" t="str">
            <v>10/2247256-7</v>
          </cell>
          <cell r="B9">
            <v>283032</v>
          </cell>
          <cell r="C9">
            <v>306</v>
          </cell>
          <cell r="D9" t="str">
            <v>Igreja do Evangelho Quadrangular</v>
          </cell>
          <cell r="E9" t="str">
            <v>'62955505015199'</v>
          </cell>
          <cell r="F9">
            <v>292.13</v>
          </cell>
          <cell r="G9" t="str">
            <v>A Unidade Consumidora 10/2247256-7 economizou R$97,38 na fatura referente à mar/2025  consumindo 377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H9" t="str">
            <v>carlaestreito@hotmail.com</v>
          </cell>
          <cell r="K9" t="str">
            <v>NÃO IRA PAGAR</v>
          </cell>
          <cell r="L9" t="str">
            <v>VALOR DEVIDO - Cancelamento via email dia 23/04, tenho tudo formalizado por whatsapp com Danilo Silva</v>
          </cell>
        </row>
        <row r="10">
          <cell r="A10" t="str">
            <v>10/925970-6</v>
          </cell>
          <cell r="B10">
            <v>283032</v>
          </cell>
          <cell r="C10">
            <v>319</v>
          </cell>
          <cell r="D10" t="str">
            <v>Igreja do Evangelho Quadrangular</v>
          </cell>
          <cell r="E10" t="str">
            <v>'62955505057789'</v>
          </cell>
          <cell r="F10">
            <v>439.79</v>
          </cell>
          <cell r="G10" t="str">
            <v>A Unidade Consumidora 10/925970-6 economizou R$146,6 na fatura referente à mar/2025  consumindo 602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H10" t="str">
            <v>pastordill@hotmail.com</v>
          </cell>
          <cell r="K10" t="str">
            <v>NÃO IRA PAGAR</v>
          </cell>
          <cell r="L10" t="str">
            <v>VALOR DEVIDO - Cancelamento via email dia 30/04, tenho tudo formalizado por whatsapp com Diil</v>
          </cell>
        </row>
        <row r="11">
          <cell r="A11" t="str">
            <v>10/5202-7</v>
          </cell>
          <cell r="B11">
            <v>283032</v>
          </cell>
          <cell r="C11">
            <v>302</v>
          </cell>
          <cell r="D11" t="str">
            <v>Igreja do Evangelho Quadrangular</v>
          </cell>
          <cell r="E11" t="str">
            <v>'62955505393207'</v>
          </cell>
          <cell r="F11">
            <v>2131.34</v>
          </cell>
          <cell r="G11" t="str">
            <v>A Unidade Consumidora 10/5202-7 economizou R$710,45 na fatura referente à mar/2025  consumindo 2733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H11" t="str">
            <v>israelregiao302@gmail.com</v>
          </cell>
          <cell r="K11" t="str">
            <v>PAGO</v>
          </cell>
          <cell r="L11" t="str">
            <v>DEPÓSITO UNIFICADO ITAU - R$3.541,82 03/06/2025</v>
          </cell>
        </row>
        <row r="12">
          <cell r="A12" t="str">
            <v>10/1035655-8</v>
          </cell>
          <cell r="B12">
            <v>283032</v>
          </cell>
          <cell r="C12">
            <v>319</v>
          </cell>
          <cell r="D12" t="str">
            <v>Igreja do Evangelho Quadrangular</v>
          </cell>
          <cell r="E12" t="str">
            <v>'62955505182257'</v>
          </cell>
          <cell r="F12">
            <v>402.69</v>
          </cell>
          <cell r="G12" t="str">
            <v>A Unidade Consumidora 10/1035655-8 economizou R$134,23 na fatura referente à mar/2025  consumindo 481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H12" t="str">
            <v>evaniabenites@hotmail.com</v>
          </cell>
          <cell r="K12" t="str">
            <v>PAGO</v>
          </cell>
          <cell r="L12" t="str">
            <v>DEPÓSITO UNIFICADO ITAU R$1.310,17 - 10/06/2025</v>
          </cell>
        </row>
        <row r="13">
          <cell r="A13" t="str">
            <v>10/162736-3</v>
          </cell>
          <cell r="B13">
            <v>283032</v>
          </cell>
          <cell r="C13">
            <v>360</v>
          </cell>
          <cell r="D13" t="str">
            <v>Igreja do Evangelho Quadrangular</v>
          </cell>
          <cell r="E13" t="str">
            <v>'62955505197360'</v>
          </cell>
          <cell r="F13">
            <v>322.07</v>
          </cell>
          <cell r="G13" t="str">
            <v>A Unidade Consumidora 10/162736-3 economizou R$107,36 na fatura referente à mar/2025  consumindo 413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H13" t="str">
            <v>gelcimarsouza1220@gmail.com</v>
          </cell>
          <cell r="K13" t="str">
            <v>AGUARDANDO PAGAMENTO</v>
          </cell>
        </row>
        <row r="14">
          <cell r="A14" t="str">
            <v>10/3040565-8</v>
          </cell>
          <cell r="B14">
            <v>283032</v>
          </cell>
          <cell r="C14">
            <v>319</v>
          </cell>
          <cell r="D14" t="str">
            <v>Igreja do Evangelho Quadrangular</v>
          </cell>
          <cell r="E14" t="str">
            <v>'62955505015431'</v>
          </cell>
          <cell r="F14">
            <v>200.93</v>
          </cell>
          <cell r="G14" t="str">
            <v>A Unidade Consumidora 10/3040565-8 economizou R$66,98 na fatura referente à mar/2025  consumindo 240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H14" t="str">
            <v>evaniabenites@hotmail.com</v>
          </cell>
          <cell r="K14" t="str">
            <v>PAGO</v>
          </cell>
          <cell r="L14" t="str">
            <v>DEPÓSITO UNIFICADO ITAU R$1.310,17 - 10/06/2025</v>
          </cell>
        </row>
        <row r="15">
          <cell r="A15" t="str">
            <v>10/532723-4</v>
          </cell>
          <cell r="B15">
            <v>283032</v>
          </cell>
          <cell r="C15">
            <v>351</v>
          </cell>
          <cell r="D15" t="str">
            <v>Igreja do Evangelho Quadrangular</v>
          </cell>
          <cell r="E15" t="str">
            <v>'62955505359360'</v>
          </cell>
          <cell r="F15">
            <v>324.83</v>
          </cell>
          <cell r="G15" t="str">
            <v>A Unidade Consumidora 10/532723-4 economizou R$108,28 na fatura referente à mar/2025  consumindo 388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H15" t="str">
            <v>ieqnas267@gmail.com</v>
          </cell>
          <cell r="K15" t="str">
            <v>AGUARDANDO PAGAMENTO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ciliação - 022025"/>
    </sheetNames>
    <sheetDataSet>
      <sheetData sheetId="0">
        <row r="1">
          <cell r="A1" t="str">
            <v>Unidade consumidora</v>
          </cell>
          <cell r="B1" t="str">
            <v>CLIENTE (somente números)</v>
          </cell>
          <cell r="C1" t="str">
            <v>CANAL (somente números)</v>
          </cell>
          <cell r="D1" t="str">
            <v>NOME OU RAZÃO SOCIAL DO PAGADOR</v>
          </cell>
          <cell r="F1" t="str">
            <v>CPF/CNPJ DO PAGADOR (digitar somente números entre apóstrofos ( ' ' ))</v>
          </cell>
          <cell r="G1" t="str">
            <v>VALOR DO BOLETO (número com centavos separado por vírgula)</v>
          </cell>
          <cell r="H1" t="str">
            <v>TEXTO QUE APARECERÁ NO CAMPO "INSTRUÇÕES" (opcional)</v>
          </cell>
          <cell r="I1" t="str">
            <v>E-MAIL DO PAGADOR</v>
          </cell>
          <cell r="K1" t="str">
            <v>PAGAMENTO</v>
          </cell>
        </row>
        <row r="2">
          <cell r="A2" t="str">
            <v>10/2247256-7</v>
          </cell>
          <cell r="B2">
            <v>283032</v>
          </cell>
          <cell r="C2">
            <v>306</v>
          </cell>
          <cell r="D2" t="str">
            <v>Igreja do Evangelho Quadrangular</v>
          </cell>
          <cell r="E2" t="str">
            <v>62.955.505/0151-99</v>
          </cell>
          <cell r="F2" t="str">
            <v>'62955505015199'</v>
          </cell>
          <cell r="G2">
            <v>738.71</v>
          </cell>
          <cell r="H2" t="str">
            <v>A Unidade Consumidora 10/2247256-7 economizou R$246,24 na fatura referente à fev/2025  consumindo 936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2" t="str">
            <v>carlaestreito@hotmail.com</v>
          </cell>
          <cell r="K2" t="str">
            <v>NÃO IRA PAGAR</v>
          </cell>
          <cell r="L2" t="str">
            <v>VALOR DEVIDO - Cancelamento via email dia 23/04, tenho tudo formalizado por whatsapp com Danilo Silva</v>
          </cell>
        </row>
        <row r="3">
          <cell r="A3" t="str">
            <v>10/5202-7</v>
          </cell>
          <cell r="B3">
            <v>283032</v>
          </cell>
          <cell r="C3">
            <v>302</v>
          </cell>
          <cell r="D3" t="str">
            <v>Igreja do Evangelho Quadrangular</v>
          </cell>
          <cell r="E3" t="str">
            <v>62.955.505/3932-07</v>
          </cell>
          <cell r="F3" t="str">
            <v>'62955505393207'</v>
          </cell>
          <cell r="G3">
            <v>1410.48</v>
          </cell>
          <cell r="H3" t="str">
            <v>A Unidade Consumidora 10/5202-7 economizou R$470,16 na fatura referente à fev/2025  consumindo 1810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3" t="str">
            <v>israelregiao302@gmail.com</v>
          </cell>
          <cell r="K3" t="str">
            <v>PAGO</v>
          </cell>
          <cell r="L3" t="str">
            <v>DEPÓSITO UNIFICADO ITAU - R$3.541,82 03/06/2025</v>
          </cell>
        </row>
        <row r="4">
          <cell r="A4" t="str">
            <v>10/1117293-9</v>
          </cell>
          <cell r="B4">
            <v>283032</v>
          </cell>
          <cell r="C4">
            <v>362</v>
          </cell>
          <cell r="D4" t="str">
            <v>Igreja do Evangelho Quadrangular</v>
          </cell>
          <cell r="E4" t="str">
            <v>62.955.505/8921-14</v>
          </cell>
          <cell r="F4" t="str">
            <v>'62955505892114'</v>
          </cell>
          <cell r="G4">
            <v>59.91</v>
          </cell>
          <cell r="H4" t="str">
            <v>A Unidade Consumidora 10/1117293-9 economizou R$19,97 na fatura referente à fev/2025  consumindo 75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4" t="str">
            <v>pastordamilton@gmail.com</v>
          </cell>
          <cell r="K4" t="str">
            <v>AGUARDANDO PAGAMENTO</v>
          </cell>
        </row>
        <row r="5">
          <cell r="A5" t="str">
            <v>10/1548741-6</v>
          </cell>
          <cell r="B5">
            <v>283032</v>
          </cell>
          <cell r="C5">
            <v>349</v>
          </cell>
          <cell r="D5" t="str">
            <v>Igreja do Evangelho Quadrangular</v>
          </cell>
          <cell r="E5" t="str">
            <v>62.955.505/0847-51</v>
          </cell>
          <cell r="F5" t="str">
            <v>'62955505084751'</v>
          </cell>
          <cell r="G5">
            <v>120.92</v>
          </cell>
          <cell r="H5" t="str">
            <v>A Unidade Consumidora 10/1548741-6 economizou R$40,31 na fatura referente à fev/2025  consumindo 155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5" t="str">
            <v>neivaldocastro@hotmail.com</v>
          </cell>
          <cell r="J5" t="str">
            <v>O</v>
          </cell>
          <cell r="K5" t="str">
            <v>PAGO</v>
          </cell>
          <cell r="L5" t="str">
            <v>DEPÓSITO ÚNICO ITAU 30/05/2025</v>
          </cell>
        </row>
        <row r="6">
          <cell r="A6" t="str">
            <v>10/162736-3</v>
          </cell>
          <cell r="B6">
            <v>283032</v>
          </cell>
          <cell r="C6">
            <v>360</v>
          </cell>
          <cell r="D6" t="str">
            <v>Igreja do Evangelho Quadrangular</v>
          </cell>
          <cell r="E6" t="str">
            <v>62.955.505/1973-60</v>
          </cell>
          <cell r="F6" t="str">
            <v>'62955505197360'</v>
          </cell>
          <cell r="G6">
            <v>313.19</v>
          </cell>
          <cell r="H6" t="str">
            <v>A Unidade Consumidora 10/162736-3 economizou R$104,4 na fatura referente à fev/2025  consumindo 382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6" t="str">
            <v>gelcimarsouza1220@gmail.com</v>
          </cell>
          <cell r="K6" t="str">
            <v>AGUARDANDO PAGAMENTO</v>
          </cell>
        </row>
        <row r="7">
          <cell r="A7" t="str">
            <v>10/452884-0</v>
          </cell>
          <cell r="B7">
            <v>283032</v>
          </cell>
          <cell r="C7">
            <v>302</v>
          </cell>
          <cell r="D7" t="str">
            <v>Igreja do Evangelho Quadrangular</v>
          </cell>
          <cell r="E7" t="str">
            <v>62.955.505/0001-67</v>
          </cell>
          <cell r="F7" t="str">
            <v>'62955505000167'</v>
          </cell>
          <cell r="G7">
            <v>162.27000000000001</v>
          </cell>
          <cell r="H7" t="str">
            <v>A Unidade Consumidora 10/452884-0 economizou R$54,09 na fatura referente à fev/2025  consumindo 203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7" t="str">
            <v>israelregiao302@gmail.com</v>
          </cell>
          <cell r="K7" t="str">
            <v>PAGO</v>
          </cell>
          <cell r="L7" t="str">
            <v>DEPÓSITO UNIFICADO ITAU R$386,62 - 03/06/2025</v>
          </cell>
        </row>
        <row r="8">
          <cell r="A8" t="str">
            <v>10/257864-9</v>
          </cell>
          <cell r="B8">
            <v>283032</v>
          </cell>
          <cell r="C8">
            <v>362</v>
          </cell>
          <cell r="D8" t="str">
            <v>Igreja do Evangelho Quadrangular</v>
          </cell>
          <cell r="E8" t="str">
            <v>62.955.505/1821-76</v>
          </cell>
          <cell r="F8" t="str">
            <v>'62955505182176'</v>
          </cell>
          <cell r="G8">
            <v>191.1</v>
          </cell>
          <cell r="H8" t="str">
            <v>A Unidade Consumidora 10/257864-9 economizou R$63,7 na fatura referente à fev/2025  consumindo 234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8" t="str">
            <v>pastoreliasmn@hotmail.com</v>
          </cell>
          <cell r="K8" t="str">
            <v>AGUARDANDO PAGAMENTO</v>
          </cell>
        </row>
        <row r="9">
          <cell r="A9" t="str">
            <v>10/3092868-3</v>
          </cell>
          <cell r="B9">
            <v>283032</v>
          </cell>
          <cell r="C9">
            <v>331</v>
          </cell>
          <cell r="D9" t="str">
            <v>Igreja do Evangelho Quadrangular</v>
          </cell>
          <cell r="E9" t="str">
            <v>62.955.505/4194-43</v>
          </cell>
          <cell r="F9" t="str">
            <v>'62955505419443'</v>
          </cell>
          <cell r="G9">
            <v>285.19</v>
          </cell>
          <cell r="H9" t="str">
            <v>A Unidade Consumidora 10/3092868-3 economizou R$95,06 na fatura referente à fev/2025  consumindo 366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9" t="str">
            <v>dal_ge@hotmail.com</v>
          </cell>
          <cell r="K9" t="str">
            <v>PAGO</v>
          </cell>
          <cell r="L9" t="str">
            <v>DEPÓSITO ÚNICO ICTUS 30/05/2025</v>
          </cell>
        </row>
        <row r="10">
          <cell r="A10" t="str">
            <v>10/1035655-8</v>
          </cell>
          <cell r="B10">
            <v>283032</v>
          </cell>
          <cell r="C10">
            <v>319</v>
          </cell>
          <cell r="D10" t="str">
            <v>Igreja do Evangelho Quadrangular</v>
          </cell>
          <cell r="E10" t="str">
            <v>62.955.505/1822-57</v>
          </cell>
          <cell r="F10" t="str">
            <v>'62955505182257'</v>
          </cell>
          <cell r="G10">
            <v>287.5</v>
          </cell>
          <cell r="H10" t="str">
            <v>A Unidade Consumidora 10/1035655-8 economizou R$95,83 na fatura referente à fev/2025  consumindo 381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10" t="str">
            <v>evaniabenites@hotmail.com</v>
          </cell>
          <cell r="J10" t="str">
            <v>Ok</v>
          </cell>
          <cell r="K10" t="str">
            <v>PAGO</v>
          </cell>
          <cell r="L10" t="str">
            <v>DEPÓSITO UNIFICADO ITAU R$1.310,17 - 10/06/2025</v>
          </cell>
        </row>
        <row r="11">
          <cell r="A11" t="str">
            <v>10/260761-2</v>
          </cell>
          <cell r="B11">
            <v>283032</v>
          </cell>
          <cell r="C11">
            <v>360</v>
          </cell>
          <cell r="D11" t="str">
            <v>Igreja do Evangelho Quadrangular</v>
          </cell>
          <cell r="E11" t="str">
            <v>62.955.505/0001-67</v>
          </cell>
          <cell r="F11" t="str">
            <v>'62955505000167'</v>
          </cell>
          <cell r="G11">
            <v>293.68</v>
          </cell>
          <cell r="H11" t="str">
            <v>A Unidade Consumidora 10/260761-2 economizou R$97,89 na fatura referente à fev/2025  consumindo 402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11" t="str">
            <v>Mariza.ieq@gmail.com</v>
          </cell>
          <cell r="K11" t="str">
            <v>PAGO</v>
          </cell>
          <cell r="L11" t="str">
            <v>DEPÓSITO ÚNICO ITAU 30/05/2025</v>
          </cell>
        </row>
        <row r="12">
          <cell r="A12" t="str">
            <v>10/276283-9</v>
          </cell>
          <cell r="B12">
            <v>283032</v>
          </cell>
          <cell r="C12">
            <v>994</v>
          </cell>
          <cell r="D12" t="str">
            <v>Igreja do Evangelho Quadrangular</v>
          </cell>
          <cell r="E12" t="str">
            <v>62.955.505/1775-04</v>
          </cell>
          <cell r="F12" t="str">
            <v>'62955505177504'</v>
          </cell>
          <cell r="G12">
            <v>300.45</v>
          </cell>
          <cell r="H12" t="str">
            <v>A Unidade Consumidora 10/276283-9 economizou R$100,15 na fatura referente à fev/2025  consumindo 385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12" t="str">
            <v>Ieqcelsapucaia@gmail.com; quadrangular994@gmail.com</v>
          </cell>
          <cell r="K12" t="str">
            <v>PAGO</v>
          </cell>
          <cell r="L12" t="str">
            <v>DEPÓSITO ÚNICO ITAU 26/06/2025</v>
          </cell>
        </row>
        <row r="13">
          <cell r="A13" t="str">
            <v>10/3170252-5</v>
          </cell>
          <cell r="B13">
            <v>283032</v>
          </cell>
          <cell r="C13">
            <v>359</v>
          </cell>
          <cell r="D13" t="str">
            <v>Igreja do Evangelho Quadrangular</v>
          </cell>
          <cell r="E13" t="str">
            <v>62.955.505/0356-29</v>
          </cell>
          <cell r="F13" t="str">
            <v>'62955505035629'</v>
          </cell>
          <cell r="G13">
            <v>620.24</v>
          </cell>
          <cell r="H13" t="str">
            <v>A Unidade Consumidora 10/3170252-5 economizou R$95,12 na fatura referente à fev/2025  consumindo 849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13" t="str">
            <v>regiao359@gmail.com</v>
          </cell>
          <cell r="K13" t="str">
            <v>NÃO IRA PAGAR</v>
          </cell>
          <cell r="L13" t="str">
            <v>COBRANÇA INDEVIDA  - Vamos cancelar</v>
          </cell>
        </row>
        <row r="14">
          <cell r="A14" t="str">
            <v>10/31292-6</v>
          </cell>
          <cell r="B14">
            <v>283032</v>
          </cell>
          <cell r="C14">
            <v>357</v>
          </cell>
          <cell r="D14" t="str">
            <v>Igreja do Evangelho Quadrangular</v>
          </cell>
          <cell r="E14" t="str">
            <v>62.955.505/0160-80</v>
          </cell>
          <cell r="F14" t="str">
            <v>'62955505016080'</v>
          </cell>
          <cell r="G14">
            <v>32.15</v>
          </cell>
          <cell r="H14" t="str">
            <v>A Unidade Consumidora 10/31292-6 economizou R$10,72 na fatura referente à fev/2025  consumindo 44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14" t="str">
            <v>marizesouzar@gmail.com; regiao.357@hotmail.com</v>
          </cell>
          <cell r="J14" t="str">
            <v>PAGO</v>
          </cell>
          <cell r="K14" t="str">
            <v>PAGO</v>
          </cell>
          <cell r="L14" t="str">
            <v>DEPÓSITO ÚNICO ITAU 30/05/2025</v>
          </cell>
        </row>
        <row r="15">
          <cell r="A15" t="str">
            <v>10/952579-1</v>
          </cell>
          <cell r="B15">
            <v>283032</v>
          </cell>
          <cell r="C15">
            <v>360</v>
          </cell>
          <cell r="D15" t="str">
            <v>Igreja do Evangelho Quadrangular</v>
          </cell>
          <cell r="E15" t="str">
            <v>62.955.505/8979-30</v>
          </cell>
          <cell r="F15" t="str">
            <v>'62955505897930'</v>
          </cell>
          <cell r="G15">
            <v>76.7</v>
          </cell>
          <cell r="H15" t="str">
            <v>A Unidade Consumidora 10/952579-1 economizou R$25,57 na fatura referente à fev/2025  consumindo 105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15" t="str">
            <v>silvio.fonseca@masonagro.com.br</v>
          </cell>
          <cell r="K15" t="str">
            <v>PAGO</v>
          </cell>
          <cell r="L15" t="str">
            <v>DEPÓSITO ÚNICO ITAU 30/05/2025</v>
          </cell>
        </row>
        <row r="16">
          <cell r="A16" t="str">
            <v>10/3054052-0</v>
          </cell>
          <cell r="B16">
            <v>283032</v>
          </cell>
          <cell r="C16">
            <v>357</v>
          </cell>
          <cell r="D16" t="str">
            <v>Igreja do Evangelho Quadrangular</v>
          </cell>
          <cell r="E16" t="str">
            <v>62.955.505/3124-87</v>
          </cell>
          <cell r="F16" t="str">
            <v>'62955505312487'</v>
          </cell>
          <cell r="G16">
            <v>51.87</v>
          </cell>
          <cell r="H16" t="str">
            <v>A Unidade Consumidora 10/3054052-0 economizou R$17,29 na fatura referente à fev/2025  consumindo 71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16" t="str">
            <v>novaalianca1969@gmail.com; regiao.357@hotmail.com</v>
          </cell>
          <cell r="J16" t="str">
            <v>PAGO</v>
          </cell>
          <cell r="K16" t="str">
            <v>PAGO</v>
          </cell>
          <cell r="L16" t="str">
            <v>DEPÓSITO ÚNICO ITAU 02/06/2025</v>
          </cell>
        </row>
        <row r="17">
          <cell r="A17" t="str">
            <v>10/175073-6</v>
          </cell>
          <cell r="B17">
            <v>283032</v>
          </cell>
          <cell r="C17">
            <v>362</v>
          </cell>
          <cell r="D17" t="str">
            <v>Igreja do Evangelho Quadrangular</v>
          </cell>
          <cell r="E17" t="str">
            <v>62.955.505/1344-49</v>
          </cell>
          <cell r="F17" t="str">
            <v>'62955505134449'</v>
          </cell>
          <cell r="G17">
            <v>27.76</v>
          </cell>
          <cell r="H17" t="str">
            <v>A Unidade Consumidora 10/175073-6 economizou R$9,25 na fatura referente à fev/2025  consumindo 38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17" t="str">
            <v>pastoreliasmn@hotmail.com</v>
          </cell>
          <cell r="K17" t="str">
            <v>AGUARDANDO PAGAMENTO</v>
          </cell>
        </row>
        <row r="18">
          <cell r="A18" t="str">
            <v>10/908866-7</v>
          </cell>
          <cell r="B18">
            <v>283032</v>
          </cell>
          <cell r="C18">
            <v>371</v>
          </cell>
          <cell r="D18" t="str">
            <v>Igreja do Evangelho Quadrangular</v>
          </cell>
          <cell r="E18" t="str">
            <v>62.955.505/3586-30</v>
          </cell>
          <cell r="F18" t="str">
            <v>'62955505358630'</v>
          </cell>
          <cell r="G18">
            <v>63.56</v>
          </cell>
          <cell r="H18" t="str">
            <v>A Unidade Consumidora 10/908866-7 economizou R$21,19 na fatura referente à fev/2025  consumindo 87 kWh em créditos de energia renovável conforme fatura de energia. A economia foi de 25% em relação ao que seria pago para a Energisa considerando os créditos consumidos. Atenção: Mantenha as contas da Energisa em dia para evitar cortes.</v>
          </cell>
          <cell r="I18" t="str">
            <v>julioconde2009@hotmail.com</v>
          </cell>
          <cell r="K18" t="str">
            <v>PAGO</v>
          </cell>
          <cell r="L18" t="str">
            <v>DEPÓSITO ÚNICO ITAU 30/05/2025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G1" t="str">
            <v>Valor</v>
          </cell>
          <cell r="H1" t="str">
            <v>Data</v>
          </cell>
        </row>
        <row r="2">
          <cell r="F2" t="str">
            <v>6295550532163094,11</v>
          </cell>
          <cell r="G2">
            <v>94.11</v>
          </cell>
          <cell r="H2" t="str">
            <v>14/08/2025</v>
          </cell>
        </row>
        <row r="3">
          <cell r="F3" t="str">
            <v>62955505354481144,22</v>
          </cell>
          <cell r="G3">
            <v>144.22</v>
          </cell>
          <cell r="H3" t="str">
            <v>14/08/2025</v>
          </cell>
        </row>
        <row r="4">
          <cell r="F4" t="str">
            <v>leto terceiros- R$ 2,49</v>
          </cell>
          <cell r="G4" t="str">
            <v>- R$ 2,49</v>
          </cell>
          <cell r="H4" t="str">
            <v>12/08/2025</v>
          </cell>
        </row>
        <row r="5">
          <cell r="F5" t="str">
            <v>leto terceiros- R$ 2,49</v>
          </cell>
          <cell r="G5" t="str">
            <v>- R$ 2,49</v>
          </cell>
          <cell r="H5" t="str">
            <v>12/08/2025</v>
          </cell>
        </row>
        <row r="6">
          <cell r="F6" t="str">
            <v>leto terceiros- R$ 2,49</v>
          </cell>
          <cell r="G6" t="str">
            <v>- R$ 2,49</v>
          </cell>
          <cell r="H6" t="str">
            <v>12/08/2025</v>
          </cell>
        </row>
        <row r="7">
          <cell r="F7" t="str">
            <v>leto terceiros- R$ 2,49</v>
          </cell>
          <cell r="G7" t="str">
            <v>- R$ 2,49</v>
          </cell>
          <cell r="H7" t="str">
            <v>12/08/2025</v>
          </cell>
        </row>
        <row r="8">
          <cell r="F8" t="str">
            <v>leto terceiros- R$ 2,49</v>
          </cell>
          <cell r="G8" t="str">
            <v>- R$ 2,49</v>
          </cell>
          <cell r="H8" t="str">
            <v>12/08/2025</v>
          </cell>
        </row>
        <row r="9">
          <cell r="F9" t="str">
            <v>leto terceiros- R$ 2,49</v>
          </cell>
          <cell r="G9" t="str">
            <v>- R$ 2,49</v>
          </cell>
          <cell r="H9" t="str">
            <v>12/08/2025</v>
          </cell>
        </row>
        <row r="10">
          <cell r="F10" t="str">
            <v>leto terceiros- R$ 2,49</v>
          </cell>
          <cell r="G10" t="str">
            <v>- R$ 2,49</v>
          </cell>
          <cell r="H10" t="str">
            <v>12/08/2025</v>
          </cell>
        </row>
        <row r="11">
          <cell r="F11" t="str">
            <v>leto terceiros- R$ 2,49</v>
          </cell>
          <cell r="G11" t="str">
            <v>- R$ 2,49</v>
          </cell>
          <cell r="H11" t="str">
            <v>12/08/2025</v>
          </cell>
        </row>
        <row r="12">
          <cell r="F12" t="str">
            <v>leto terceiros- R$ 2,49</v>
          </cell>
          <cell r="G12" t="str">
            <v>- R$ 2,49</v>
          </cell>
          <cell r="H12" t="str">
            <v>12/08/2025</v>
          </cell>
        </row>
        <row r="13">
          <cell r="F13" t="str">
            <v>leto terceiros- R$ 2,49</v>
          </cell>
          <cell r="G13" t="str">
            <v>- R$ 2,49</v>
          </cell>
          <cell r="H13" t="str">
            <v>12/08/2025</v>
          </cell>
        </row>
        <row r="14">
          <cell r="F14" t="str">
            <v>leto terceiros- R$ 2,49</v>
          </cell>
          <cell r="G14" t="str">
            <v>- R$ 2,49</v>
          </cell>
          <cell r="H14" t="str">
            <v>12/08/2025</v>
          </cell>
        </row>
        <row r="15">
          <cell r="F15" t="str">
            <v>leto terceiros- R$ 2,49</v>
          </cell>
          <cell r="G15" t="str">
            <v>- R$ 2,49</v>
          </cell>
          <cell r="H15" t="str">
            <v>12/08/2025</v>
          </cell>
        </row>
        <row r="16">
          <cell r="F16" t="str">
            <v>leto terceiros- R$ 2,49</v>
          </cell>
          <cell r="G16" t="str">
            <v>- R$ 2,49</v>
          </cell>
          <cell r="H16" t="str">
            <v>12/08/2025</v>
          </cell>
        </row>
        <row r="17">
          <cell r="F17" t="str">
            <v>leto terceiros- R$ 2,49</v>
          </cell>
          <cell r="G17" t="str">
            <v>- R$ 2,49</v>
          </cell>
          <cell r="H17" t="str">
            <v>12/08/2025</v>
          </cell>
        </row>
        <row r="18">
          <cell r="F18" t="str">
            <v>leto terceiros- R$ 2,49</v>
          </cell>
          <cell r="G18" t="str">
            <v>- R$ 2,49</v>
          </cell>
          <cell r="H18" t="str">
            <v>12/08/2025</v>
          </cell>
        </row>
        <row r="19">
          <cell r="F19" t="str">
            <v>leto terceiros- R$ 2,49</v>
          </cell>
          <cell r="G19" t="str">
            <v>- R$ 2,49</v>
          </cell>
          <cell r="H19" t="str">
            <v>12/08/2025</v>
          </cell>
        </row>
        <row r="20">
          <cell r="F20" t="str">
            <v>leto terceiros- R$ 2,49</v>
          </cell>
          <cell r="G20" t="str">
            <v>- R$ 2,49</v>
          </cell>
          <cell r="H20" t="str">
            <v>12/08/2025</v>
          </cell>
        </row>
        <row r="21">
          <cell r="F21" t="str">
            <v>leto terceiros- R$ 2,49</v>
          </cell>
          <cell r="G21" t="str">
            <v>- R$ 2,49</v>
          </cell>
          <cell r="H21" t="str">
            <v>12/08/2025</v>
          </cell>
        </row>
        <row r="22">
          <cell r="F22" t="str">
            <v>leto terceiros- R$ 2,49</v>
          </cell>
          <cell r="G22" t="str">
            <v>- R$ 2,49</v>
          </cell>
          <cell r="H22" t="str">
            <v>12/08/2025</v>
          </cell>
        </row>
        <row r="23">
          <cell r="F23" t="str">
            <v>leto terceiros- R$ 2,49</v>
          </cell>
          <cell r="G23" t="str">
            <v>- R$ 2,49</v>
          </cell>
          <cell r="H23" t="str">
            <v>12/08/2025</v>
          </cell>
        </row>
        <row r="24">
          <cell r="F24" t="str">
            <v>leto terceiros- R$ 2,49</v>
          </cell>
          <cell r="G24" t="str">
            <v>- R$ 2,49</v>
          </cell>
          <cell r="H24" t="str">
            <v>12/08/2025</v>
          </cell>
        </row>
        <row r="25">
          <cell r="F25" t="str">
            <v>leto terceiros- R$ 2,49</v>
          </cell>
          <cell r="G25" t="str">
            <v>- R$ 2,49</v>
          </cell>
          <cell r="H25" t="str">
            <v>12/08/2025</v>
          </cell>
        </row>
        <row r="26">
          <cell r="F26" t="str">
            <v>leto terceiros- R$ 2,49</v>
          </cell>
          <cell r="G26" t="str">
            <v>- R$ 2,49</v>
          </cell>
          <cell r="H26" t="str">
            <v>12/08/2025</v>
          </cell>
        </row>
        <row r="27">
          <cell r="F27" t="str">
            <v>leto terceiros- R$ 2,49</v>
          </cell>
          <cell r="G27" t="str">
            <v>- R$ 2,49</v>
          </cell>
          <cell r="H27" t="str">
            <v>12/08/2025</v>
          </cell>
        </row>
        <row r="28">
          <cell r="F28" t="str">
            <v>leto terceiros- R$ 2,49</v>
          </cell>
          <cell r="G28" t="str">
            <v>- R$ 2,49</v>
          </cell>
          <cell r="H28" t="str">
            <v>12/08/2025</v>
          </cell>
        </row>
        <row r="29">
          <cell r="F29" t="str">
            <v>leto terceiros- R$ 2,49</v>
          </cell>
          <cell r="G29" t="str">
            <v>- R$ 2,49</v>
          </cell>
          <cell r="H29" t="str">
            <v>12/08/2025</v>
          </cell>
        </row>
        <row r="30">
          <cell r="F30" t="str">
            <v>leto terceiros- R$ 2,49</v>
          </cell>
          <cell r="G30" t="str">
            <v>- R$ 2,49</v>
          </cell>
          <cell r="H30" t="str">
            <v>12/08/2025</v>
          </cell>
        </row>
        <row r="31">
          <cell r="F31" t="str">
            <v>leto terceiros- R$ 2,49</v>
          </cell>
          <cell r="G31" t="str">
            <v>- R$ 2,49</v>
          </cell>
          <cell r="H31" t="str">
            <v>12/08/2025</v>
          </cell>
        </row>
        <row r="32">
          <cell r="F32" t="str">
            <v>leto terceiros- R$ 2,49</v>
          </cell>
          <cell r="G32" t="str">
            <v>- R$ 2,49</v>
          </cell>
          <cell r="H32" t="str">
            <v>12/08/2025</v>
          </cell>
        </row>
        <row r="33">
          <cell r="F33" t="str">
            <v>leto terceiros- R$ 2,49</v>
          </cell>
          <cell r="G33" t="str">
            <v>- R$ 2,49</v>
          </cell>
          <cell r="H33" t="str">
            <v>12/08/2025</v>
          </cell>
        </row>
        <row r="34">
          <cell r="F34" t="str">
            <v>leto terceiros- R$ 2,49</v>
          </cell>
          <cell r="G34" t="str">
            <v>- R$ 2,49</v>
          </cell>
          <cell r="H34" t="str">
            <v>12/08/2025</v>
          </cell>
        </row>
        <row r="35">
          <cell r="F35" t="str">
            <v>leto terceiros- R$ 2,49</v>
          </cell>
          <cell r="G35" t="str">
            <v>- R$ 2,49</v>
          </cell>
          <cell r="H35" t="str">
            <v>12/08/2025</v>
          </cell>
        </row>
        <row r="36">
          <cell r="F36" t="str">
            <v>leto terceiros- R$ 2,49</v>
          </cell>
          <cell r="G36" t="str">
            <v>- R$ 2,49</v>
          </cell>
          <cell r="H36" t="str">
            <v>12/08/2025</v>
          </cell>
        </row>
        <row r="37">
          <cell r="F37" t="str">
            <v>leto terceiros- R$ 2,49</v>
          </cell>
          <cell r="G37" t="str">
            <v>- R$ 2,49</v>
          </cell>
          <cell r="H37" t="str">
            <v>12/08/2025</v>
          </cell>
        </row>
        <row r="38">
          <cell r="F38" t="str">
            <v>leto terceiros- R$ 2,49</v>
          </cell>
          <cell r="G38" t="str">
            <v>- R$ 2,49</v>
          </cell>
          <cell r="H38" t="str">
            <v>12/08/2025</v>
          </cell>
        </row>
        <row r="39">
          <cell r="F39" t="str">
            <v>leto terceiros- R$ 2,49</v>
          </cell>
          <cell r="G39" t="str">
            <v>- R$ 2,49</v>
          </cell>
          <cell r="H39" t="str">
            <v>12/08/2025</v>
          </cell>
        </row>
        <row r="40">
          <cell r="F40" t="str">
            <v>leto terceiros- R$ 2,49</v>
          </cell>
          <cell r="G40" t="str">
            <v>- R$ 2,49</v>
          </cell>
          <cell r="H40" t="str">
            <v>12/08/2025</v>
          </cell>
        </row>
        <row r="41">
          <cell r="F41" t="str">
            <v>leto terceiros- R$ 2,49</v>
          </cell>
          <cell r="G41" t="str">
            <v>- R$ 2,49</v>
          </cell>
          <cell r="H41" t="str">
            <v>12/08/2025</v>
          </cell>
        </row>
        <row r="42">
          <cell r="F42" t="str">
            <v>leto terceiros- R$ 2,49</v>
          </cell>
          <cell r="G42" t="str">
            <v>- R$ 2,49</v>
          </cell>
          <cell r="H42" t="str">
            <v>12/08/2025</v>
          </cell>
        </row>
        <row r="43">
          <cell r="F43" t="str">
            <v>leto terceiros- R$ 2,49</v>
          </cell>
          <cell r="G43" t="str">
            <v>- R$ 2,49</v>
          </cell>
          <cell r="H43" t="str">
            <v>12/08/2025</v>
          </cell>
        </row>
        <row r="44">
          <cell r="F44" t="str">
            <v>leto terceiros- R$ 2,49</v>
          </cell>
          <cell r="G44" t="str">
            <v>- R$ 2,49</v>
          </cell>
          <cell r="H44" t="str">
            <v>12/08/2025</v>
          </cell>
        </row>
        <row r="45">
          <cell r="F45" t="str">
            <v>leto terceiros- R$ 2,49</v>
          </cell>
          <cell r="G45" t="str">
            <v>- R$ 2,49</v>
          </cell>
          <cell r="H45" t="str">
            <v>12/08/2025</v>
          </cell>
        </row>
        <row r="46">
          <cell r="F46" t="str">
            <v>leto terceiros- R$ 2,49</v>
          </cell>
          <cell r="G46" t="str">
            <v>- R$ 2,49</v>
          </cell>
          <cell r="H46" t="str">
            <v>12/08/2025</v>
          </cell>
        </row>
        <row r="47">
          <cell r="F47" t="str">
            <v>leto terceiros- R$ 2,49</v>
          </cell>
          <cell r="G47" t="str">
            <v>- R$ 2,49</v>
          </cell>
          <cell r="H47" t="str">
            <v>12/08/2025</v>
          </cell>
        </row>
        <row r="48">
          <cell r="F48" t="str">
            <v>leto terceiros- R$ 2,49</v>
          </cell>
          <cell r="G48" t="str">
            <v>- R$ 2,49</v>
          </cell>
          <cell r="H48" t="str">
            <v>12/08/2025</v>
          </cell>
        </row>
        <row r="49">
          <cell r="F49" t="str">
            <v>leto terceiros- R$ 2,49</v>
          </cell>
          <cell r="G49" t="str">
            <v>- R$ 2,49</v>
          </cell>
          <cell r="H49" t="str">
            <v>12/08/2025</v>
          </cell>
        </row>
        <row r="50">
          <cell r="F50" t="str">
            <v>leto terceiros- R$ 2,49</v>
          </cell>
          <cell r="G50" t="str">
            <v>- R$ 2,49</v>
          </cell>
          <cell r="H50" t="str">
            <v>12/08/2025</v>
          </cell>
        </row>
        <row r="51">
          <cell r="F51" t="str">
            <v>leto terceiros- R$ 2,49</v>
          </cell>
          <cell r="G51" t="str">
            <v>- R$ 2,49</v>
          </cell>
          <cell r="H51" t="str">
            <v>12/08/2025</v>
          </cell>
        </row>
        <row r="52">
          <cell r="F52" t="str">
            <v>leto terceiros- R$ 2,49</v>
          </cell>
          <cell r="G52" t="str">
            <v>- R$ 2,49</v>
          </cell>
          <cell r="H52" t="str">
            <v>12/08/2025</v>
          </cell>
        </row>
        <row r="53">
          <cell r="F53" t="str">
            <v>leto terceiros- R$ 2,49</v>
          </cell>
          <cell r="G53" t="str">
            <v>- R$ 2,49</v>
          </cell>
          <cell r="H53" t="str">
            <v>12/08/2025</v>
          </cell>
        </row>
        <row r="54">
          <cell r="F54" t="str">
            <v>leto terceiros- R$ 2,49</v>
          </cell>
          <cell r="G54" t="str">
            <v>- R$ 2,49</v>
          </cell>
          <cell r="H54" t="str">
            <v>12/08/2025</v>
          </cell>
        </row>
        <row r="55">
          <cell r="F55" t="str">
            <v>leto terceiros- R$ 2,49</v>
          </cell>
          <cell r="G55" t="str">
            <v>- R$ 2,49</v>
          </cell>
          <cell r="H55" t="str">
            <v>12/08/2025</v>
          </cell>
        </row>
        <row r="56">
          <cell r="F56" t="str">
            <v>leto terceiros- R$ 2,49</v>
          </cell>
          <cell r="G56" t="str">
            <v>- R$ 2,49</v>
          </cell>
          <cell r="H56" t="str">
            <v>12/08/2025</v>
          </cell>
        </row>
        <row r="57">
          <cell r="F57" t="str">
            <v>leto terceiros- R$ 2,49</v>
          </cell>
          <cell r="G57" t="str">
            <v>- R$ 2,49</v>
          </cell>
          <cell r="H57" t="str">
            <v>12/08/2025</v>
          </cell>
        </row>
        <row r="58">
          <cell r="F58" t="str">
            <v>leto terceiros- R$ 2,49</v>
          </cell>
          <cell r="G58" t="str">
            <v>- R$ 2,49</v>
          </cell>
          <cell r="H58" t="str">
            <v>12/08/2025</v>
          </cell>
        </row>
        <row r="59">
          <cell r="F59" t="str">
            <v>leto terceiros- R$ 2,49</v>
          </cell>
          <cell r="G59" t="str">
            <v>- R$ 2,49</v>
          </cell>
          <cell r="H59" t="str">
            <v>12/08/2025</v>
          </cell>
        </row>
        <row r="60">
          <cell r="F60" t="str">
            <v>leto terceiros- R$ 2,49</v>
          </cell>
          <cell r="G60" t="str">
            <v>- R$ 2,49</v>
          </cell>
          <cell r="H60" t="str">
            <v>12/08/2025</v>
          </cell>
        </row>
        <row r="61">
          <cell r="F61" t="str">
            <v>leto terceiros- R$ 2,49</v>
          </cell>
          <cell r="G61" t="str">
            <v>- R$ 2,49</v>
          </cell>
          <cell r="H61" t="str">
            <v>12/08/2025</v>
          </cell>
        </row>
        <row r="62">
          <cell r="F62" t="str">
            <v>leto terceiros- R$ 2,49</v>
          </cell>
          <cell r="G62" t="str">
            <v>- R$ 2,49</v>
          </cell>
          <cell r="H62" t="str">
            <v>12/08/2025</v>
          </cell>
        </row>
        <row r="63">
          <cell r="F63" t="str">
            <v>leto terceiros- R$ 2,49</v>
          </cell>
          <cell r="G63" t="str">
            <v>- R$ 2,49</v>
          </cell>
          <cell r="H63" t="str">
            <v>12/08/2025</v>
          </cell>
        </row>
        <row r="64">
          <cell r="F64" t="str">
            <v>leto terceiros- R$ 2,49</v>
          </cell>
          <cell r="G64" t="str">
            <v>- R$ 2,49</v>
          </cell>
          <cell r="H64" t="str">
            <v>12/08/2025</v>
          </cell>
        </row>
        <row r="65">
          <cell r="F65" t="str">
            <v>leto terceiros- R$ 2,49</v>
          </cell>
          <cell r="G65" t="str">
            <v>- R$ 2,49</v>
          </cell>
          <cell r="H65" t="str">
            <v>12/08/2025</v>
          </cell>
        </row>
        <row r="66">
          <cell r="F66" t="str">
            <v>leto terceiros- R$ 2,49</v>
          </cell>
          <cell r="G66" t="str">
            <v>- R$ 2,49</v>
          </cell>
          <cell r="H66" t="str">
            <v>12/08/2025</v>
          </cell>
        </row>
        <row r="67">
          <cell r="F67" t="str">
            <v>leto terceiros- R$ 2,49</v>
          </cell>
          <cell r="G67" t="str">
            <v>- R$ 2,49</v>
          </cell>
          <cell r="H67" t="str">
            <v>12/08/2025</v>
          </cell>
        </row>
        <row r="68">
          <cell r="F68" t="str">
            <v>leto terceiros- R$ 2,49</v>
          </cell>
          <cell r="G68" t="str">
            <v>- R$ 2,49</v>
          </cell>
          <cell r="H68" t="str">
            <v>12/08/2025</v>
          </cell>
        </row>
        <row r="69">
          <cell r="F69" t="str">
            <v>leto terceiros- R$ 2,49</v>
          </cell>
          <cell r="G69" t="str">
            <v>- R$ 2,49</v>
          </cell>
          <cell r="H69" t="str">
            <v>12/08/2025</v>
          </cell>
        </row>
        <row r="70">
          <cell r="F70" t="str">
            <v>leto terceiros- R$ 2,49</v>
          </cell>
          <cell r="G70" t="str">
            <v>- R$ 2,49</v>
          </cell>
          <cell r="H70" t="str">
            <v>12/08/2025</v>
          </cell>
        </row>
        <row r="71">
          <cell r="F71" t="str">
            <v>leto terceiros- R$ 2,49</v>
          </cell>
          <cell r="G71" t="str">
            <v>- R$ 2,49</v>
          </cell>
          <cell r="H71" t="str">
            <v>12/08/2025</v>
          </cell>
        </row>
        <row r="72">
          <cell r="F72" t="str">
            <v>leto terceiros- R$ 2,49</v>
          </cell>
          <cell r="G72" t="str">
            <v>- R$ 2,49</v>
          </cell>
          <cell r="H72" t="str">
            <v>12/08/2025</v>
          </cell>
        </row>
        <row r="73">
          <cell r="F73" t="str">
            <v>leto terceiros- R$ 2,49</v>
          </cell>
          <cell r="G73" t="str">
            <v>- R$ 2,49</v>
          </cell>
          <cell r="H73" t="str">
            <v>12/08/2025</v>
          </cell>
        </row>
        <row r="74">
          <cell r="F74" t="str">
            <v>leto terceiros- R$ 2,49</v>
          </cell>
          <cell r="G74" t="str">
            <v>- R$ 2,49</v>
          </cell>
          <cell r="H74" t="str">
            <v>12/08/2025</v>
          </cell>
        </row>
        <row r="75">
          <cell r="F75" t="str">
            <v>leto terceiros- R$ 2,49</v>
          </cell>
          <cell r="G75" t="str">
            <v>- R$ 2,49</v>
          </cell>
          <cell r="H75" t="str">
            <v>12/08/2025</v>
          </cell>
        </row>
        <row r="76">
          <cell r="F76" t="str">
            <v>leto terceiros- R$ 2,49</v>
          </cell>
          <cell r="G76" t="str">
            <v>- R$ 2,49</v>
          </cell>
          <cell r="H76" t="str">
            <v>12/08/2025</v>
          </cell>
        </row>
        <row r="77">
          <cell r="F77" t="str">
            <v>leto terceiros- R$ 2,49</v>
          </cell>
          <cell r="G77" t="str">
            <v>- R$ 2,49</v>
          </cell>
          <cell r="H77" t="str">
            <v>12/08/2025</v>
          </cell>
        </row>
        <row r="78">
          <cell r="F78" t="str">
            <v>leto terceiros- R$ 2,49</v>
          </cell>
          <cell r="G78" t="str">
            <v>- R$ 2,49</v>
          </cell>
          <cell r="H78" t="str">
            <v>12/08/2025</v>
          </cell>
        </row>
        <row r="79">
          <cell r="F79" t="str">
            <v>leto terceiros- R$ 2,49</v>
          </cell>
          <cell r="G79" t="str">
            <v>- R$ 2,49</v>
          </cell>
          <cell r="H79" t="str">
            <v>12/08/2025</v>
          </cell>
        </row>
        <row r="80">
          <cell r="F80" t="str">
            <v>leto terceiros- R$ 2,49</v>
          </cell>
          <cell r="G80" t="str">
            <v>- R$ 2,49</v>
          </cell>
          <cell r="H80" t="str">
            <v>12/08/2025</v>
          </cell>
        </row>
        <row r="81">
          <cell r="F81" t="str">
            <v>6295550515706646,74</v>
          </cell>
          <cell r="G81">
            <v>46.74</v>
          </cell>
          <cell r="H81" t="str">
            <v>11/08/2025</v>
          </cell>
        </row>
        <row r="82">
          <cell r="F82" t="str">
            <v>6295550501551259,57</v>
          </cell>
          <cell r="G82">
            <v>59.57</v>
          </cell>
          <cell r="H82" t="str">
            <v>11/08/2025</v>
          </cell>
        </row>
        <row r="83">
          <cell r="F83" t="str">
            <v>6295550536711741,14</v>
          </cell>
          <cell r="G83">
            <v>41.14</v>
          </cell>
          <cell r="H83" t="str">
            <v>09/08/2025</v>
          </cell>
        </row>
        <row r="84">
          <cell r="F84" t="str">
            <v>62955505113875164,56</v>
          </cell>
          <cell r="G84">
            <v>164.56</v>
          </cell>
          <cell r="H84" t="str">
            <v>08/08/2025</v>
          </cell>
        </row>
        <row r="85">
          <cell r="F85" t="str">
            <v>6295550501551259,21</v>
          </cell>
          <cell r="G85">
            <v>59.21</v>
          </cell>
          <cell r="H85" t="str">
            <v>08/08/2025</v>
          </cell>
        </row>
        <row r="86">
          <cell r="F86" t="str">
            <v>62955505248886120,62</v>
          </cell>
          <cell r="G86">
            <v>120.62</v>
          </cell>
          <cell r="H86" t="str">
            <v>08/08/2025</v>
          </cell>
        </row>
        <row r="87">
          <cell r="F87" t="str">
            <v>62955505149047194,07</v>
          </cell>
          <cell r="G87">
            <v>194.07</v>
          </cell>
          <cell r="H87" t="str">
            <v>08/08/2025</v>
          </cell>
        </row>
        <row r="88">
          <cell r="F88" t="str">
            <v>6295550546121095,85</v>
          </cell>
          <cell r="G88">
            <v>95.85</v>
          </cell>
          <cell r="H88" t="str">
            <v>08/08/2025</v>
          </cell>
        </row>
        <row r="89">
          <cell r="F89" t="str">
            <v>6295550546121040,09</v>
          </cell>
          <cell r="G89">
            <v>40.090000000000003</v>
          </cell>
          <cell r="H89" t="str">
            <v>08/08/2025</v>
          </cell>
        </row>
        <row r="90">
          <cell r="F90" t="str">
            <v>6295550523911964,91</v>
          </cell>
          <cell r="G90">
            <v>64.91</v>
          </cell>
          <cell r="H90" t="str">
            <v>07/08/2025</v>
          </cell>
        </row>
        <row r="91">
          <cell r="F91" t="str">
            <v>- PJ N.S. LTDA- R$ 0,99</v>
          </cell>
          <cell r="G91" t="str">
            <v>- R$ 0,99</v>
          </cell>
          <cell r="H91" t="str">
            <v>07/08/2025</v>
          </cell>
        </row>
        <row r="92">
          <cell r="F92" t="str">
            <v xml:space="preserve"> PIX N.S. LTDA- R$ 1.022,53</v>
          </cell>
          <cell r="G92" t="str">
            <v>- R$ 1.022,53</v>
          </cell>
          <cell r="H92" t="str">
            <v>07/08/2025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m.GERA"/>
      <sheetName val="Tarifas"/>
      <sheetName val="Planilha2"/>
      <sheetName val="Planilha1"/>
      <sheetName val="Planilha5"/>
      <sheetName val="Planilha6"/>
      <sheetName val="Planilha7"/>
      <sheetName val="Planilha4"/>
      <sheetName val="AUX"/>
      <sheetName val="Planilha8"/>
      <sheetName val="Injeção novos clientes"/>
      <sheetName val="Infos Clientes"/>
      <sheetName val="Contrato"/>
      <sheetName val="Itens GDII Abril"/>
      <sheetName val="Detalhe Por UC"/>
      <sheetName val="Resumo Operacional"/>
      <sheetName val="Cálculo GD2"/>
      <sheetName val="Resumo Gerencial"/>
      <sheetName val="Planilha3"/>
      <sheetName val="AbaMacro"/>
      <sheetName val="Análise Geração Próp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Luisa Torres Rodrigues" id="{1CA0D6DD-9422-4684-B0EE-635018220D59}" userId="S::luisa.torres@hube.energy::3dd24d4d-88bd-4d60-8dab-02f970ba342b" providerId="AD"/>
  <person displayName="Gustavo Lemos" id="{A06E3BC5-C06C-4402-97F4-93E69DF8FB32}" userId="S::gustavo.lemos@hube.energy::93de26a4-5658-4dc1-ad55-9ec35c01b0b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aeb" refreshedDate="46009.492978240742" createdVersion="8" refreshedVersion="8" minRefreshableVersion="3" recordCount="799" xr:uid="{5D5D3A3C-62ED-4264-8A23-41905C8D4D54}">
  <cacheSource type="worksheet">
    <worksheetSource ref="A1:Y800" sheet="Faturamento"/>
  </cacheSource>
  <cacheFields count="25">
    <cacheField name="Região" numFmtId="0">
      <sharedItems containsMixedTypes="1" containsNumber="1" minValue="0" maxValue="994" count="18">
        <s v="TRIFÁSICO"/>
        <s v="BIFÁSICO"/>
        <e v="#N/A"/>
        <s v="MONOFÁSICO"/>
        <n v="0" u="1"/>
        <n v="302" u="1"/>
        <n v="319" u="1"/>
        <n v="362" u="1"/>
        <n v="351" u="1"/>
        <n v="349" u="1"/>
        <n v="994" u="1"/>
        <n v="306" u="1"/>
        <n v="360" u="1"/>
        <n v="371" u="1"/>
        <n v="357" u="1"/>
        <n v="331" u="1"/>
        <n v="358" u="1"/>
        <n v="0.25" u="1"/>
      </sharedItems>
    </cacheField>
    <cacheField name="Instalação" numFmtId="0">
      <sharedItems/>
    </cacheField>
    <cacheField name="Telefone" numFmtId="0">
      <sharedItems containsBlank="1" containsMixedTypes="1" containsNumber="1" containsInteger="1" minValue="0" maxValue="67999998719"/>
    </cacheField>
    <cacheField name="CNPJ" numFmtId="0">
      <sharedItems containsMixedTypes="1" containsNumber="1" containsInteger="1" minValue="62955505000167" maxValue="62955505897930"/>
    </cacheField>
    <cacheField name="Distribuidora" numFmtId="0">
      <sharedItems/>
    </cacheField>
    <cacheField name="Razão Social" numFmtId="0">
      <sharedItems/>
    </cacheField>
    <cacheField name="Referência" numFmtId="14">
      <sharedItems containsSemiMixedTypes="0" containsNonDate="0" containsDate="1" containsString="0" minDate="2024-12-01T00:00:00" maxDate="2025-10-02T00:00:00"/>
    </cacheField>
    <cacheField name="COD" numFmtId="14">
      <sharedItems/>
    </cacheField>
    <cacheField name="Fatura Disco Disponível?" numFmtId="0">
      <sharedItems/>
    </cacheField>
    <cacheField name="Créd. Consumido" numFmtId="0">
      <sharedItems containsSemiMixedTypes="0" containsString="0" containsNumber="1" containsInteger="1" minValue="0" maxValue="2733"/>
    </cacheField>
    <cacheField name="CUSTO_S_GD " numFmtId="44">
      <sharedItems containsString="0" containsBlank="1" containsNumber="1" minValue="73.003469387755104" maxValue="3308.3"/>
    </cacheField>
    <cacheField name="CUSTO_C_GD" numFmtId="44">
      <sharedItems containsString="0" containsBlank="1" containsNumber="1" minValue="69.794038772988245" maxValue="2794.8836086181395"/>
    </cacheField>
    <cacheField name="Status Faturamento" numFmtId="0">
      <sharedItems/>
    </cacheField>
    <cacheField name="Valor sem desconto" numFmtId="44">
      <sharedItems containsSemiMixedTypes="0" containsString="0" containsNumber="1" minValue="-57.36500000000099" maxValue="3099.1339999999996"/>
    </cacheField>
    <cacheField name="Valor liberado" numFmtId="44">
      <sharedItems containsMixedTypes="1" containsNumber="1" minValue="0" maxValue="2336.92"/>
    </cacheField>
    <cacheField name="Data emissão" numFmtId="0">
      <sharedItems containsDate="1" containsBlank="1" containsMixedTypes="1" minDate="2025-07-22T00:00:00" maxDate="2025-11-07T00:00:00"/>
    </cacheField>
    <cacheField name="Data Vencimento" numFmtId="0">
      <sharedItems containsDate="1" containsBlank="1" containsMixedTypes="1" minDate="2025-08-02T00:00:00" maxDate="2025-11-14T00:00:00"/>
    </cacheField>
    <cacheField name="Valor emitido" numFmtId="44">
      <sharedItems containsBlank="1" containsMixedTypes="1" containsNumber="1" minValue="0" maxValue="2336.92"/>
    </cacheField>
    <cacheField name="Motivo não emissão" numFmtId="0">
      <sharedItems containsBlank="1"/>
    </cacheField>
    <cacheField name="COD VALOR EMITIDO" numFmtId="0">
      <sharedItems/>
    </cacheField>
    <cacheField name="COD BOLETO" numFmtId="0">
      <sharedItems containsBlank="1"/>
    </cacheField>
    <cacheField name="Status Pagamento" numFmtId="0">
      <sharedItems count="6">
        <s v="Não faturado"/>
        <s v="Pago"/>
        <s v="Atrasado"/>
        <s v="Cancelado"/>
        <s v="Acordo"/>
        <s v="Vencido" u="1"/>
      </sharedItems>
    </cacheField>
    <cacheField name="Valor Pago" numFmtId="0">
      <sharedItems containsBlank="1" containsMixedTypes="1" containsNumber="1" minValue="0" maxValue="2336.92"/>
    </cacheField>
    <cacheField name="Multa/Juros" numFmtId="44">
      <sharedItems containsSemiMixedTypes="0" containsString="0" containsNumber="1" minValue="-2119.61" maxValue="88.920000000000016"/>
    </cacheField>
    <cacheField name="Data Pagamento" numFmtId="0">
      <sharedItems containsDate="1" containsBlank="1" containsMixedTypes="1" minDate="2025-06-27T00:00:00" maxDate="2025-12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aeb" refreshedDate="46009.492979050927" createdVersion="8" refreshedVersion="8" minRefreshableVersion="3" recordCount="1080" xr:uid="{DDA7F87E-9C07-4292-B937-001D13376494}">
  <cacheSource type="worksheet">
    <worksheetSource ref="A1:AI1048576" sheet="Faturamento"/>
  </cacheSource>
  <cacheFields count="35">
    <cacheField name="Região" numFmtId="0">
      <sharedItems containsBlank="1" containsMixedTypes="1" containsNumber="1" containsInteger="1" minValue="0" maxValue="0"/>
    </cacheField>
    <cacheField name="Instalação" numFmtId="0">
      <sharedItems containsBlank="1"/>
    </cacheField>
    <cacheField name="Telefone" numFmtId="0">
      <sharedItems containsBlank="1" containsMixedTypes="1" containsNumber="1" containsInteger="1" minValue="0" maxValue="67999998719"/>
    </cacheField>
    <cacheField name="CNPJ" numFmtId="0">
      <sharedItems containsBlank="1" containsMixedTypes="1" containsNumber="1" containsInteger="1" minValue="62955505000167" maxValue="62955505897930"/>
    </cacheField>
    <cacheField name="Distribuidora" numFmtId="0">
      <sharedItems containsBlank="1"/>
    </cacheField>
    <cacheField name="Razão Social" numFmtId="0">
      <sharedItems containsBlank="1"/>
    </cacheField>
    <cacheField name="Referência" numFmtId="0">
      <sharedItems containsNonDate="0" containsDate="1" containsString="0" containsBlank="1" minDate="2024-12-01T00:00:00" maxDate="2025-11-02T00:00:00" count="22">
        <d v="2025-09-01T00:00:00"/>
        <d v="2025-07-01T00:00:00"/>
        <d v="2025-08-01T00:00:00"/>
        <d v="2025-06-01T00:00:00"/>
        <d v="2025-03-01T00:00:00"/>
        <d v="2025-04-01T00:00:00"/>
        <d v="2025-02-01T00:00:00"/>
        <d v="2025-01-01T00:00:00"/>
        <d v="2025-05-01T00:00:00"/>
        <d v="2025-10-01T00:00:00"/>
        <d v="2024-12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1-01T00:00:00"/>
        <m/>
      </sharedItems>
    </cacheField>
    <cacheField name="COD" numFmtId="0">
      <sharedItems containsBlank="1"/>
    </cacheField>
    <cacheField name="Fatura Disco Disponível?" numFmtId="0">
      <sharedItems containsBlank="1"/>
    </cacheField>
    <cacheField name="Créd. Consumido" numFmtId="0">
      <sharedItems containsString="0" containsBlank="1" containsNumber="1" containsInteger="1" minValue="0" maxValue="2733"/>
    </cacheField>
    <cacheField name="CUSTO_S_GD " numFmtId="44">
      <sharedItems containsString="0" containsBlank="1" containsNumber="1" minValue="73.003469387755104" maxValue="3308.3"/>
    </cacheField>
    <cacheField name="CUSTO_C_GD" numFmtId="44">
      <sharedItems containsString="0" containsBlank="1" containsNumber="1" minValue="69.794038772988245" maxValue="2794.8836086181395"/>
    </cacheField>
    <cacheField name="Status Faturamento" numFmtId="0">
      <sharedItems containsBlank="1"/>
    </cacheField>
    <cacheField name="Valor sem desconto" numFmtId="44">
      <sharedItems containsString="0" containsBlank="1" containsNumber="1" minValue="-75.37" maxValue="3109.4267999999997"/>
    </cacheField>
    <cacheField name="Valor liberado" numFmtId="44">
      <sharedItems containsBlank="1" containsMixedTypes="1" containsNumber="1" minValue="0" maxValue="2456.4499999999998"/>
    </cacheField>
    <cacheField name="Data emissão" numFmtId="0">
      <sharedItems containsDate="1" containsBlank="1" containsMixedTypes="1" minDate="2025-07-22T00:00:00" maxDate="2025-12-09T00:00:00"/>
    </cacheField>
    <cacheField name="Data Vencimento" numFmtId="0">
      <sharedItems containsDate="1" containsBlank="1" containsMixedTypes="1" minDate="2025-08-02T00:00:00" maxDate="2025-12-19T00:00:00"/>
    </cacheField>
    <cacheField name="Valor emitido" numFmtId="44">
      <sharedItems containsBlank="1" containsMixedTypes="1" containsNumber="1" minValue="0" maxValue="2456.4499999999998"/>
    </cacheField>
    <cacheField name="Motivo não emissão" numFmtId="0">
      <sharedItems containsBlank="1"/>
    </cacheField>
    <cacheField name="COD VALOR EMITIDO" numFmtId="0">
      <sharedItems containsBlank="1"/>
    </cacheField>
    <cacheField name="COD BOLETO" numFmtId="0">
      <sharedItems containsBlank="1"/>
    </cacheField>
    <cacheField name="Status Pagamento" numFmtId="0">
      <sharedItems containsBlank="1" count="8">
        <s v="Não faturado"/>
        <s v="Pago"/>
        <s v="Atrasado"/>
        <s v="Cancelado"/>
        <s v="Acordo"/>
        <s v="Atrasado "/>
        <m/>
        <s v="em aberto" u="1"/>
      </sharedItems>
    </cacheField>
    <cacheField name="Valor Pago" numFmtId="0">
      <sharedItems containsBlank="1" containsMixedTypes="1" containsNumber="1" minValue="0" maxValue="2456.4499999999998"/>
    </cacheField>
    <cacheField name="Multa/Juros" numFmtId="0">
      <sharedItems containsString="0" containsBlank="1" containsNumber="1" minValue="-2119.61" maxValue="99.811360544217678"/>
    </cacheField>
    <cacheField name="Data Pagamento" numFmtId="0">
      <sharedItems containsDate="1" containsBlank="1" containsMixedTypes="1" minDate="2002-12-09T00:00:00" maxDate="2025-12-17T00:00:00"/>
    </cacheField>
    <cacheField name="Estágio da Cobrança" numFmtId="0">
      <sharedItems containsBlank="1"/>
    </cacheField>
    <cacheField name="CLIENTE (somente números)" numFmtId="0">
      <sharedItems containsString="0" containsBlank="1" containsNumber="1" containsInteger="1" minValue="283032" maxValue="283032"/>
    </cacheField>
    <cacheField name="CANAL (somente números)" numFmtId="0">
      <sharedItems containsString="0" containsBlank="1" containsNumber="1" containsInteger="1" minValue="502" maxValue="502"/>
    </cacheField>
    <cacheField name="NOME OU RAZÃO SOCIAL DO PAGADOR" numFmtId="0">
      <sharedItems containsBlank="1"/>
    </cacheField>
    <cacheField name="CPF/CNPJ DO PAGADOR (digitar somente números entre apóstrofos ( ' ' ))" numFmtId="0">
      <sharedItems containsBlank="1"/>
    </cacheField>
    <cacheField name="VALOR DO BOLETO (número com centavos separado por vírgula)" numFmtId="0">
      <sharedItems containsString="0" containsBlank="1" containsNumber="1" minValue="5.34" maxValue="2227.79"/>
    </cacheField>
    <cacheField name="DATA DE VENCIMENTO (dd/mm/aaaa)" numFmtId="0">
      <sharedItems containsNonDate="0" containsString="0" containsBlank="1"/>
    </cacheField>
    <cacheField name="TEXTO QUE APARECERÁ NO CAMPO &quot;INSTRUÇÕES&quot; (opcional)" numFmtId="0">
      <sharedItems containsBlank="1" longText="1"/>
    </cacheField>
    <cacheField name="E-MAIL DO PAGADOR" numFmtId="0">
      <sharedItems containsBlank="1"/>
    </cacheField>
    <cacheField name="Obs Planilha Rubia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9">
  <r>
    <x v="0"/>
    <s v="10/237441-1"/>
    <n v="0"/>
    <n v="62955505017213"/>
    <s v="energisa_ms"/>
    <s v="Igreja do Evangelho Quadrangular"/>
    <d v="2025-09-01T00:00:00"/>
    <s v="10/2338577-645658"/>
    <s v="SIM"/>
    <n v="0"/>
    <m/>
    <m/>
    <s v="Não emitido"/>
    <n v="0"/>
    <s v=""/>
    <m/>
    <m/>
    <m/>
    <s v="Sem valor liberado para emissão"/>
    <s v="62955505017213"/>
    <m/>
    <x v="0"/>
    <m/>
    <n v="0"/>
    <m/>
  </r>
  <r>
    <x v="0"/>
    <s v="10/135237-6"/>
    <n v="0"/>
    <n v="62955505080098"/>
    <s v="energisa_ms"/>
    <s v="Igreja do Evangelho Quadrangular"/>
    <d v="2025-09-01T00:00:00"/>
    <s v="10/142353-245689"/>
    <s v="SIM"/>
    <n v="0"/>
    <m/>
    <m/>
    <s v="Não emitido"/>
    <n v="0"/>
    <s v=""/>
    <m/>
    <m/>
    <m/>
    <s v="Sem valor liberado para emissão"/>
    <s v="62955505080098"/>
    <m/>
    <x v="0"/>
    <m/>
    <n v="0"/>
    <m/>
  </r>
  <r>
    <x v="0"/>
    <s v="10/512142-1"/>
    <s v="Solicitação de distrato"/>
    <n v="62955505189340"/>
    <s v="energisa_ms"/>
    <s v="Igreja do Evangelho Quadrangular"/>
    <d v="2025-09-01T00:00:00"/>
    <s v="10/104720-845717"/>
    <s v="SIM"/>
    <n v="0"/>
    <m/>
    <m/>
    <s v="Não emitido"/>
    <n v="0"/>
    <s v=""/>
    <m/>
    <m/>
    <m/>
    <s v="Sem valor liberado para emissão"/>
    <s v="62955505189340"/>
    <m/>
    <x v="0"/>
    <m/>
    <n v="0"/>
    <m/>
  </r>
  <r>
    <x v="1"/>
    <s v="10/31292-6"/>
    <s v="Solicitação de distrato"/>
    <n v="62955505016080"/>
    <s v="energisa_ms"/>
    <s v="Igreja do Evangelho Quadrangular"/>
    <d v="2025-09-01T00:00:00"/>
    <s v="10/1081489-545717"/>
    <s v="SIM"/>
    <n v="0"/>
    <m/>
    <m/>
    <s v="Não emitido"/>
    <n v="0"/>
    <s v=""/>
    <m/>
    <m/>
    <m/>
    <s v="Sem valor liberado para emissão"/>
    <s v="62955505016080"/>
    <m/>
    <x v="0"/>
    <m/>
    <n v="0"/>
    <m/>
  </r>
  <r>
    <x v="0"/>
    <s v="10/3054052-0"/>
    <n v="0"/>
    <n v="62955505312487"/>
    <s v="energisa_ms"/>
    <s v="Igreja do Evangelho Quadrangular"/>
    <d v="2025-09-01T00:00:00"/>
    <s v="10/69319-245717"/>
    <s v="SIM"/>
    <n v="0"/>
    <m/>
    <m/>
    <s v="Não emitido"/>
    <n v="0"/>
    <s v=""/>
    <m/>
    <m/>
    <m/>
    <s v="Sem valor liberado para emissão"/>
    <s v="62955505312487"/>
    <m/>
    <x v="0"/>
    <m/>
    <n v="0"/>
    <m/>
  </r>
  <r>
    <x v="0"/>
    <s v="10/505854-0"/>
    <n v="0"/>
    <n v="62955505887382"/>
    <s v="energisa_ms"/>
    <s v="Igreja do Evangelho Quadrangular"/>
    <d v="2025-09-01T00:00:00"/>
    <s v="10/3139326-745717"/>
    <s v="SIM"/>
    <n v="0"/>
    <m/>
    <m/>
    <s v="Não emitido"/>
    <n v="0"/>
    <s v=""/>
    <m/>
    <m/>
    <m/>
    <s v="Sem valor liberado para emissão"/>
    <s v="62955505887382"/>
    <m/>
    <x v="0"/>
    <m/>
    <n v="0"/>
    <m/>
  </r>
  <r>
    <x v="0"/>
    <s v="10/364440-8"/>
    <n v="67991120875"/>
    <n v="62955505015199"/>
    <s v="energisa_ms"/>
    <s v="Igreja do Evangelho Quadrangular"/>
    <d v="2025-07-01T00:00:00"/>
    <s v="10/175073-645809"/>
    <s v="SIM"/>
    <n v="2565"/>
    <n v="3099.7895000000003"/>
    <n v="2415.3815967000005"/>
    <s v="Aprovado"/>
    <n v="3021.3294999999998"/>
    <n v="2336.92"/>
    <d v="2025-09-10T00:00:00"/>
    <d v="2025-09-20T00:00:00"/>
    <n v="2336.92"/>
    <m/>
    <s v="629555050151992336,92"/>
    <s v="09/00012683468-6"/>
    <x v="1"/>
    <n v="2336.92"/>
    <n v="0"/>
    <m/>
  </r>
  <r>
    <x v="0"/>
    <s v="10/364440-8"/>
    <s v="Inadimplência"/>
    <n v="62955505015199"/>
    <s v="energisa_ms"/>
    <s v="Igreja do Evangelho Quadrangular"/>
    <d v="2025-08-01T00:00:00"/>
    <s v="10/24514-245839"/>
    <s v="SIM"/>
    <n v="2565"/>
    <n v="3108.5835000000002"/>
    <n v="2433.0722010405912"/>
    <s v="Aprovado"/>
    <n v="2989.5035000000003"/>
    <n v="2313.9899999999998"/>
    <d v="2025-09-10T00:00:00"/>
    <d v="2025-09-20T00:00:00"/>
    <n v="2313.9899999999998"/>
    <m/>
    <s v="629555050151992313,99"/>
    <s v="09/00012749632-9"/>
    <x v="1"/>
    <n v="2313.9899999999998"/>
    <n v="0"/>
    <m/>
  </r>
  <r>
    <x v="0"/>
    <s v="10/364440-8"/>
    <s v="Inadimplência"/>
    <n v="62955505015199"/>
    <s v="energisa_ms"/>
    <s v="Igreja do Evangelho Quadrangular"/>
    <d v="2025-09-01T00:00:00"/>
    <s v="10/2605731-545627"/>
    <s v="SIM"/>
    <n v="2565"/>
    <n v="3219.9539999999997"/>
    <n v="2387.5909945219505"/>
    <s v="Aprovado"/>
    <n v="3099.1339999999996"/>
    <n v="2266.77"/>
    <d v="2025-10-03T00:00:00"/>
    <d v="2025-10-13T00:00:00"/>
    <n v="2266.77"/>
    <m/>
    <s v="629555050151992266,77"/>
    <s v="09/00012851397-3"/>
    <x v="1"/>
    <n v="2266.77"/>
    <n v="0"/>
    <m/>
  </r>
  <r>
    <x v="0"/>
    <s v="10/364440-8"/>
    <n v="67991120875"/>
    <n v="62955505015199"/>
    <s v="energisa_ms"/>
    <s v="Igreja do Evangelho Quadrangular"/>
    <d v="2025-06-01T00:00:00"/>
    <s v="10/395471-645658"/>
    <s v="SIM"/>
    <n v="2579"/>
    <n v="3065.7900000000004"/>
    <n v="2361.0523300925806"/>
    <s v="Aprovado"/>
    <n v="2970.3900000000003"/>
    <n v="2227.79"/>
    <d v="2025-07-22T00:00:00"/>
    <d v="2025-08-02T00:00:00"/>
    <n v="2227.79"/>
    <m/>
    <s v="629555050151992227,79"/>
    <s v="09/00012472737-9"/>
    <x v="1"/>
    <n v="2227.79"/>
    <n v="0"/>
    <s v="05/08/2025"/>
  </r>
  <r>
    <x v="0"/>
    <s v="10/5202-7"/>
    <s v="67 996469842"/>
    <n v="62955505393207"/>
    <s v="energisa_ms"/>
    <s v="Igreja do Evangelho Quadrangular"/>
    <d v="2025-03-01T00:00:00"/>
    <s v="10/63920-345931"/>
    <s v="SIM"/>
    <n v="2733"/>
    <n v="3308.3"/>
    <n v="2597.8525"/>
    <s v="Aprovado"/>
    <n v="2841.79"/>
    <n v="2131.34"/>
    <m/>
    <m/>
    <n v="2131.34"/>
    <m/>
    <s v="629555053932072131,34"/>
    <m/>
    <x v="1"/>
    <n v="2131.34"/>
    <n v="0"/>
    <m/>
  </r>
  <r>
    <x v="0"/>
    <s v="10/364440-8"/>
    <n v="67991120875"/>
    <n v="62955505015199"/>
    <s v="energisa_ms"/>
    <s v="Igreja do Evangelho Quadrangular"/>
    <d v="2025-04-01T00:00:00"/>
    <s v="10/129490-945717"/>
    <s v="SIM"/>
    <n v="2722"/>
    <n v="3042.89"/>
    <n v="2336.3525048500001"/>
    <s v="Aprovado"/>
    <n v="2826.1499805999997"/>
    <n v="2119.61"/>
    <m/>
    <m/>
    <n v="2119.61"/>
    <m/>
    <s v="629555050151992119,61"/>
    <e v="#N/A"/>
    <x v="2"/>
    <n v="0"/>
    <n v="-2119.61"/>
    <m/>
  </r>
  <r>
    <x v="0"/>
    <s v="10/364440-8"/>
    <n v="67991120875"/>
    <n v="62955505015199"/>
    <s v="energisa_ms"/>
    <s v="Igreja do Evangelho Quadrangular"/>
    <d v="2025-03-01T00:00:00"/>
    <s v="10/40190-145658"/>
    <s v="SIM"/>
    <n v="2706"/>
    <n v="3024.93"/>
    <n v="2323.2125000000001"/>
    <s v="Aprovado"/>
    <n v="2806.8699999999994"/>
    <n v="2105.15"/>
    <m/>
    <m/>
    <n v="2105.15"/>
    <m/>
    <s v="629555050151992105,15"/>
    <m/>
    <x v="1"/>
    <n v="2105.15"/>
    <n v="0"/>
    <m/>
  </r>
  <r>
    <x v="0"/>
    <s v="10/364440-8"/>
    <n v="67991120875"/>
    <n v="62955505015199"/>
    <s v="energisa_ms"/>
    <s v="Igreja do Evangelho Quadrangular"/>
    <d v="2025-02-01T00:00:00"/>
    <s v="10/1081489-545839"/>
    <s v="SIM"/>
    <n v="2675"/>
    <n v="2986.0100000000007"/>
    <n v="2292.3025000000007"/>
    <s v="Aprovado"/>
    <n v="2774.83"/>
    <n v="2081.12"/>
    <m/>
    <m/>
    <n v="2081.12"/>
    <m/>
    <s v="629555050151992081,12"/>
    <m/>
    <x v="1"/>
    <n v="2081.12"/>
    <n v="0"/>
    <m/>
  </r>
  <r>
    <x v="0"/>
    <s v="10/364440-8"/>
    <n v="67991120875"/>
    <n v="62955505015199"/>
    <s v="energisa_ms"/>
    <s v="Igreja do Evangelho Quadrangular"/>
    <d v="2025-01-01T00:00:00"/>
    <s v="10/925970-645717"/>
    <s v="SIM"/>
    <n v="2468"/>
    <n v="2959.6100000000006"/>
    <n v="2270.8750000000005"/>
    <s v="Aprovado"/>
    <n v="2754.94"/>
    <n v="2066.21"/>
    <m/>
    <m/>
    <n v="2066.21"/>
    <m/>
    <s v="629555050151992066,21"/>
    <m/>
    <x v="1"/>
    <n v="2066.21"/>
    <n v="0"/>
    <m/>
  </r>
  <r>
    <x v="0"/>
    <s v="10/364440-8"/>
    <n v="67991120875"/>
    <n v="62955505015199"/>
    <s v="energisa_ms"/>
    <s v="Igreja do Evangelho Quadrangular"/>
    <d v="2025-05-01T00:00:00"/>
    <s v="10/1035655-845778"/>
    <s v="SIM"/>
    <n v="2659"/>
    <n v="2986.81"/>
    <n v="2298.085"/>
    <s v="Aprovado"/>
    <n v="2754.8999999999996"/>
    <n v="2066.1799999999998"/>
    <m/>
    <m/>
    <n v="2066.1799999999998"/>
    <m/>
    <s v="629555050151992066,18"/>
    <m/>
    <x v="2"/>
    <n v="0"/>
    <n v="-2066.1799999999998"/>
    <m/>
  </r>
  <r>
    <x v="0"/>
    <s v="10/5202-7"/>
    <s v="67 996469842"/>
    <n v="62955505016160"/>
    <s v="energisa_ms"/>
    <s v="Igreja do Evangelho Quadrangular"/>
    <d v="2025-10-01T00:00:00"/>
    <s v="10/2344751-945778"/>
    <s v="SIM"/>
    <n v="1901"/>
    <n v="2715.2642570918474"/>
    <n v="2062.9084615717707"/>
    <s v="Aprovado"/>
    <n v="2332.5142570918474"/>
    <n v="1680.16"/>
    <d v="2025-11-06T00:00:00"/>
    <d v="2025-11-13T00:00:00"/>
    <n v="1680.16"/>
    <m/>
    <s v="629555050161601680,16"/>
    <s v="09/00013026927-5"/>
    <x v="1"/>
    <n v="1680.16"/>
    <n v="0"/>
    <m/>
  </r>
  <r>
    <x v="0"/>
    <s v="10/5202-7"/>
    <s v="67 996469842"/>
    <n v="62955505393207"/>
    <s v="energisa_ms"/>
    <s v="Igreja do Evangelho Quadrangular"/>
    <d v="2025-04-01T00:00:00"/>
    <s v="10/109074-545748"/>
    <s v="SIM"/>
    <n v="2042"/>
    <n v="2540.4899999999998"/>
    <n v="1993.3099999999997"/>
    <s v="Aprovado"/>
    <n v="2188.7200000000003"/>
    <n v="1641.54"/>
    <m/>
    <m/>
    <n v="1641.54"/>
    <m/>
    <s v="629555053932071641,54"/>
    <m/>
    <x v="1"/>
    <n v="1641.54"/>
    <n v="0"/>
    <m/>
  </r>
  <r>
    <x v="0"/>
    <s v="10/5202-7"/>
    <s v="67 996469842"/>
    <n v="62955505393207"/>
    <s v="energisa_ms"/>
    <s v="Igreja do Evangelho Quadrangular"/>
    <d v="2025-02-01T00:00:00"/>
    <s v="10/3092868-345931"/>
    <s v="SIM"/>
    <n v="1810"/>
    <n v="2324.4"/>
    <n v="1854.2399999999998"/>
    <s v="Aprovado"/>
    <n v="1880.64"/>
    <n v="1410.48"/>
    <m/>
    <m/>
    <n v="1410.48"/>
    <m/>
    <s v="629555053932071410,48"/>
    <m/>
    <x v="1"/>
    <n v="1410.48"/>
    <n v="0"/>
    <m/>
  </r>
  <r>
    <x v="0"/>
    <s v="10/2605731-5"/>
    <n v="67992637973"/>
    <n v="62955505017213"/>
    <s v="energisa_ms"/>
    <s v="Igreja do Evangelho Quadrangular"/>
    <d v="2025-01-01T00:00:00"/>
    <s v="10/202838-945901"/>
    <s v="SIM"/>
    <n v="1682"/>
    <n v="2029.18"/>
    <n v="1593.43"/>
    <s v="Aprovado"/>
    <n v="1743.0000000000002"/>
    <n v="1307.25"/>
    <m/>
    <m/>
    <n v="1307.25"/>
    <m/>
    <s v="629555050172131307,25"/>
    <m/>
    <x v="1"/>
    <n v="1307.25"/>
    <n v="0"/>
    <m/>
  </r>
  <r>
    <x v="0"/>
    <s v="10/364440-8"/>
    <n v="67991120875"/>
    <n v="62955505015199"/>
    <s v="energisa_ms"/>
    <s v="Igreja do Evangelho Quadrangular"/>
    <d v="2025-10-01T00:00:00"/>
    <s v="10/31292-645778"/>
    <s v="SIM"/>
    <n v="1399"/>
    <n v="3275.3773933649286"/>
    <n v="2794.8836086181395"/>
    <s v="Aprovado"/>
    <n v="1718.0173933649287"/>
    <n v="1237.52"/>
    <d v="2025-11-06T00:00:00"/>
    <d v="2025-11-13T00:00:00"/>
    <n v="1237.52"/>
    <m/>
    <s v="629555050151991237,52"/>
    <s v="09/00013026929-1"/>
    <x v="1"/>
    <n v="1237.52"/>
    <n v="0"/>
    <m/>
  </r>
  <r>
    <x v="0"/>
    <s v="10/5202-7"/>
    <s v="67 996469842"/>
    <n v="62955505393207"/>
    <s v="energisa_ms"/>
    <s v="Igreja do Evangelho Quadrangular"/>
    <d v="2025-05-01T00:00:00"/>
    <s v="10/162736-345748"/>
    <s v="SIM"/>
    <n v="1458"/>
    <n v="2221.764890979051"/>
    <n v="1810.298668234288"/>
    <s v="Aprovado"/>
    <n v="1645.8648909790506"/>
    <n v="1234.4000000000001"/>
    <m/>
    <m/>
    <n v="1234.4000000000001"/>
    <m/>
    <s v="629555053932071234,4"/>
    <m/>
    <x v="1"/>
    <n v="1234.4000000000001"/>
    <n v="0"/>
    <m/>
  </r>
  <r>
    <x v="0"/>
    <s v="10/2605731-5"/>
    <n v="67992637973"/>
    <n v="62955505017213"/>
    <s v="energisa_ms"/>
    <s v="Igreja do Evangelho Quadrangular"/>
    <d v="2025-02-01T00:00:00"/>
    <s v="10/399338-345778"/>
    <s v="SIM"/>
    <n v="1500"/>
    <n v="1894.11"/>
    <n v="1506.335"/>
    <s v="Aprovado"/>
    <n v="1551.0999999999997"/>
    <n v="1163.33"/>
    <m/>
    <m/>
    <n v="1163.33"/>
    <m/>
    <s v="629555050172131163,33"/>
    <m/>
    <x v="1"/>
    <n v="1163.33"/>
    <n v="0"/>
    <m/>
  </r>
  <r>
    <x v="0"/>
    <s v="10/2599101-9"/>
    <n v="67991120875"/>
    <n v="62955505379395"/>
    <s v="energisa_ms"/>
    <s v="Igreja do Evangelho Quadrangular"/>
    <d v="2025-03-01T00:00:00"/>
    <s v="10/76927-345658"/>
    <s v="SIM"/>
    <n v="1430"/>
    <n v="1598.22"/>
    <n v="1231.5075000000002"/>
    <s v="Aprovado"/>
    <n v="1466.85"/>
    <n v="1100.1400000000001"/>
    <m/>
    <m/>
    <n v="1100.1400000000001"/>
    <m/>
    <s v="629555053793951100,14"/>
    <m/>
    <x v="1"/>
    <n v="1100.1400000000001"/>
    <n v="0"/>
    <m/>
  </r>
  <r>
    <x v="0"/>
    <s v="10/2605731-5"/>
    <n v="67992637973"/>
    <n v="62955505017213"/>
    <s v="energisa_ms"/>
    <s v="Igreja do Evangelho Quadrangular"/>
    <d v="2025-10-01T00:00:00"/>
    <s v="10/113971-645809"/>
    <s v="SIM"/>
    <n v="1216"/>
    <n v="1692.8924000000002"/>
    <n v="1284.0985796506814"/>
    <s v="Aprovado"/>
    <n v="1461.6524000000002"/>
    <n v="1052.8599999999999"/>
    <d v="2025-11-06T00:00:00"/>
    <d v="2025-11-13T00:00:00"/>
    <n v="1052.8599999999999"/>
    <m/>
    <s v="629555050172131052,86"/>
    <s v="09/00013026934-1"/>
    <x v="1"/>
    <n v="1052.8599999999999"/>
    <n v="0"/>
    <m/>
  </r>
  <r>
    <x v="0"/>
    <s v="10/2599101-9"/>
    <n v="67991120875"/>
    <n v="62955505379395"/>
    <s v="energisa_ms"/>
    <s v="Igreja do Evangelho Quadrangular"/>
    <d v="2025-10-01T00:00:00"/>
    <s v="10/1433087-245809"/>
    <s v="SIM"/>
    <n v="1171"/>
    <n v="1568.9311000000002"/>
    <n v="1165.3788320370852"/>
    <s v="Aprovado"/>
    <n v="1442.9111"/>
    <n v="1039.3599999999999"/>
    <d v="2025-11-06T00:00:00"/>
    <d v="2025-11-13T00:00:00"/>
    <n v="1039.3599999999999"/>
    <m/>
    <s v="629555053793951039,36"/>
    <s v="09/00013026937-4"/>
    <x v="1"/>
    <n v="1039.3599999999999"/>
    <n v="0"/>
    <m/>
  </r>
  <r>
    <x v="0"/>
    <s v="10/5202-7"/>
    <s v="67 996469842"/>
    <n v="62955505393207"/>
    <s v="energisa_ms"/>
    <s v="Igreja do Evangelho Quadrangular"/>
    <d v="2025-01-01T00:00:00"/>
    <s v="10/1674177-945931"/>
    <s v="SIM"/>
    <n v="1233"/>
    <n v="2315.08"/>
    <n v="1970.9925000000003"/>
    <s v="Aprovado"/>
    <n v="1376.35"/>
    <n v="1032.26"/>
    <m/>
    <m/>
    <n v="1032.26"/>
    <m/>
    <s v="629555053932071032,26"/>
    <m/>
    <x v="1"/>
    <n v="1032.26"/>
    <n v="0"/>
    <m/>
  </r>
  <r>
    <x v="0"/>
    <s v="10/18015-8"/>
    <n v="67996266684"/>
    <n v="62955505016080"/>
    <s v="energisa_ms"/>
    <s v="Igreja do Evangelho Quadrangular"/>
    <d v="2025-10-01T00:00:00"/>
    <s v="10/18015-845809"/>
    <s v="SIM"/>
    <n v="1150"/>
    <n v="1509.5350000000001"/>
    <n v="1121.1262716885208"/>
    <s v="Aprovado"/>
    <n v="1388.7650000000003"/>
    <n v="1000.36"/>
    <d v="2025-11-06T00:00:00"/>
    <d v="2025-11-13T00:00:00"/>
    <n v="1000.36"/>
    <m/>
    <s v="629555050160801000,36"/>
    <s v="09/00013026931-7"/>
    <x v="1"/>
    <n v="1000.36"/>
    <n v="0"/>
    <m/>
  </r>
  <r>
    <x v="2"/>
    <s v="10/3170252-5"/>
    <e v="#N/A"/>
    <n v="62955505035629"/>
    <s v="energisa_ms"/>
    <s v="Igreja do Evangelho Quadrangular"/>
    <d v="2025-03-01T00:00:00"/>
    <s v="10/127464-645870"/>
    <s v="SIM"/>
    <n v="1313"/>
    <m/>
    <m/>
    <s v="Aprovado"/>
    <n v="1278.94"/>
    <n v="959.21"/>
    <m/>
    <m/>
    <m/>
    <s v="não emitido pela EGS"/>
    <s v="62955505035629"/>
    <m/>
    <x v="0"/>
    <n v="0"/>
    <n v="0"/>
    <m/>
  </r>
  <r>
    <x v="0"/>
    <s v="10/18015-8"/>
    <n v="67996266684"/>
    <n v="62955505016080"/>
    <s v="energisa_ms"/>
    <s v="Igreja do Evangelho Quadrangular"/>
    <d v="2025-01-01T00:00:00"/>
    <s v="10/2605731-545870"/>
    <s v="SIM"/>
    <n v="1161"/>
    <n v="1414.3000000000002"/>
    <n v="1100.9575"/>
    <s v="Aprovado"/>
    <n v="1253.3699999999999"/>
    <n v="940.03"/>
    <m/>
    <m/>
    <n v="940.03"/>
    <m/>
    <s v="62955505016080940,03"/>
    <m/>
    <x v="1"/>
    <n v="940.03"/>
    <n v="0"/>
    <m/>
  </r>
  <r>
    <x v="0"/>
    <s v="10/2605731-5"/>
    <n v="0"/>
    <n v="62955505017213"/>
    <s v="energisa_ms"/>
    <s v="Igreja do Evangelho Quadrangular"/>
    <d v="2025-09-01T00:00:00"/>
    <s v="10/3005226-045627"/>
    <s v="SIM"/>
    <n v="1005"/>
    <n v="1446.0074999999999"/>
    <n v="1119.9073347752083"/>
    <s v="Aprovado"/>
    <n v="1214.1675"/>
    <n v="888.07"/>
    <d v="2025-10-03T00:00:00"/>
    <d v="2025-10-13T00:00:00"/>
    <n v="888.07"/>
    <m/>
    <s v="62955505017213888,07"/>
    <s v="09/00012851400-5"/>
    <x v="1"/>
    <n v="888.07"/>
    <n v="0"/>
    <m/>
  </r>
  <r>
    <x v="0"/>
    <s v="10/18015-8"/>
    <n v="0"/>
    <n v="62955505016080"/>
    <s v="energisa_ms"/>
    <s v="Igreja do Evangelho Quadrangular"/>
    <d v="2025-09-01T00:00:00"/>
    <s v="10/276283-945627"/>
    <s v="SIM"/>
    <n v="992"/>
    <n v="1319.3932"/>
    <n v="997.48402556372582"/>
    <s v="Aprovado"/>
    <n v="1198.5631999999998"/>
    <n v="876.65"/>
    <d v="2025-10-03T00:00:00"/>
    <d v="2025-10-13T00:00:00"/>
    <n v="876.65"/>
    <m/>
    <s v="62955505016080876,65"/>
    <s v="09/00012851398-1"/>
    <x v="1"/>
    <n v="876.65"/>
    <n v="0"/>
    <m/>
  </r>
  <r>
    <x v="0"/>
    <s v="10/202838-9"/>
    <n v="67992637973"/>
    <n v="62955505016403"/>
    <s v="energisa_ms"/>
    <s v="Igreja do Evangelho Quadrangular"/>
    <d v="2025-03-01T00:00:00"/>
    <s v="10/13786-945931"/>
    <s v="SIM"/>
    <n v="1120"/>
    <n v="1458.5900000000001"/>
    <n v="1170.5725"/>
    <s v="Aprovado"/>
    <n v="1152.0700000000002"/>
    <n v="864.05"/>
    <m/>
    <m/>
    <n v="864.05"/>
    <m/>
    <s v="62955505016403864,05"/>
    <m/>
    <x v="1"/>
    <n v="864.05"/>
    <n v="0"/>
    <m/>
  </r>
  <r>
    <x v="2"/>
    <s v="10/3170252-5"/>
    <e v="#N/A"/>
    <n v="62955505035629"/>
    <s v="energisa_ms"/>
    <s v="Igreja do Evangelho Quadrangular"/>
    <d v="2025-01-01T00:00:00"/>
    <s v="10/202838-945839"/>
    <s v="SIM"/>
    <n v="1119"/>
    <n v="1431.6299999999999"/>
    <n v="1152.2674999999999"/>
    <s v="Aprovado"/>
    <n v="1117.4499999999998"/>
    <n v="838.09"/>
    <m/>
    <m/>
    <n v="838.09"/>
    <s v="Cobrança indevida (Planilha Rubia)"/>
    <s v="62955505035629838,09"/>
    <m/>
    <x v="3"/>
    <n v="0"/>
    <n v="-838.09"/>
    <m/>
  </r>
  <r>
    <x v="0"/>
    <s v="10/2599101-9"/>
    <n v="0"/>
    <n v="62955505379395"/>
    <s v="energisa_ms"/>
    <s v="Igreja do Evangelho Quadrangular"/>
    <d v="2025-09-01T00:00:00"/>
    <s v="10/3092868-345627"/>
    <s v="SIM"/>
    <n v="909"/>
    <n v="1221.2945999999999"/>
    <n v="926.3692042103321"/>
    <s v="Aprovado"/>
    <n v="1098.0945999999999"/>
    <n v="803.17"/>
    <d v="2025-10-03T00:00:00"/>
    <d v="2025-10-13T00:00:00"/>
    <n v="803.17"/>
    <m/>
    <s v="62955505379395803,17"/>
    <s v="09/00012851402-1"/>
    <x v="1"/>
    <n v="803.17"/>
    <n v="0"/>
    <m/>
  </r>
  <r>
    <x v="2"/>
    <s v="10/2247256-7"/>
    <e v="#N/A"/>
    <n v="62955505015199"/>
    <s v="energisa_ms"/>
    <s v="Igreja do Evangelho Quadrangular"/>
    <d v="2025-02-01T00:00:00"/>
    <s v="10/8777-545778"/>
    <s v="SIM"/>
    <n v="936"/>
    <n v="1270.54"/>
    <n v="1024.3024999999998"/>
    <s v="Aprovado"/>
    <n v="984.94999999999993"/>
    <n v="738.71"/>
    <m/>
    <m/>
    <n v="738.71"/>
    <m/>
    <s v="62955505015199738,71"/>
    <m/>
    <x v="2"/>
    <n v="0"/>
    <n v="-738.71"/>
    <m/>
  </r>
  <r>
    <x v="0"/>
    <s v="10/202838-9"/>
    <n v="67992637973"/>
    <n v="62955505016403"/>
    <s v="energisa_ms"/>
    <s v="Igreja do Evangelho Quadrangular"/>
    <d v="2025-02-01T00:00:00"/>
    <s v="10/3139326-745931"/>
    <s v="SIM"/>
    <n v="957"/>
    <n v="1253.9499999999998"/>
    <n v="1008.1474999999998"/>
    <s v="Aprovado"/>
    <n v="983.21000000000015"/>
    <n v="737.41"/>
    <m/>
    <m/>
    <n v="737.41"/>
    <m/>
    <s v="62955505016403737,41"/>
    <m/>
    <x v="1"/>
    <n v="737.41"/>
    <n v="0"/>
    <m/>
  </r>
  <r>
    <x v="0"/>
    <s v="10/18015-8"/>
    <n v="67996266684"/>
    <n v="62955505016080"/>
    <s v="energisa_ms"/>
    <s v="Igreja do Evangelho Quadrangular"/>
    <d v="2025-02-01T00:00:00"/>
    <s v="10/72605-945931"/>
    <s v="SIM"/>
    <n v="875"/>
    <n v="1044.82"/>
    <n v="809.20499999999981"/>
    <s v="Aprovado"/>
    <n v="942.46000000000015"/>
    <n v="706.85"/>
    <m/>
    <m/>
    <n v="706.85"/>
    <m/>
    <s v="62955505016080706,85"/>
    <m/>
    <x v="1"/>
    <n v="706.85"/>
    <n v="0"/>
    <m/>
  </r>
  <r>
    <x v="0"/>
    <s v="10/2599101-9"/>
    <n v="67991120875"/>
    <n v="62955505379395"/>
    <s v="energisa_ms"/>
    <s v="Igreja do Evangelho Quadrangular"/>
    <d v="2025-04-01T00:00:00"/>
    <s v="10/1130988-745901"/>
    <s v="SIM"/>
    <n v="897"/>
    <n v="1038.33"/>
    <n v="803.33249999999998"/>
    <s v="Aprovado"/>
    <n v="939.9899999999999"/>
    <n v="704.99"/>
    <m/>
    <m/>
    <n v="704.99"/>
    <m/>
    <s v="62955505379395704,99"/>
    <m/>
    <x v="1"/>
    <n v="704.99"/>
    <n v="0"/>
    <m/>
  </r>
  <r>
    <x v="0"/>
    <s v="10/5202-7"/>
    <s v="67 996469842"/>
    <n v="62955505393207"/>
    <s v="energisa_ms"/>
    <s v="Igreja do Evangelho Quadrangular"/>
    <d v="2025-06-01T00:00:00"/>
    <s v="10/156956-545901"/>
    <s v="SIM"/>
    <n v="777"/>
    <n v="1804.9056484762582"/>
    <n v="1591.0267140651411"/>
    <s v="Aprovado"/>
    <n v="901.47564847625802"/>
    <n v="676.11"/>
    <d v="2025-07-22T00:00:00"/>
    <d v="2025-08-02T00:00:00"/>
    <n v="676.11"/>
    <m/>
    <s v="62955505393207676,11"/>
    <s v="09/00012472738-7"/>
    <x v="1"/>
    <n v="676.11"/>
    <n v="0"/>
    <s v="01/08/2025"/>
  </r>
  <r>
    <x v="0"/>
    <s v="10/5202-7"/>
    <n v="0"/>
    <n v="62955505016160"/>
    <s v="energisa_ms"/>
    <s v="Igreja do Evangelho Quadrangular"/>
    <d v="2025-09-01T00:00:00"/>
    <s v="10/2599101-945627"/>
    <s v="SIM"/>
    <n v="765"/>
    <n v="1196.3858608643577"/>
    <n v="948.1553103558449"/>
    <s v="Aprovado"/>
    <n v="924.23586086435762"/>
    <n v="676.01"/>
    <d v="2025-10-03T00:00:00"/>
    <d v="2025-10-13T00:00:00"/>
    <n v="676.01"/>
    <m/>
    <s v="62955505016160676,01"/>
    <s v="09/00012851396-5"/>
    <x v="1"/>
    <n v="676.01"/>
    <n v="0"/>
    <m/>
  </r>
  <r>
    <x v="0"/>
    <s v="10/191945-5"/>
    <s v="67 81355403"/>
    <n v="62955505215791"/>
    <s v="energisa_ms"/>
    <s v="Igreja do Evangelho Quadrangular"/>
    <d v="2025-10-01T00:00:00"/>
    <s v="10/452884-045809"/>
    <s v="SIM"/>
    <n v="772"/>
    <n v="1233.0264000000002"/>
    <n v="973.53821881509725"/>
    <s v="Aprovado"/>
    <n v="927.80640000000005"/>
    <n v="668.32"/>
    <d v="2025-11-06T00:00:00"/>
    <d v="2025-11-13T00:00:00"/>
    <n v="668.32"/>
    <m/>
    <s v="62955505215791668,32"/>
    <s v="09/00013026938-2"/>
    <x v="1"/>
    <n v="668.32"/>
    <n v="0"/>
    <m/>
  </r>
  <r>
    <x v="0"/>
    <s v="10/29964-4"/>
    <n v="67996266684"/>
    <n v="62955505067660"/>
    <s v="energisa_ms"/>
    <s v="Igreja do Evangelho Quadrangular"/>
    <d v="2025-05-01T00:00:00"/>
    <s v="10/399338-345839"/>
    <s v="SIM"/>
    <n v="762"/>
    <n v="948.50891891891888"/>
    <n v="738.74418918918923"/>
    <s v="Aprovado"/>
    <n v="839.05891891891895"/>
    <n v="629.29"/>
    <m/>
    <m/>
    <n v="629.29"/>
    <m/>
    <s v="62955505067660629,29"/>
    <m/>
    <x v="1"/>
    <n v="629.29"/>
    <n v="0"/>
    <m/>
  </r>
  <r>
    <x v="2"/>
    <s v="10/3170252-5"/>
    <e v="#N/A"/>
    <n v="62955505035629"/>
    <s v="energisa_ms"/>
    <s v="Igreja do Evangelho Quadrangular"/>
    <d v="2025-02-01T00:00:00"/>
    <s v="10/532723-445689"/>
    <s v="SIM"/>
    <n v="849"/>
    <n v="1118.3200000000002"/>
    <n v="911.57500000000005"/>
    <s v="Aprovado"/>
    <n v="826.98000000000013"/>
    <n v="620.24"/>
    <m/>
    <m/>
    <n v="620.24"/>
    <m/>
    <s v="62955505035629620,24"/>
    <m/>
    <x v="3"/>
    <s v="NÃO IRA PAGAR"/>
    <n v="0"/>
    <m/>
  </r>
  <r>
    <x v="0"/>
    <s v="10/2599101-9"/>
    <n v="67991120875"/>
    <n v="62955505379395"/>
    <s v="energisa_ms"/>
    <s v="Igreja do Evangelho Quadrangular"/>
    <d v="2025-02-01T00:00:00"/>
    <s v="10/191945-545839"/>
    <s v="SIM"/>
    <n v="804"/>
    <n v="946.01"/>
    <n v="739.95"/>
    <s v="Aprovado"/>
    <n v="824.24000000000012"/>
    <n v="618.17999999999995"/>
    <m/>
    <m/>
    <n v="618.17999999999995"/>
    <m/>
    <s v="62955505379395618,18"/>
    <m/>
    <x v="1"/>
    <n v="618.17999999999995"/>
    <n v="0"/>
    <m/>
  </r>
  <r>
    <x v="0"/>
    <s v="10/29964-4"/>
    <n v="67996266684"/>
    <n v="62955505067660"/>
    <s v="energisa_ms"/>
    <s v="Igreja do Evangelho Quadrangular"/>
    <d v="2025-10-01T00:00:00"/>
    <s v="10/135237-645809"/>
    <s v="SIM"/>
    <n v="697"/>
    <n v="973.79890000000012"/>
    <n v="735.6215770780243"/>
    <s v="Aprovado"/>
    <n v="851.60889999999995"/>
    <n v="613.42999999999995"/>
    <d v="2025-11-06T00:00:00"/>
    <d v="2025-11-13T00:00:00"/>
    <n v="613.42999999999995"/>
    <m/>
    <s v="62955505067660613,43"/>
    <s v="09/00013026942-4"/>
    <x v="1"/>
    <n v="613.42999999999995"/>
    <n v="0"/>
    <m/>
  </r>
  <r>
    <x v="0"/>
    <s v="10/202838-9"/>
    <n v="67992637973"/>
    <n v="62955505016403"/>
    <s v="energisa_ms"/>
    <s v="Igreja do Evangelho Quadrangular"/>
    <d v="2025-10-01T00:00:00"/>
    <s v="10/513413-545809"/>
    <s v="SIM"/>
    <n v="700"/>
    <n v="1154.79"/>
    <n v="917.09621450183442"/>
    <s v="Aprovado"/>
    <n v="849.88"/>
    <n v="612.29"/>
    <d v="2025-11-06T00:00:00"/>
    <d v="2025-11-13T00:00:00"/>
    <n v="612.29"/>
    <m/>
    <s v="62955505016403612,29"/>
    <s v="09/00013026932-5"/>
    <x v="1"/>
    <n v="612.29"/>
    <n v="0"/>
    <m/>
  </r>
  <r>
    <x v="0"/>
    <s v="10/18015-8"/>
    <n v="0"/>
    <n v="62955505016080"/>
    <s v="energisa_ms"/>
    <s v="Igreja do Evangelho Quadrangular"/>
    <d v="2025-08-01T00:00:00"/>
    <s v="10/218777-145809"/>
    <s v="SIM"/>
    <n v="663"/>
    <n v="905.52359999999999"/>
    <n v="727.72986696007945"/>
    <s v="Aprovado"/>
    <n v="786.83360000000005"/>
    <n v="609.04"/>
    <d v="2025-09-10T00:00:00"/>
    <d v="2025-09-20T00:00:00"/>
    <n v="609.04"/>
    <m/>
    <s v="62955505016080609,04"/>
    <s v="09/00012749634-5"/>
    <x v="1"/>
    <n v="609.04"/>
    <n v="0"/>
    <m/>
  </r>
  <r>
    <x v="0"/>
    <s v="10/2605731-5"/>
    <n v="67992637973"/>
    <n v="62955505017213"/>
    <s v="energisa_ms"/>
    <s v="Igreja do Evangelho Quadrangular"/>
    <d v="2025-03-01T00:00:00"/>
    <s v="10/3092868-345658"/>
    <s v="SIM"/>
    <n v="722"/>
    <n v="1190.3500000000001"/>
    <n v="988.86500000000001"/>
    <s v="Aprovado"/>
    <n v="805.94"/>
    <n v="604.46"/>
    <m/>
    <m/>
    <n v="604.46"/>
    <m/>
    <s v="62955505017213604,46"/>
    <m/>
    <x v="1"/>
    <n v="604.46"/>
    <n v="0"/>
    <m/>
  </r>
  <r>
    <x v="0"/>
    <s v="10/202838-9"/>
    <n v="67992637973"/>
    <n v="62955505016403"/>
    <s v="energisa_ms"/>
    <s v="Igreja do Evangelho Quadrangular"/>
    <d v="2025-05-01T00:00:00"/>
    <s v="10/239312-245809"/>
    <s v="SIM"/>
    <n v="700"/>
    <n v="1093.93"/>
    <n v="895.25"/>
    <s v="Aprovado"/>
    <n v="794.72"/>
    <n v="596.04"/>
    <m/>
    <m/>
    <n v="596.04"/>
    <m/>
    <s v="62955505016403596,04"/>
    <m/>
    <x v="1"/>
    <n v="596.04"/>
    <n v="0"/>
    <m/>
  </r>
  <r>
    <x v="2"/>
    <s v="10/3170252-5"/>
    <e v="#N/A"/>
    <s v="#ND"/>
    <s v="energisa_ms"/>
    <s v="Igreja do Evangelho Quadrangular"/>
    <d v="2025-10-01T00:00:00"/>
    <s v="10/3054052-045870"/>
    <s v="SIM"/>
    <n v="833"/>
    <m/>
    <m/>
    <s v="Não emitido"/>
    <n v="817.36999999999989"/>
    <n v="588.77"/>
    <s v="-"/>
    <s v="-"/>
    <s v="-"/>
    <s v="Pendente dado cadastral"/>
    <s v="#ND-"/>
    <e v="#N/A"/>
    <x v="0"/>
    <m/>
    <n v="0"/>
    <m/>
  </r>
  <r>
    <x v="0"/>
    <s v="10/191945-5"/>
    <s v="67 81355403"/>
    <n v="62955505215791"/>
    <s v="energisa_ms"/>
    <s v="Igreja do Evangelho Quadrangular"/>
    <d v="2025-01-01T00:00:00"/>
    <s v="10/191945-545901"/>
    <s v="SIM"/>
    <n v="718"/>
    <n v="1173.96"/>
    <n v="979.17"/>
    <s v="Aprovado"/>
    <n v="779.16000000000008"/>
    <n v="584.37"/>
    <m/>
    <m/>
    <n v="584.37"/>
    <m/>
    <s v="62955505215791584,37"/>
    <m/>
    <x v="1"/>
    <n v="584.37"/>
    <n v="0"/>
    <m/>
  </r>
  <r>
    <x v="0"/>
    <s v="10/29964-4"/>
    <n v="67996266684"/>
    <n v="62955505067660"/>
    <s v="energisa_ms"/>
    <s v="Igreja do Evangelho Quadrangular"/>
    <d v="2025-02-01T00:00:00"/>
    <s v="10/3030784-745748"/>
    <s v="SIM"/>
    <n v="738"/>
    <n v="863.99"/>
    <n v="672.0100000000001"/>
    <s v="Aprovado"/>
    <n v="767.91999999999985"/>
    <n v="575.94000000000005"/>
    <m/>
    <m/>
    <n v="575.94000000000005"/>
    <m/>
    <s v="62955505067660575,94"/>
    <m/>
    <x v="1"/>
    <n v="575.94000000000005"/>
    <n v="0"/>
    <m/>
  </r>
  <r>
    <x v="0"/>
    <s v="10/5202-7"/>
    <n v="0"/>
    <n v="62955505016160"/>
    <s v="energisa_ms"/>
    <s v="Igreja do Evangelho Quadrangular"/>
    <d v="2025-08-01T00:00:00"/>
    <s v="10/10232-745658"/>
    <s v="SIM"/>
    <n v="617"/>
    <n v="988.17126107295712"/>
    <n v="825.5151861387842"/>
    <s v="Aprovado"/>
    <n v="719.84126107295708"/>
    <n v="557.19000000000005"/>
    <d v="2025-09-10T00:00:00"/>
    <d v="2025-09-20T00:00:00"/>
    <n v="557.19000000000005"/>
    <m/>
    <s v="62955505016160557,19"/>
    <s v="09/00012749630-3"/>
    <x v="1"/>
    <n v="557.19000000000005"/>
    <n v="0"/>
    <m/>
  </r>
  <r>
    <x v="0"/>
    <s v="10/2605731-5"/>
    <n v="67992637973"/>
    <n v="62955505017213"/>
    <s v="energisa_ms"/>
    <s v="Igreja do Evangelho Quadrangular"/>
    <d v="2025-04-01T00:00:00"/>
    <s v="10/510330-445870"/>
    <s v="SIM"/>
    <n v="655"/>
    <n v="1242.25"/>
    <n v="1058.4825000000001"/>
    <s v="Aprovado"/>
    <n v="735.07"/>
    <n v="551.29999999999995"/>
    <m/>
    <m/>
    <n v="551.29999999999995"/>
    <m/>
    <s v="62955505017213551,3"/>
    <m/>
    <x v="1"/>
    <n v="551.29999999999995"/>
    <n v="0"/>
    <m/>
  </r>
  <r>
    <x v="0"/>
    <s v="10/1695011-5"/>
    <n v="67991767866"/>
    <n v="62955505461210"/>
    <s v="energisa_ms"/>
    <s v="Igreja do Evangelho Quadrangular"/>
    <d v="2025-10-01T00:00:00"/>
    <s v="10/237441-145809"/>
    <s v="SIM"/>
    <n v="659"/>
    <n v="1052.9194"/>
    <n v="827.19325663688608"/>
    <s v="Aprovado"/>
    <n v="807.08940000000007"/>
    <n v="533.85"/>
    <d v="2025-11-06T00:00:00"/>
    <d v="2025-11-13T00:00:00"/>
    <n v="533.85"/>
    <m/>
    <s v="62955505461210533,85"/>
    <s v="09/00013026935-8"/>
    <x v="1"/>
    <n v="533.85"/>
    <n v="0"/>
    <m/>
  </r>
  <r>
    <x v="0"/>
    <s v="10/2605731-5"/>
    <n v="0"/>
    <n v="62955505017213"/>
    <s v="energisa_ms"/>
    <s v="Igreja do Evangelho Quadrangular"/>
    <d v="2025-08-01T00:00:00"/>
    <s v="10/987178-145931"/>
    <s v="SIM"/>
    <n v="576"/>
    <n v="868.37760000000003"/>
    <n v="713.53382523579694"/>
    <s v="Aprovado"/>
    <n v="685.26760000000013"/>
    <n v="530.41999999999996"/>
    <d v="2025-09-10T00:00:00"/>
    <d v="2025-09-20T00:00:00"/>
    <n v="530.41999999999996"/>
    <m/>
    <s v="62955505017213530,42"/>
    <s v="09/00012749633-7"/>
    <x v="1"/>
    <n v="530.41999999999996"/>
    <n v="0"/>
    <m/>
  </r>
  <r>
    <x v="0"/>
    <s v="10/191945-5"/>
    <n v="0"/>
    <n v="62955505215791"/>
    <s v="energisa_ms"/>
    <s v="Igreja do Evangelho Quadrangular"/>
    <d v="2025-09-01T00:00:00"/>
    <s v="10/3214521-145627"/>
    <s v="SIM"/>
    <n v="599"/>
    <n v="969.73050000000001"/>
    <n v="775.37032431035641"/>
    <s v="Aprovado"/>
    <n v="723.66049999999996"/>
    <n v="529.29999999999995"/>
    <d v="2025-10-03T00:00:00"/>
    <d v="2025-10-13T00:00:00"/>
    <n v="529.29999999999995"/>
    <m/>
    <s v="62955505215791529,3"/>
    <s v="09/00012851403-9"/>
    <x v="1"/>
    <n v="529.29999999999995"/>
    <n v="0"/>
    <m/>
  </r>
  <r>
    <x v="0"/>
    <s v="10/191945-5"/>
    <s v="67 81355403"/>
    <n v="62955505215791"/>
    <s v="energisa_ms"/>
    <s v="Igreja do Evangelho Quadrangular"/>
    <d v="2025-02-01T00:00:00"/>
    <s v="10/2247256-745717"/>
    <s v="SIM"/>
    <n v="650"/>
    <n v="1147.2"/>
    <n v="970.92499999999995"/>
    <s v="Aprovado"/>
    <n v="705.10000000000014"/>
    <n v="528.83000000000004"/>
    <m/>
    <m/>
    <n v="528.83000000000004"/>
    <m/>
    <s v="62955505215791528,83"/>
    <m/>
    <x v="1"/>
    <n v="528.83000000000004"/>
    <n v="0"/>
    <m/>
  </r>
  <r>
    <x v="0"/>
    <s v="10/29964-4"/>
    <n v="67996266684"/>
    <n v="62955505067660"/>
    <s v="energisa_ms"/>
    <s v="Igreja do Evangelho Quadrangular"/>
    <d v="2025-03-01T00:00:00"/>
    <s v="10/931327-145658"/>
    <s v="SIM"/>
    <n v="673"/>
    <n v="798.13"/>
    <n v="622.97749999999996"/>
    <s v="Aprovado"/>
    <n v="700.61000000000013"/>
    <n v="525.46"/>
    <m/>
    <m/>
    <n v="525.46"/>
    <m/>
    <s v="62955505067660525,46"/>
    <m/>
    <x v="1"/>
    <n v="525.46"/>
    <n v="0"/>
    <m/>
  </r>
  <r>
    <x v="0"/>
    <s v="10/29964-4"/>
    <n v="67996266684"/>
    <n v="62955505067660"/>
    <s v="energisa_ms"/>
    <s v="Igreja do Evangelho Quadrangular"/>
    <d v="2025-04-01T00:00:00"/>
    <s v="10/480529-745748"/>
    <s v="SIM"/>
    <n v="646"/>
    <n v="776.09"/>
    <n v="607.78250000000003"/>
    <s v="Aprovado"/>
    <n v="673.23"/>
    <n v="504.92"/>
    <m/>
    <m/>
    <n v="504.92"/>
    <m/>
    <s v="62955505067660504,92"/>
    <m/>
    <x v="1"/>
    <n v="504.92"/>
    <n v="0"/>
    <m/>
  </r>
  <r>
    <x v="1"/>
    <s v="10/61344-8"/>
    <n v="67999998719"/>
    <n v="62955505015431"/>
    <s v="energisa_ms"/>
    <s v="Igreja do Evangelho Quadrangular"/>
    <d v="2025-03-01T00:00:00"/>
    <s v="10/1433087-245717"/>
    <s v="SIM"/>
    <n v="602"/>
    <n v="1138.57"/>
    <n v="970.57249999999999"/>
    <s v="Aprovado"/>
    <n v="671.99"/>
    <n v="503.99"/>
    <m/>
    <m/>
    <n v="503.99"/>
    <m/>
    <s v="62955505015431503,99"/>
    <m/>
    <x v="1"/>
    <n v="503.99"/>
    <n v="0"/>
    <m/>
  </r>
  <r>
    <x v="2"/>
    <s v="10/2247256-7"/>
    <e v="#N/A"/>
    <s v="#ND"/>
    <s v="energisa_ms"/>
    <s v="Igreja do Evangelho Quadrangular"/>
    <d v="2025-10-01T00:00:00"/>
    <s v="10/505854-045870"/>
    <s v="SIM"/>
    <n v="629"/>
    <m/>
    <m/>
    <s v="Não emitido"/>
    <n v="680.30857142857144"/>
    <n v="490.04"/>
    <s v="-"/>
    <s v="-"/>
    <s v="-"/>
    <s v="Pendente dado cadastral"/>
    <s v="#ND-"/>
    <e v="#N/A"/>
    <x v="0"/>
    <m/>
    <n v="0"/>
    <m/>
  </r>
  <r>
    <x v="0"/>
    <s v="10/2599101-9"/>
    <n v="67991120875"/>
    <n v="62955505379395"/>
    <s v="energisa_ms"/>
    <s v="Igreja do Evangelho Quadrangular"/>
    <d v="2025-05-01T00:00:00"/>
    <s v="10/63920-345809"/>
    <s v="SIM"/>
    <n v="575"/>
    <n v="759.38250000000005"/>
    <n v="597.66437499999995"/>
    <s v="Aprovado"/>
    <n v="646.87250000000006"/>
    <n v="485.15"/>
    <m/>
    <m/>
    <n v="485.15"/>
    <m/>
    <s v="62955505379395485,15"/>
    <m/>
    <x v="2"/>
    <n v="0"/>
    <n v="-485.15"/>
    <m/>
  </r>
  <r>
    <x v="0"/>
    <s v="10/513413-5"/>
    <n v="67992637973"/>
    <n v="62955505321630"/>
    <s v="energisa_ms"/>
    <s v="Igreja do Evangelho Quadrangular"/>
    <d v="2025-10-01T00:00:00"/>
    <s v="10/987178-145809"/>
    <s v="SIM"/>
    <n v="545"/>
    <n v="917.94100000000014"/>
    <n v="730.16967769385815"/>
    <s v="Aprovado"/>
    <n v="671.38100000000009"/>
    <n v="483.61"/>
    <d v="2025-11-06T00:00:00"/>
    <d v="2025-11-13T00:00:00"/>
    <n v="483.61"/>
    <m/>
    <s v="62955505321630483,61"/>
    <s v="09/00013026943-2"/>
    <x v="1"/>
    <n v="483.61"/>
    <n v="0"/>
    <m/>
  </r>
  <r>
    <x v="0"/>
    <s v="10/202838-9"/>
    <n v="0"/>
    <n v="62955505016403"/>
    <s v="energisa_ms"/>
    <s v="Igreja do Evangelho Quadrangular"/>
    <d v="2025-09-01T00:00:00"/>
    <s v="10/29964-445627"/>
    <s v="SIM"/>
    <n v="540"/>
    <n v="904.2059999999999"/>
    <n v="729.00210318833297"/>
    <s v="Aprovado"/>
    <n v="652.33600000000001"/>
    <n v="477.13"/>
    <d v="2025-10-03T00:00:00"/>
    <d v="2025-10-13T00:00:00"/>
    <n v="477.13"/>
    <m/>
    <s v="62955505016403477,13"/>
    <s v="09/00012851399-9"/>
    <x v="1"/>
    <n v="477.13"/>
    <n v="0"/>
    <m/>
  </r>
  <r>
    <x v="0"/>
    <s v="10/510330-4"/>
    <n v="67992637973"/>
    <n v="62955505367117"/>
    <s v="energisa_ms"/>
    <s v="Igreja do Evangelho Quadrangular"/>
    <d v="2025-02-01T00:00:00"/>
    <s v="10/1695011-545717"/>
    <s v="SIM"/>
    <n v="606"/>
    <n v="889.87"/>
    <n v="732.4525000000001"/>
    <s v="Aprovado"/>
    <n v="629.67000000000007"/>
    <n v="472.25"/>
    <m/>
    <m/>
    <n v="472.25"/>
    <m/>
    <s v="62955505367117472,25"/>
    <m/>
    <x v="1"/>
    <n v="472.25"/>
    <n v="0"/>
    <m/>
  </r>
  <r>
    <x v="0"/>
    <s v="10/3030784-7"/>
    <n v="67996266684"/>
    <n v="62955505016080"/>
    <s v="energisa_ms"/>
    <s v="Igreja do Evangelho Quadrangular"/>
    <d v="2025-02-01T00:00:00"/>
    <s v="10/3092868-345748"/>
    <s v="SIM"/>
    <n v="583"/>
    <n v="822.51"/>
    <n v="667.21"/>
    <s v="Aprovado"/>
    <n v="621.19999999999993"/>
    <n v="465.9"/>
    <m/>
    <m/>
    <n v="465.9"/>
    <m/>
    <s v="62955505016080465,9"/>
    <m/>
    <x v="1"/>
    <n v="465.9"/>
    <n v="0"/>
    <m/>
  </r>
  <r>
    <x v="0"/>
    <s v="10/276283-9"/>
    <s v="46 999066691"/>
    <n v="62955505177504"/>
    <s v="energisa_ms"/>
    <s v="Igreja do Evangelho Quadrangular"/>
    <d v="2025-01-01T00:00:00"/>
    <s v="10/510330-445689"/>
    <s v="SIM"/>
    <n v="589"/>
    <n v="836.99"/>
    <n v="683.34249999999997"/>
    <s v="Aprovado"/>
    <n v="614.59"/>
    <n v="460.94"/>
    <m/>
    <m/>
    <n v="460.94"/>
    <m/>
    <s v="62955505177504460,94"/>
    <m/>
    <x v="1"/>
    <n v="460.94"/>
    <n v="0"/>
    <m/>
  </r>
  <r>
    <x v="0"/>
    <s v="10/29964-4"/>
    <n v="67996266684"/>
    <n v="62955505067660"/>
    <s v="energisa_ms"/>
    <s v="Igreja do Evangelho Quadrangular"/>
    <d v="2025-01-01T00:00:00"/>
    <s v="10/3030784-745689"/>
    <s v="SIM"/>
    <n v="547"/>
    <n v="876.26"/>
    <n v="723.61500000000001"/>
    <s v="Aprovado"/>
    <n v="610.57999999999993"/>
    <n v="457.94"/>
    <m/>
    <m/>
    <n v="457.94"/>
    <m/>
    <s v="62955505067660457,94"/>
    <m/>
    <x v="1"/>
    <n v="457.94"/>
    <n v="0"/>
    <m/>
  </r>
  <r>
    <x v="0"/>
    <s v="10/127464-6"/>
    <n v="67996150274"/>
    <n v="62955505331198"/>
    <s v="energisa_ms"/>
    <s v="Igreja do Evangelho Quadrangular"/>
    <d v="2025-10-01T00:00:00"/>
    <s v="10/127464-645717"/>
    <s v="SIM"/>
    <n v="576"/>
    <n v="826.11800000000017"/>
    <n v="652.25876171987966"/>
    <s v="Aprovado"/>
    <n v="621.63799999999992"/>
    <n v="447.78"/>
    <d v="2025-11-06T00:00:00"/>
    <d v="2025-11-13T00:00:00"/>
    <n v="447.78"/>
    <m/>
    <s v="62955505331198447,78"/>
    <s v="09/00013026871-5"/>
    <x v="1"/>
    <n v="447.78"/>
    <n v="0"/>
    <m/>
  </r>
  <r>
    <x v="0"/>
    <s v="10/3092868-3"/>
    <s v=" 67 91285460"/>
    <n v="62955505419443"/>
    <s v="energisa_ms"/>
    <s v="Igreja do Evangelho Quadrangular"/>
    <d v="2025-03-01T00:00:00"/>
    <s v="10/61344-845931"/>
    <s v="SIM"/>
    <n v="568"/>
    <n v="690.96"/>
    <n v="543.30000000000007"/>
    <s v="Aprovado"/>
    <n v="590.64"/>
    <n v="442.98"/>
    <m/>
    <m/>
    <n v="442.98"/>
    <m/>
    <s v="62955505419443442,98"/>
    <m/>
    <x v="1"/>
    <n v="442.98"/>
    <n v="0"/>
    <m/>
  </r>
  <r>
    <x v="2"/>
    <s v="10/925970-6"/>
    <e v="#N/A"/>
    <n v="62955505057789"/>
    <s v="energisa_ms"/>
    <s v="Igreja do Evangelho Quadrangular"/>
    <d v="2025-03-01T00:00:00"/>
    <s v="10/2599101-945870"/>
    <s v="SIM"/>
    <n v="602"/>
    <n v="1109.56"/>
    <n v="962.96249999999986"/>
    <s v="Aprovado"/>
    <n v="586.3900000000001"/>
    <n v="439.79"/>
    <m/>
    <m/>
    <n v="439.79"/>
    <m/>
    <s v="62955505057789439,79"/>
    <m/>
    <x v="2"/>
    <n v="0"/>
    <n v="-439.79"/>
    <m/>
  </r>
  <r>
    <x v="0"/>
    <s v="10/202838-9"/>
    <n v="67992637973"/>
    <n v="62955505016403"/>
    <s v="energisa_ms"/>
    <s v="Igreja do Evangelho Quadrangular"/>
    <d v="2025-04-01T00:00:00"/>
    <s v="10/1672452-845809"/>
    <s v="SIM"/>
    <n v="523"/>
    <n v="1079.03"/>
    <n v="933.06999999999994"/>
    <s v="Aprovado"/>
    <n v="583.83999999999992"/>
    <n v="437.88"/>
    <m/>
    <m/>
    <n v="437.88"/>
    <m/>
    <s v="62955505016403437,88"/>
    <m/>
    <x v="1"/>
    <n v="437.88"/>
    <n v="0"/>
    <m/>
  </r>
  <r>
    <x v="0"/>
    <s v="10/1672452-8"/>
    <n v="67992637973"/>
    <n v="62955505017213"/>
    <s v="energisa_ms"/>
    <s v="Igreja do Evangelho Quadrangular"/>
    <d v="2025-10-01T00:00:00"/>
    <s v="10/505854-045809"/>
    <s v="SIM"/>
    <n v="487"/>
    <n v="785.05190000000005"/>
    <n v="618.63663212063943"/>
    <s v="Aprovado"/>
    <n v="595.02189999999996"/>
    <n v="428.75"/>
    <d v="2025-11-06T00:00:00"/>
    <d v="2025-11-13T00:00:00"/>
    <n v="428.75"/>
    <m/>
    <s v="62955505017213428,75"/>
    <s v="09/00013026954-9"/>
    <x v="1"/>
    <n v="428.75"/>
    <n v="0"/>
    <m/>
  </r>
  <r>
    <x v="2"/>
    <s v="10/2247256-7"/>
    <e v="#N/A"/>
    <n v="62955505015199"/>
    <s v="energisa_ms"/>
    <s v="Igreja do Evangelho Quadrangular"/>
    <d v="2025-01-01T00:00:00"/>
    <s v="10/925970-645931"/>
    <s v="SIM"/>
    <n v="576"/>
    <n v="821.29"/>
    <n v="678.61749999999995"/>
    <s v="Aprovado"/>
    <n v="570.68999999999994"/>
    <n v="428.02"/>
    <m/>
    <m/>
    <n v="428.02"/>
    <m/>
    <s v="62955505015199428,02"/>
    <m/>
    <x v="2"/>
    <n v="0"/>
    <n v="-428.02"/>
    <m/>
  </r>
  <r>
    <x v="0"/>
    <s v="10/3030784-7"/>
    <n v="67996266684"/>
    <n v="62955505016080"/>
    <s v="energisa_ms"/>
    <s v="Igreja do Evangelho Quadrangular"/>
    <d v="2025-03-01T00:00:00"/>
    <s v="10/3040565-845870"/>
    <s v="SIM"/>
    <n v="548"/>
    <n v="746.1"/>
    <n v="603.62750000000005"/>
    <s v="Aprovado"/>
    <n v="569.89"/>
    <n v="427.42"/>
    <m/>
    <m/>
    <n v="427.42"/>
    <m/>
    <s v="62955505016080427,42"/>
    <m/>
    <x v="1"/>
    <n v="427.42"/>
    <n v="0"/>
    <m/>
  </r>
  <r>
    <x v="1"/>
    <s v="10/1081489-5"/>
    <n v="67996446178"/>
    <n v="62955505016918"/>
    <s v="energisa_ms"/>
    <s v="Igreja do Evangelho Quadrangular"/>
    <d v="2025-09-01T00:00:00"/>
    <s v="10/504844-245689"/>
    <s v="SIM"/>
    <n v="386"/>
    <n v="467.83"/>
    <n v="369.16205039779788"/>
    <s v="Aprovado"/>
    <n v="367.37"/>
    <n v="268.7"/>
    <d v="2025-10-03T00:00:00"/>
    <d v="2025-10-13T00:00:00"/>
    <n v="268.7"/>
    <m/>
    <s v="62955505016918268,7"/>
    <s v="09/00012851434-4"/>
    <x v="2"/>
    <m/>
    <n v="0"/>
    <m/>
  </r>
  <r>
    <x v="0"/>
    <s v="10/15297-5"/>
    <n v="67996266684"/>
    <n v="62955505312487"/>
    <s v="energisa_ms"/>
    <s v="Igreja do Evangelho Quadrangular"/>
    <d v="2025-10-01T00:00:00"/>
    <s v="10/24514-245717"/>
    <s v="SIM"/>
    <n v="555"/>
    <n v="687.20749999999998"/>
    <n v="522.09676792931555"/>
    <s v="Aprovado"/>
    <n v="590.35749999999996"/>
    <n v="425.25"/>
    <d v="2025-11-06T00:00:00"/>
    <d v="2025-11-13T00:00:00"/>
    <n v="425.25"/>
    <m/>
    <s v="62955505312487425,25"/>
    <s v="09/00013026873-1"/>
    <x v="1"/>
    <n v="425.25"/>
    <n v="0"/>
    <m/>
  </r>
  <r>
    <x v="0"/>
    <s v="10/1674177-9"/>
    <n v="6784548587"/>
    <n v="62955505016160"/>
    <s v="energisa_ms"/>
    <s v="Igreja do Evangelho Quadrangular"/>
    <d v="2025-10-01T00:00:00"/>
    <s v="10/41548-945717"/>
    <s v="SIM"/>
    <n v="873"/>
    <n v="1120.8800000000001"/>
    <n v="881.30677006432825"/>
    <s v="Aprovado"/>
    <n v="856.59999999999991"/>
    <n v="424.53"/>
    <d v="2025-11-06T00:00:00"/>
    <d v="2025-11-13T00:00:00"/>
    <n v="424.53"/>
    <m/>
    <s v="62955505016160424,53"/>
    <s v="09/00013026879-8"/>
    <x v="1"/>
    <n v="424.53"/>
    <n v="0"/>
    <m/>
  </r>
  <r>
    <x v="1"/>
    <s v="10/1939035-0"/>
    <s v=" 67 91285460"/>
    <n v="62955505419443"/>
    <s v="energisa_ms"/>
    <s v="Igreja do Evangelho Quadrangular"/>
    <d v="2025-03-01T00:00:00"/>
    <s v="10/1695011-545658"/>
    <s v="SIM"/>
    <n v="543"/>
    <n v="657.72"/>
    <n v="516.67999999999995"/>
    <s v="Aprovado"/>
    <n v="564.16000000000008"/>
    <n v="423.12"/>
    <m/>
    <m/>
    <n v="423.12"/>
    <m/>
    <s v="62955505419443423,12"/>
    <m/>
    <x v="1"/>
    <n v="423.12"/>
    <n v="0"/>
    <m/>
  </r>
  <r>
    <x v="0"/>
    <s v="10/510330-4"/>
    <n v="67992637973"/>
    <n v="62955505367117"/>
    <s v="energisa_ms"/>
    <s v="Igreja do Evangelho Quadrangular"/>
    <d v="2025-03-01T00:00:00"/>
    <s v="10/1081489-545778"/>
    <s v="SIM"/>
    <n v="542"/>
    <n v="1025.94"/>
    <n v="884.96"/>
    <s v="Aprovado"/>
    <n v="563.91999999999996"/>
    <n v="422.94"/>
    <m/>
    <m/>
    <n v="422.94"/>
    <m/>
    <s v="62955505367117422,94"/>
    <m/>
    <x v="1"/>
    <n v="422.94"/>
    <n v="0"/>
    <m/>
  </r>
  <r>
    <x v="0"/>
    <s v="10/5202-7"/>
    <s v="67 996469842"/>
    <n v="62955505393207"/>
    <s v="energisa_ms"/>
    <s v="Igreja do Evangelho Quadrangular"/>
    <d v="2025-07-01T00:00:00"/>
    <s v="10/501586-245870"/>
    <s v="SIM"/>
    <n v="459"/>
    <n v="759.21329635499205"/>
    <n v="636.74505617115688"/>
    <s v="Aprovado"/>
    <n v="545.35329635499204"/>
    <n v="422.89"/>
    <d v="2025-09-10T00:00:00"/>
    <d v="2025-09-20T00:00:00"/>
    <n v="422.89"/>
    <m/>
    <s v="62955505393207422,89"/>
    <s v="09/00012683467-8"/>
    <x v="1"/>
    <n v="422.89"/>
    <n v="0"/>
    <m/>
  </r>
  <r>
    <x v="2"/>
    <s v="10/3005226-0"/>
    <e v="#N/A"/>
    <s v="#ND"/>
    <s v="energisa_ms"/>
    <s v="Igreja do Evangelho Quadrangular"/>
    <d v="2025-10-01T00:00:00"/>
    <s v="10/452884-045901"/>
    <s v="SIM"/>
    <n v="317"/>
    <m/>
    <m/>
    <s v="Não emitido"/>
    <n v="505.46999998999991"/>
    <n v="418.48"/>
    <s v="-"/>
    <s v="-"/>
    <s v="-"/>
    <s v="Pendente dado cadastral"/>
    <s v="#ND-"/>
    <e v="#N/A"/>
    <x v="0"/>
    <m/>
    <n v="0"/>
    <m/>
  </r>
  <r>
    <x v="0"/>
    <s v="10/15297-5"/>
    <n v="0"/>
    <n v="62955505312487"/>
    <s v="energisa_ms"/>
    <s v="Igreja do Evangelho Quadrangular"/>
    <d v="2025-09-01T00:00:00"/>
    <s v="10/480529-745689"/>
    <s v="SIM"/>
    <n v="539"/>
    <n v="665.96"/>
    <n v="513.70512358115161"/>
    <s v="Aprovado"/>
    <n v="566.8900000000001"/>
    <n v="414.64"/>
    <d v="2025-10-03T00:00:00"/>
    <d v="2025-10-13T00:00:00"/>
    <n v="414.64"/>
    <m/>
    <s v="62955505312487414,64"/>
    <s v="09/00012851437-7"/>
    <x v="1"/>
    <n v="414.64"/>
    <n v="0"/>
    <m/>
  </r>
  <r>
    <x v="0"/>
    <s v="10/2599101-9"/>
    <n v="67991120875"/>
    <n v="62955505379395"/>
    <s v="energisa_ms"/>
    <s v="Igreja do Evangelho Quadrangular"/>
    <d v="2025-01-01T00:00:00"/>
    <s v="10/513413-545931"/>
    <s v="SIM"/>
    <n v="493"/>
    <n v="851.71"/>
    <n v="714.13249999999994"/>
    <s v="Aprovado"/>
    <n v="550.30999999999995"/>
    <n v="412.73"/>
    <m/>
    <m/>
    <n v="412.73"/>
    <m/>
    <s v="62955505379395412,73"/>
    <m/>
    <x v="1"/>
    <n v="412.73"/>
    <n v="0"/>
    <m/>
  </r>
  <r>
    <x v="0"/>
    <s v="10/2605731-5"/>
    <n v="67992637973"/>
    <n v="62955505017213"/>
    <s v="energisa_ms"/>
    <s v="Igreja do Evangelho Quadrangular"/>
    <d v="2025-07-01T00:00:00"/>
    <s v="10/24514-245870"/>
    <s v="SIM"/>
    <n v="450"/>
    <n v="701.39499999999998"/>
    <n v="581.32359899999994"/>
    <s v="Aprovado"/>
    <n v="529.68500000000017"/>
    <n v="409.61"/>
    <d v="2025-09-10T00:00:00"/>
    <d v="2025-09-20T00:00:00"/>
    <n v="409.61"/>
    <m/>
    <s v="62955505017213409,61"/>
    <s v="09/00012683469-4"/>
    <x v="1"/>
    <n v="409.61"/>
    <n v="0"/>
    <m/>
  </r>
  <r>
    <x v="0"/>
    <s v="10/1035655-8"/>
    <n v="67996135721"/>
    <n v="62955505182257"/>
    <s v="energisa_ms"/>
    <s v="Igreja do Evangelho Quadrangular"/>
    <d v="2025-03-01T00:00:00"/>
    <s v="10/109074-545870"/>
    <s v="SIM"/>
    <n v="481"/>
    <n v="727.20999999999992"/>
    <n v="592.98"/>
    <s v="Aprovado"/>
    <n v="536.91999999999996"/>
    <n v="402.69"/>
    <m/>
    <m/>
    <n v="402.69"/>
    <m/>
    <s v="62955505182257402,69"/>
    <m/>
    <x v="1"/>
    <n v="402.69"/>
    <n v="0"/>
    <m/>
  </r>
  <r>
    <x v="0"/>
    <s v="10/2605731-5"/>
    <n v="67992637973"/>
    <n v="62955505017213"/>
    <s v="energisa_ms"/>
    <s v="Igreja do Evangelho Quadrangular"/>
    <d v="2025-05-01T00:00:00"/>
    <s v="10/76927-345809"/>
    <s v="SIM"/>
    <n v="466"/>
    <n v="964.04129870129873"/>
    <n v="831.00597402597396"/>
    <s v="Aprovado"/>
    <n v="532.14129870129864"/>
    <n v="399.11"/>
    <m/>
    <m/>
    <n v="399.11"/>
    <m/>
    <s v="62955505017213399,11"/>
    <m/>
    <x v="1"/>
    <n v="399.11"/>
    <n v="0"/>
    <m/>
  </r>
  <r>
    <x v="0"/>
    <s v="10/81222-2"/>
    <s v="67 992491551"/>
    <n v="62955505015946"/>
    <s v="energisa_ms"/>
    <s v="Igreja do Evangelho Quadrangular"/>
    <d v="2025-10-01T00:00:00"/>
    <s v="10/2344751-945717"/>
    <s v="SIM"/>
    <n v="589"/>
    <n v="775.28499999999997"/>
    <n v="599.64504405118885"/>
    <s v="Aprovado"/>
    <n v="628.00500000000022"/>
    <n v="398.21"/>
    <d v="2025-11-06T00:00:00"/>
    <d v="2025-11-13T00:00:00"/>
    <n v="398.21"/>
    <m/>
    <s v="62955505015946398,21"/>
    <s v="09/00013026893-9"/>
    <x v="1"/>
    <n v="398.21"/>
    <n v="0"/>
    <m/>
  </r>
  <r>
    <x v="0"/>
    <s v="10/15297-5"/>
    <n v="67996266684"/>
    <n v="62955505312487"/>
    <s v="energisa_ms"/>
    <s v="Igreja do Evangelho Quadrangular"/>
    <d v="2025-05-01T00:00:00"/>
    <s v="10/3123706-845778"/>
    <s v="SIM"/>
    <n v="540"/>
    <n v="553.35"/>
    <n v="421.495"/>
    <s v="Aprovado"/>
    <n v="527.41999999999996"/>
    <n v="395.57"/>
    <m/>
    <m/>
    <n v="395.57"/>
    <m/>
    <s v="62955505312487395,57"/>
    <m/>
    <x v="1"/>
    <n v="395.57"/>
    <n v="0"/>
    <m/>
  </r>
  <r>
    <x v="0"/>
    <s v="10/1672452-8"/>
    <n v="67992637973"/>
    <n v="62955505017213"/>
    <s v="energisa_ms"/>
    <s v="Igreja do Evangelho Quadrangular"/>
    <d v="2025-02-01T00:00:00"/>
    <s v="10/276283-945689"/>
    <s v="SIM"/>
    <n v="464"/>
    <n v="696.99"/>
    <n v="567.50500000000011"/>
    <s v="Aprovado"/>
    <n v="517.94000000000005"/>
    <n v="388.46"/>
    <m/>
    <m/>
    <n v="388.46"/>
    <m/>
    <s v="62955505017213388,46"/>
    <m/>
    <x v="1"/>
    <n v="388.46"/>
    <n v="0"/>
    <m/>
  </r>
  <r>
    <x v="0"/>
    <s v="10/532081-7"/>
    <s v="67 992321318"/>
    <n v="62955505193534"/>
    <s v="energisa_ms"/>
    <s v="Igreja do Evangelho Quadrangular"/>
    <d v="2025-02-01T00:00:00"/>
    <s v="10/260761-245748"/>
    <s v="SIM"/>
    <n v="476"/>
    <n v="739.42"/>
    <n v="611.06500000000005"/>
    <s v="Aprovado"/>
    <n v="513.41999999999996"/>
    <n v="385.07"/>
    <m/>
    <m/>
    <n v="385.07"/>
    <m/>
    <s v="62955505193534385,07"/>
    <m/>
    <x v="1"/>
    <n v="385.07"/>
    <n v="0"/>
    <m/>
  </r>
  <r>
    <x v="0"/>
    <s v="10/202838-9"/>
    <n v="0"/>
    <n v="62955505016403"/>
    <s v="energisa_ms"/>
    <s v="Igreja do Evangelho Quadrangular"/>
    <d v="2025-08-01T00:00:00"/>
    <s v="10/52987-545809"/>
    <s v="SIM"/>
    <n v="420"/>
    <n v="744.86599999999999"/>
    <n v="632.8422025232918"/>
    <s v="Aprovado"/>
    <n v="495.76600000000008"/>
    <n v="383.74"/>
    <d v="2025-09-10T00:00:00"/>
    <d v="2025-09-20T00:00:00"/>
    <n v="383.74"/>
    <m/>
    <s v="62955505016403383,74"/>
    <s v="09/00012749637-8"/>
    <x v="1"/>
    <n v="383.74"/>
    <n v="0"/>
    <m/>
  </r>
  <r>
    <x v="0"/>
    <s v="10/1695011-5"/>
    <n v="0"/>
    <n v="62955505461210"/>
    <s v="energisa_ms"/>
    <s v="Igreja do Evangelho Quadrangular"/>
    <d v="2025-08-01T00:00:00"/>
    <s v="10/69319-245839"/>
    <s v="SIM"/>
    <n v="418"/>
    <n v="698.19416666666666"/>
    <n v="587.68472237282299"/>
    <s v="Aprovado"/>
    <n v="489.06416666666661"/>
    <n v="378.55"/>
    <d v="2025-09-10T00:00:00"/>
    <d v="2025-09-20T00:00:00"/>
    <n v="378.55"/>
    <m/>
    <s v="62955505461210378,55"/>
    <s v="09/00012749635-2"/>
    <x v="1"/>
    <n v="378.55"/>
    <n v="0"/>
    <m/>
  </r>
  <r>
    <x v="0"/>
    <s v="10/1035655-8"/>
    <n v="67996135721"/>
    <n v="62955505182257"/>
    <s v="energisa_ms"/>
    <s v="Igreja do Evangelho Quadrangular"/>
    <d v="2025-01-01T00:00:00"/>
    <s v="10/2599101-945689"/>
    <s v="SIM"/>
    <n v="497"/>
    <n v="686.02"/>
    <n v="559.88750000000005"/>
    <s v="Aprovado"/>
    <n v="504.53"/>
    <n v="378.4"/>
    <m/>
    <m/>
    <n v="378.4"/>
    <m/>
    <s v="62955505182257378,4"/>
    <m/>
    <x v="1"/>
    <n v="378.4"/>
    <n v="0"/>
    <m/>
  </r>
  <r>
    <x v="0"/>
    <s v="10/8777-5"/>
    <s v="Solicitação de distrato"/>
    <n v="62955505122432"/>
    <s v="energisa_ms"/>
    <s v="Igreja do Evangelho Quadrangular"/>
    <d v="2025-08-01T00:00:00"/>
    <s v="10/987178-145748"/>
    <s v="SIM"/>
    <n v="477"/>
    <n v="675.35857142857139"/>
    <n v="565.28197701350064"/>
    <s v="Aprovado"/>
    <n v="487.14857142857136"/>
    <n v="377.07"/>
    <d v="2025-09-10T00:00:00"/>
    <d v="2025-09-20T00:00:00"/>
    <n v="377.07"/>
    <m/>
    <s v="62955505122432377,07"/>
    <s v="09/00012749677-4"/>
    <x v="1"/>
    <n v="377.07"/>
    <n v="0"/>
    <m/>
  </r>
  <r>
    <x v="2"/>
    <s v="10/925970-6"/>
    <e v="#N/A"/>
    <n v="62955505057789"/>
    <s v="energisa_ms"/>
    <s v="Igreja do Evangelho Quadrangular"/>
    <d v="2025-04-01T00:00:00"/>
    <s v="10/931327-145839"/>
    <s v="SIM"/>
    <n v="517"/>
    <n v="706.59"/>
    <n v="580.9050006425"/>
    <s v="Aprovado"/>
    <n v="502.73999742999996"/>
    <n v="377.05"/>
    <m/>
    <m/>
    <n v="377.05"/>
    <m/>
    <s v="62955505057789377,05"/>
    <m/>
    <x v="1"/>
    <n v="377.05"/>
    <n v="0"/>
    <m/>
  </r>
  <r>
    <x v="1"/>
    <s v="10/61344-8"/>
    <n v="67999998719"/>
    <n v="62955505015431"/>
    <s v="energisa_ms"/>
    <s v="Igreja do Evangelho Quadrangular"/>
    <d v="2025-04-01T00:00:00"/>
    <s v="10/260761-245901"/>
    <s v="SIM"/>
    <n v="517"/>
    <n v="923.67000000000007"/>
    <n v="798.04500000000007"/>
    <s v="Aprovado"/>
    <n v="502.5"/>
    <n v="376.88"/>
    <m/>
    <m/>
    <n v="376.88"/>
    <m/>
    <s v="62955505015431376,88"/>
    <m/>
    <x v="1"/>
    <n v="376.88"/>
    <n v="0"/>
    <m/>
  </r>
  <r>
    <x v="2"/>
    <s v="10/925970-6"/>
    <e v="#N/A"/>
    <s v="#ND"/>
    <s v="energisa_ms"/>
    <s v="Igreja do Evangelho Quadrangular"/>
    <d v="2025-10-01T00:00:00"/>
    <s v="10/908866-745870"/>
    <s v="SIM"/>
    <n v="493"/>
    <m/>
    <m/>
    <s v="Não emitido"/>
    <n v="519.34555555555562"/>
    <n v="374.1"/>
    <s v="-"/>
    <s v="-"/>
    <s v="-"/>
    <s v="Pendente dado cadastral"/>
    <s v="#ND-"/>
    <e v="#N/A"/>
    <x v="0"/>
    <m/>
    <n v="0"/>
    <m/>
  </r>
  <r>
    <x v="0"/>
    <s v="10/3030784-7"/>
    <n v="67996266684"/>
    <n v="62955505016080"/>
    <s v="energisa_ms"/>
    <s v="Igreja do Evangelho Quadrangular"/>
    <d v="2025-01-01T00:00:00"/>
    <s v="10/29964-445658"/>
    <s v="SIM"/>
    <n v="445"/>
    <n v="681.9"/>
    <n v="557.71750000000009"/>
    <s v="Aprovado"/>
    <n v="496.72999999999996"/>
    <n v="372.55"/>
    <m/>
    <m/>
    <n v="372.55"/>
    <m/>
    <s v="62955505016080372,55"/>
    <m/>
    <x v="1"/>
    <n v="372.55"/>
    <n v="0"/>
    <m/>
  </r>
  <r>
    <x v="1"/>
    <s v="10/1081489-5"/>
    <n v="67996446178"/>
    <n v="62955505016918"/>
    <s v="energisa_ms"/>
    <s v="Igreja do Evangelho Quadrangular"/>
    <d v="2025-10-01T00:00:00"/>
    <s v="10/252817-245717"/>
    <s v="SIM"/>
    <n v="523"/>
    <n v="655.92000000000007"/>
    <n v="512.39700863169674"/>
    <s v="Aprovado"/>
    <n v="513.16999999999996"/>
    <n v="369.65"/>
    <d v="2025-11-06T00:00:00"/>
    <d v="2025-11-13T00:00:00"/>
    <n v="369.65"/>
    <m/>
    <s v="62955505016918369,65"/>
    <s v="09/00013026863-2"/>
    <x v="1"/>
    <n v="369.65"/>
    <n v="0"/>
    <m/>
  </r>
  <r>
    <x v="0"/>
    <s v="10/8777-5"/>
    <s v="67 992319530"/>
    <n v="62955505122432"/>
    <s v="energisa_ms"/>
    <s v="Igreja do Evangelho Quadrangular"/>
    <d v="2025-01-01T00:00:00"/>
    <s v="10/1035655-845931"/>
    <s v="SIM"/>
    <n v="494"/>
    <n v="823.12"/>
    <n v="699.99249999999984"/>
    <s v="Aprovado"/>
    <n v="492.5100000000001"/>
    <n v="369.38"/>
    <m/>
    <m/>
    <n v="369.38"/>
    <m/>
    <s v="62955505122432369,38"/>
    <m/>
    <x v="1"/>
    <n v="369.38"/>
    <n v="0"/>
    <m/>
  </r>
  <r>
    <x v="0"/>
    <s v="10/2605731-5"/>
    <n v="67992637973"/>
    <n v="62955505017213"/>
    <s v="energisa_ms"/>
    <s v="Igreja do Evangelho Quadrangular"/>
    <d v="2025-06-01T00:00:00"/>
    <s v="10/76927-345870"/>
    <s v="SIM"/>
    <n v="417"/>
    <n v="671.37929999999994"/>
    <n v="554.70256799150889"/>
    <s v="Aprovado"/>
    <n v="491.77930000000003"/>
    <n v="368.83"/>
    <d v="2025-07-22T00:00:00"/>
    <d v="2025-08-02T00:00:00"/>
    <n v="368.83"/>
    <m/>
    <s v="62955505017213368,83"/>
    <s v="09/00012472767-6"/>
    <x v="1"/>
    <n v="368.83"/>
    <n v="0"/>
    <s v="05/08/2025"/>
  </r>
  <r>
    <x v="0"/>
    <s v="10/260761-2"/>
    <n v="67996150274"/>
    <n v="62955505000167"/>
    <s v="energisa_ms"/>
    <s v="Igreja do Evangelho Quadrangular"/>
    <d v="2025-03-01T00:00:00"/>
    <s v="10/41548-945748"/>
    <s v="SIM"/>
    <n v="502"/>
    <m/>
    <m/>
    <s v="Aprovado"/>
    <n v="488.98"/>
    <n v="366.74"/>
    <m/>
    <m/>
    <m/>
    <s v="não emitido pela EGS"/>
    <s v="62955505000167"/>
    <m/>
    <x v="0"/>
    <n v="0"/>
    <n v="0"/>
    <m/>
  </r>
  <r>
    <x v="0"/>
    <s v="10/532081-7"/>
    <s v="67 992321318"/>
    <n v="62955505193534"/>
    <s v="energisa_ms"/>
    <s v="Igreja do Evangelho Quadrangular"/>
    <d v="2025-03-01T00:00:00"/>
    <s v="10/532723-445778"/>
    <s v="SIM"/>
    <n v="458"/>
    <n v="711.51"/>
    <n v="589.6400000000001"/>
    <s v="Aprovado"/>
    <n v="487.47999999999996"/>
    <n v="365.61"/>
    <m/>
    <m/>
    <n v="365.61"/>
    <m/>
    <s v="62955505193534365,61"/>
    <m/>
    <x v="1"/>
    <n v="365.61"/>
    <n v="0"/>
    <m/>
  </r>
  <r>
    <x v="0"/>
    <s v="10/1695011-5"/>
    <n v="67991767866"/>
    <n v="62955505461210"/>
    <s v="energisa_ms"/>
    <s v="Igreja do Evangelho Quadrangular"/>
    <d v="2025-07-01T00:00:00"/>
    <s v="10/283183-245689"/>
    <s v="SIM"/>
    <n v="406"/>
    <n v="729.856056338028"/>
    <n v="621.53428101408429"/>
    <s v="Aprovado"/>
    <n v="472.87605633802815"/>
    <n v="364.55"/>
    <d v="2025-09-10T00:00:00"/>
    <d v="2025-09-20T00:00:00"/>
    <n v="364.55"/>
    <m/>
    <s v="62955505461210364,55"/>
    <s v="09/00012683474-4"/>
    <x v="1"/>
    <n v="364.55"/>
    <n v="0"/>
    <m/>
  </r>
  <r>
    <x v="1"/>
    <s v="10/61344-8"/>
    <n v="0"/>
    <n v="62955505015431"/>
    <s v="energisa_ms"/>
    <s v="Igreja do Evangelho Quadrangular"/>
    <d v="2025-09-01T00:00:00"/>
    <s v="10/489076-045689"/>
    <s v="SIM"/>
    <n v="520"/>
    <n v="651.23"/>
    <n v="518.30745614060538"/>
    <s v="Aprovado"/>
    <n v="494.91"/>
    <n v="361.99"/>
    <d v="2025-10-03T00:00:00"/>
    <d v="2025-10-13T00:00:00"/>
    <n v="361.99"/>
    <m/>
    <s v="62955505015431361,99"/>
    <s v="09/00012851433-6"/>
    <x v="1"/>
    <n v="494.91"/>
    <n v="0"/>
    <d v="2025-11-05T00:00:00"/>
  </r>
  <r>
    <x v="0"/>
    <s v="10/399338-3"/>
    <n v="67991060202"/>
    <n v="62955505213233"/>
    <s v="energisa_ms"/>
    <s v="Igreja do Evangelho Quadrangular"/>
    <d v="2025-10-01T00:00:00"/>
    <s v="10/72605-945717"/>
    <s v="SIM"/>
    <n v="468"/>
    <n v="598.21636363636367"/>
    <n v="458.95390398333217"/>
    <s v="Aprovado"/>
    <n v="497.93636363636358"/>
    <n v="357.75"/>
    <d v="2025-11-06T00:00:00"/>
    <d v="2025-11-13T00:00:00"/>
    <n v="357.75"/>
    <m/>
    <s v="62955505213233357,75"/>
    <s v="09/00013026868-1"/>
    <x v="1"/>
    <n v="357.75"/>
    <n v="0"/>
    <m/>
  </r>
  <r>
    <x v="0"/>
    <s v="10/3030784-7"/>
    <n v="67996266684"/>
    <n v="62955505016080"/>
    <s v="energisa_ms"/>
    <s v="Igreja do Evangelho Quadrangular"/>
    <d v="2025-10-01T00:00:00"/>
    <s v="10/2794432-145809"/>
    <s v="SIM"/>
    <n v="401"/>
    <n v="693.90920000000006"/>
    <n v="555.14377610751944"/>
    <s v="Aprovado"/>
    <n v="496.1592"/>
    <n v="357.39"/>
    <d v="2025-11-06T00:00:00"/>
    <d v="2025-11-13T00:00:00"/>
    <n v="357.39"/>
    <m/>
    <s v="62955505016080357,39"/>
    <s v="09/00013026945-7"/>
    <x v="1"/>
    <n v="496.16"/>
    <n v="0"/>
    <d v="2025-12-01T00:00:00"/>
  </r>
  <r>
    <x v="0"/>
    <s v="10/1672452-8"/>
    <n v="67992637973"/>
    <n v="62955505017213"/>
    <s v="energisa_ms"/>
    <s v="Igreja do Evangelho Quadrangular"/>
    <d v="2025-04-01T00:00:00"/>
    <s v="10/76927-345748"/>
    <s v="SIM"/>
    <n v="423"/>
    <n v="652.34"/>
    <n v="534.15750000000003"/>
    <s v="Aprovado"/>
    <n v="472.73"/>
    <n v="354.55"/>
    <m/>
    <m/>
    <n v="354.55"/>
    <m/>
    <s v="62955505017213354,55"/>
    <m/>
    <x v="1"/>
    <n v="354.55"/>
    <n v="0"/>
    <m/>
  </r>
  <r>
    <x v="0"/>
    <s v="10/276283-9"/>
    <s v="46 999066691"/>
    <n v="62955505177504"/>
    <s v="energisa_ms"/>
    <s v="Igreja do Evangelho Quadrangular"/>
    <d v="2025-03-01T00:00:00"/>
    <s v="10/3139326-745778"/>
    <s v="SIM"/>
    <n v="422"/>
    <n v="676.81000000000006"/>
    <n v="559.05000000000018"/>
    <s v="Aprovado"/>
    <n v="471.03999999999991"/>
    <n v="353.28"/>
    <m/>
    <m/>
    <n v="353.28"/>
    <m/>
    <s v="62955505177504353,28"/>
    <m/>
    <x v="1"/>
    <n v="353.28"/>
    <n v="0"/>
    <d v="2025-10-02T00:00:00"/>
  </r>
  <r>
    <x v="0"/>
    <s v="10/399338-3"/>
    <n v="67991060202"/>
    <n v="62955505213233"/>
    <s v="energisa_ms"/>
    <s v="Igreja do Evangelho Quadrangular"/>
    <d v="2025-04-01T00:00:00"/>
    <s v="10/511753-645748"/>
    <s v="SIM"/>
    <n v="481"/>
    <n v="705.38"/>
    <n v="588.34500000000003"/>
    <s v="Aprovado"/>
    <n v="468.14000000000004"/>
    <n v="351.11"/>
    <m/>
    <m/>
    <n v="351.11"/>
    <m/>
    <s v="62955505213233351,11"/>
    <m/>
    <x v="1"/>
    <n v="351.11"/>
    <n v="0"/>
    <m/>
  </r>
  <r>
    <x v="0"/>
    <s v="10/3092868-3"/>
    <s v=" 67 91285460"/>
    <n v="62955505419443"/>
    <s v="energisa_ms"/>
    <s v="Igreja do Evangelho Quadrangular"/>
    <d v="2025-05-01T00:00:00"/>
    <s v="10/931327-145931"/>
    <s v="SIM"/>
    <n v="412"/>
    <n v="581.43799999999999"/>
    <n v="464.471"/>
    <s v="Aprovado"/>
    <n v="467.86800000000005"/>
    <n v="350.9"/>
    <m/>
    <m/>
    <n v="350.9"/>
    <m/>
    <s v="62955505419443350,9"/>
    <m/>
    <x v="1"/>
    <n v="350.9"/>
    <n v="0"/>
    <m/>
  </r>
  <r>
    <x v="0"/>
    <s v="10/510330-4"/>
    <n v="67992637973"/>
    <n v="62955505367117"/>
    <s v="energisa_ms"/>
    <s v="Igreja do Evangelho Quadrangular"/>
    <d v="2025-10-01T00:00:00"/>
    <s v="10/162736-345809"/>
    <s v="SIM"/>
    <n v="392"/>
    <n v="666.03719999999998"/>
    <n v="532.58903766196363"/>
    <s v="Aprovado"/>
    <n v="477.1472"/>
    <n v="343.83"/>
    <d v="2025-11-06T00:00:00"/>
    <d v="2025-11-13T00:00:00"/>
    <n v="343.7"/>
    <m/>
    <s v="62955505367117343,7"/>
    <s v="09/00013026940-8"/>
    <x v="1"/>
    <n v="343.7"/>
    <n v="0"/>
    <d v="2025-11-19T00:00:00"/>
  </r>
  <r>
    <x v="0"/>
    <s v="10/489076-0"/>
    <n v="67996266684"/>
    <n v="62955505016080"/>
    <s v="energisa_ms"/>
    <s v="Igreja do Evangelho Quadrangular"/>
    <d v="2025-10-01T00:00:00"/>
    <s v="10/13786-945717"/>
    <s v="SIM"/>
    <n v="443"/>
    <n v="652.62259259259258"/>
    <n v="519.53370826738819"/>
    <s v="Aprovado"/>
    <n v="475.86259259259259"/>
    <n v="342.77"/>
    <d v="2025-11-06T00:00:00"/>
    <d v="2025-11-13T00:00:00"/>
    <n v="342.77"/>
    <m/>
    <s v="62955505016080342,77"/>
    <s v="09/00013026874-9"/>
    <x v="1"/>
    <n v="342.77"/>
    <n v="0"/>
    <m/>
  </r>
  <r>
    <x v="1"/>
    <s v="10/1081489-5"/>
    <n v="67996446178"/>
    <n v="62955505016918"/>
    <s v="energisa_ms"/>
    <s v="Igreja do Evangelho Quadrangular"/>
    <d v="2025-01-01T00:00:00"/>
    <s v="10/1035655-845717"/>
    <s v="SIM"/>
    <n v="409"/>
    <n v="780.44"/>
    <n v="666.30250000000001"/>
    <s v="Aprovado"/>
    <n v="456.55"/>
    <n v="342.41"/>
    <m/>
    <m/>
    <n v="342.41"/>
    <m/>
    <s v="62955505016918342,41"/>
    <m/>
    <x v="1"/>
    <n v="342.41"/>
    <n v="0"/>
    <m/>
  </r>
  <r>
    <x v="0"/>
    <s v="10/18015-8"/>
    <n v="67996266684"/>
    <n v="62955505016080"/>
    <s v="energisa_ms"/>
    <s v="Igreja do Evangelho Quadrangular"/>
    <d v="2025-03-01T00:00:00"/>
    <s v="10/63920-345901"/>
    <s v="SIM"/>
    <n v="414"/>
    <n v="1261.3800000000001"/>
    <n v="1147.5550000000001"/>
    <s v="Aprovado"/>
    <n v="455.2999999999999"/>
    <n v="341.48"/>
    <m/>
    <m/>
    <n v="341.48"/>
    <m/>
    <s v="62955505016080341,48"/>
    <m/>
    <x v="1"/>
    <n v="341.48"/>
    <n v="0"/>
    <m/>
  </r>
  <r>
    <x v="0"/>
    <s v="10/29964-4"/>
    <n v="0"/>
    <n v="62955505067660"/>
    <s v="energisa_ms"/>
    <s v="Igreja do Evangelho Quadrangular"/>
    <d v="2025-08-01T00:00:00"/>
    <s v="10/452884-045870"/>
    <s v="SIM"/>
    <n v="370"/>
    <n v="553.36299999999994"/>
    <n v="455.42177198174772"/>
    <s v="Aprovado"/>
    <n v="433.44300000000004"/>
    <n v="335.5"/>
    <d v="2025-09-10T00:00:00"/>
    <d v="2025-09-20T00:00:00"/>
    <n v="335.5"/>
    <m/>
    <s v="62955505067660335,5"/>
    <s v="09/00012749642-8"/>
    <x v="1"/>
    <n v="335.5"/>
    <n v="0"/>
    <m/>
  </r>
  <r>
    <x v="0"/>
    <s v="10/81222-2"/>
    <n v="0"/>
    <n v="62955505015946"/>
    <s v="energisa_ms"/>
    <s v="Igreja do Evangelho Quadrangular"/>
    <d v="2025-09-01T00:00:00"/>
    <s v="10/72605-945689"/>
    <s v="SIM"/>
    <n v="435"/>
    <n v="613.05999999999995"/>
    <n v="490.22529180235966"/>
    <s v="Aprovado"/>
    <n v="457.35"/>
    <n v="334.52"/>
    <d v="2025-10-03T00:00:00"/>
    <d v="2025-10-13T00:00:00"/>
    <n v="334.52"/>
    <m/>
    <s v="62955505015946334,52"/>
    <s v="09/00012851445-0"/>
    <x v="1"/>
    <n v="334.52"/>
    <n v="0"/>
    <m/>
  </r>
  <r>
    <x v="0"/>
    <s v="10/156956-5"/>
    <s v="67 998338301"/>
    <n v="62955505015350"/>
    <s v="energisa_ms"/>
    <s v="Igreja do Evangelho Quadrangular"/>
    <d v="2025-03-01T00:00:00"/>
    <s v="10/3005226-045839"/>
    <s v="SIM"/>
    <n v="426"/>
    <n v="643.49"/>
    <n v="532.78749999999991"/>
    <s v="Aprovado"/>
    <n v="442.81"/>
    <n v="332.11"/>
    <m/>
    <m/>
    <n v="332.11"/>
    <m/>
    <s v="62955505015350332,11"/>
    <m/>
    <x v="1"/>
    <n v="332.11"/>
    <n v="0"/>
    <m/>
  </r>
  <r>
    <x v="0"/>
    <s v="10/156956-5"/>
    <s v="67 998338301"/>
    <n v="62955505015350"/>
    <s v="energisa_ms"/>
    <s v="Igreja do Evangelho Quadrangular"/>
    <d v="2025-02-01T00:00:00"/>
    <s v="10/1266128-645931"/>
    <s v="SIM"/>
    <n v="418"/>
    <n v="645.12"/>
    <n v="534.58750000000009"/>
    <s v="Aprovado"/>
    <n v="442.13000000000005"/>
    <n v="331.6"/>
    <m/>
    <m/>
    <n v="331.6"/>
    <m/>
    <s v="62955505015350331,6"/>
    <m/>
    <x v="1"/>
    <n v="331.6"/>
    <n v="0"/>
    <m/>
  </r>
  <r>
    <x v="0"/>
    <s v="10/127464-6"/>
    <n v="67996150274"/>
    <n v="62955505331198"/>
    <s v="energisa_ms"/>
    <s v="Igreja do Evangelho Quadrangular"/>
    <d v="2025-05-01T00:00:00"/>
    <s v="10/532081-745809"/>
    <s v="SIM"/>
    <n v="450"/>
    <n v="776.59124999999995"/>
    <n v="667.44343750000007"/>
    <s v="Aprovado"/>
    <n v="436.59124999999995"/>
    <n v="327.44"/>
    <m/>
    <m/>
    <n v="327.44"/>
    <m/>
    <s v="62955505331198327,44"/>
    <m/>
    <x v="1"/>
    <n v="327.44"/>
    <n v="0"/>
    <m/>
  </r>
  <r>
    <x v="0"/>
    <s v="10/532723-4"/>
    <n v="67996446178"/>
    <n v="62955505359360"/>
    <s v="energisa_ms"/>
    <s v="Igreja do Evangelho Quadrangular"/>
    <d v="2025-03-01T00:00:00"/>
    <s v="10/452884-045717"/>
    <s v="SIM"/>
    <n v="388"/>
    <n v="633.53"/>
    <n v="525.25250000000005"/>
    <s v="Aprovado"/>
    <n v="433.11000000000007"/>
    <n v="324.83"/>
    <m/>
    <m/>
    <n v="324.83"/>
    <m/>
    <s v="62955505359360324,83"/>
    <m/>
    <x v="1"/>
    <n v="324.83"/>
    <n v="0"/>
    <d v="2025-06-27T00:00:00"/>
  </r>
  <r>
    <x v="0"/>
    <s v="10/127464-6"/>
    <n v="67996150274"/>
    <n v="62955505331198"/>
    <s v="energisa_ms"/>
    <s v="Igreja do Evangelho Quadrangular"/>
    <d v="2025-04-01T00:00:00"/>
    <s v="10/1939035-045839"/>
    <s v="SIM"/>
    <n v="444"/>
    <n v="625.66"/>
    <n v="517.54"/>
    <s v="Aprovado"/>
    <n v="432.48"/>
    <n v="324.36"/>
    <m/>
    <m/>
    <n v="324.36"/>
    <m/>
    <s v="62955505331198324,36"/>
    <m/>
    <x v="1"/>
    <n v="324.36"/>
    <n v="0"/>
    <m/>
  </r>
  <r>
    <x v="0"/>
    <s v="10/162736-3"/>
    <n v="67996150274"/>
    <n v="62955505197360"/>
    <s v="energisa_ms"/>
    <s v="Igreja do Evangelho Quadrangular"/>
    <d v="2025-03-01T00:00:00"/>
    <s v="10/156956-545931"/>
    <s v="SIM"/>
    <n v="413"/>
    <n v="630.51"/>
    <n v="523.15499999999997"/>
    <s v="Aprovado"/>
    <n v="429.42"/>
    <n v="322.07"/>
    <m/>
    <m/>
    <n v="322.07"/>
    <m/>
    <s v="62955505197360322,07"/>
    <m/>
    <x v="2"/>
    <m/>
    <n v="0"/>
    <m/>
  </r>
  <r>
    <x v="0"/>
    <s v="10/18015-8"/>
    <n v="67996266684"/>
    <n v="62955505016080"/>
    <s v="energisa_ms"/>
    <s v="Igreja do Evangelho Quadrangular"/>
    <d v="2025-07-01T00:00:00"/>
    <s v="10/52987-545870"/>
    <s v="SIM"/>
    <n v="358"/>
    <n v="535.20539999999994"/>
    <n v="439.68200123999992"/>
    <s v="Aprovado"/>
    <n v="416.40540000000004"/>
    <n v="320.88"/>
    <d v="2025-09-10T00:00:00"/>
    <d v="2025-09-20T00:00:00"/>
    <n v="320.88"/>
    <m/>
    <s v="62955505016080320,88"/>
    <s v="09/00012683470-2"/>
    <x v="1"/>
    <n v="320.88"/>
    <n v="0"/>
    <m/>
  </r>
  <r>
    <x v="0"/>
    <s v="10/1674177-9"/>
    <n v="0"/>
    <n v="62955505016160"/>
    <s v="energisa_ms"/>
    <s v="Igreja do Evangelho Quadrangular"/>
    <d v="2025-09-01T00:00:00"/>
    <s v="10/1674177-945689"/>
    <s v="SIM"/>
    <n v="417"/>
    <n v="616.82968749999986"/>
    <n v="499.07121057115091"/>
    <s v="Aprovado"/>
    <n v="438.44968749999998"/>
    <n v="320.69"/>
    <d v="2025-10-03T00:00:00"/>
    <d v="2025-10-13T00:00:00"/>
    <n v="320.69"/>
    <m/>
    <s v="62955505016160320,69"/>
    <s v="09/00012851444-3"/>
    <x v="1"/>
    <n v="320.69"/>
    <n v="0"/>
    <m/>
  </r>
  <r>
    <x v="0"/>
    <s v="10/191945-5"/>
    <n v="0"/>
    <n v="62955505215791"/>
    <s v="energisa_ms"/>
    <s v="Igreja do Evangelho Quadrangular"/>
    <d v="2025-08-01T00:00:00"/>
    <s v="10/908866-745931"/>
    <s v="SIM"/>
    <n v="346"/>
    <n v="596.78300000000002"/>
    <n v="503.73834756643947"/>
    <s v="Aprovado"/>
    <n v="411.77300000000002"/>
    <n v="318.73"/>
    <d v="2025-09-10T00:00:00"/>
    <d v="2025-09-20T00:00:00"/>
    <n v="318.73"/>
    <m/>
    <s v="62955505215791318,73"/>
    <s v="09/00012749636-0"/>
    <x v="1"/>
    <n v="318.73"/>
    <n v="0"/>
    <m/>
  </r>
  <r>
    <x v="0"/>
    <s v="10/1672452-8"/>
    <n v="67992637973"/>
    <n v="62955505017213"/>
    <s v="energisa_ms"/>
    <s v="Igreja do Evangelho Quadrangular"/>
    <d v="2025-03-01T00:00:00"/>
    <s v="10/504844-245931"/>
    <s v="SIM"/>
    <n v="376"/>
    <n v="586.5"/>
    <n v="481.57249999999999"/>
    <s v="Aprovado"/>
    <n v="419.71"/>
    <n v="314.77999999999997"/>
    <m/>
    <m/>
    <n v="314.77999999999997"/>
    <m/>
    <s v="62955505017213314,78"/>
    <m/>
    <x v="1"/>
    <n v="314.77999999999997"/>
    <n v="0"/>
    <m/>
  </r>
  <r>
    <x v="0"/>
    <s v="10/2599101-9"/>
    <n v="67991120875"/>
    <n v="62955505379395"/>
    <s v="energisa_ms"/>
    <s v="Igreja do Evangelho Quadrangular"/>
    <d v="2025-06-01T00:00:00"/>
    <s v="10/69319-245809"/>
    <s v="SIM"/>
    <n v="362"/>
    <n v="540.12559999999985"/>
    <n v="440.90691399932814"/>
    <s v="Aprovado"/>
    <n v="418.19559999999996"/>
    <n v="313.64999999999998"/>
    <d v="2025-07-22T00:00:00"/>
    <d v="2025-08-02T00:00:00"/>
    <n v="313.64999999999998"/>
    <m/>
    <s v="62955505379395313,65"/>
    <s v="09/00012472764-3"/>
    <x v="1"/>
    <n v="313.64999999999998"/>
    <n v="0"/>
    <s v="05/08/2025"/>
  </r>
  <r>
    <x v="0"/>
    <s v="10/162736-3"/>
    <n v="67996150274"/>
    <n v="62955505197360"/>
    <s v="energisa_ms"/>
    <s v="Igreja do Evangelho Quadrangular"/>
    <d v="2025-02-01T00:00:00"/>
    <s v="10/435964-245658"/>
    <s v="SIM"/>
    <n v="382"/>
    <n v="624.93000000000006"/>
    <n v="520.53500000000008"/>
    <s v="Aprovado"/>
    <n v="417.57999999999993"/>
    <n v="313.19"/>
    <m/>
    <m/>
    <n v="313.19"/>
    <m/>
    <s v="62955505197360313,19"/>
    <m/>
    <x v="1"/>
    <n v="313.19"/>
    <n v="0"/>
    <m/>
  </r>
  <r>
    <x v="0"/>
    <s v="10/1035655-8"/>
    <n v="67996135721"/>
    <n v="62955505182257"/>
    <s v="energisa_ms"/>
    <s v="Igreja do Evangelho Quadrangular"/>
    <d v="2025-10-01T00:00:00"/>
    <s v="10/280638-845809"/>
    <s v="SIM"/>
    <n v="398"/>
    <n v="612.63416666666672"/>
    <n v="491.76962132637732"/>
    <s v="Aprovado"/>
    <n v="432.15416666666658"/>
    <n v="311.29000000000002"/>
    <d v="2025-11-06T00:00:00"/>
    <d v="2025-11-13T00:00:00"/>
    <n v="311.29000000000002"/>
    <m/>
    <s v="62955505182257311,29"/>
    <s v="09/00013026949-9"/>
    <x v="1"/>
    <n v="311.29000000000002"/>
    <n v="0"/>
    <m/>
  </r>
  <r>
    <x v="0"/>
    <s v="10/202838-9"/>
    <n v="67992637973"/>
    <n v="62955505016403"/>
    <s v="energisa_ms"/>
    <s v="Igreja do Evangelho Quadrangular"/>
    <d v="2025-01-01T00:00:00"/>
    <s v="10/29964-445717"/>
    <s v="SIM"/>
    <n v="369"/>
    <n v="1175.72"/>
    <n v="1072.7449999999999"/>
    <s v="Aprovado"/>
    <n v="411.9"/>
    <n v="308.93"/>
    <m/>
    <m/>
    <n v="308.93"/>
    <m/>
    <s v="62955505016403308,93"/>
    <m/>
    <x v="1"/>
    <n v="308.93"/>
    <n v="0"/>
    <m/>
  </r>
  <r>
    <x v="1"/>
    <s v="10/1939035-0"/>
    <s v=" 67 91285460"/>
    <n v="62955505419443"/>
    <s v="energisa_ms"/>
    <s v="Igreja do Evangelho Quadrangular"/>
    <d v="2025-02-01T00:00:00"/>
    <s v="10/61344-845778"/>
    <s v="SIM"/>
    <n v="373"/>
    <n v="509.60999999999996"/>
    <n v="406.87249999999995"/>
    <s v="Aprovado"/>
    <n v="410.95000000000005"/>
    <n v="308.20999999999998"/>
    <m/>
    <m/>
    <n v="308.20999999999998"/>
    <m/>
    <s v="62955505419443308,21"/>
    <m/>
    <x v="1"/>
    <n v="308.20999999999998"/>
    <n v="0"/>
    <m/>
  </r>
  <r>
    <x v="0"/>
    <s v="10/1695011-5"/>
    <n v="0"/>
    <n v="62955505461210"/>
    <s v="energisa_ms"/>
    <s v="Igreja do Evangelho Quadrangular"/>
    <d v="2025-09-01T00:00:00"/>
    <s v="10/3030784-745627"/>
    <s v="SIM"/>
    <n v="348"/>
    <n v="798.1615384615385"/>
    <n v="685.24504781558664"/>
    <s v="Aprovado"/>
    <n v="420.42153846153849"/>
    <n v="307.51"/>
    <d v="2025-10-03T00:00:00"/>
    <d v="2025-10-13T00:00:00"/>
    <n v="307.51"/>
    <m/>
    <s v="62955505461210307,51"/>
    <s v="09/00012851401-3"/>
    <x v="1"/>
    <n v="307.51"/>
    <n v="0"/>
    <m/>
  </r>
  <r>
    <x v="0"/>
    <s v="10/399338-3"/>
    <n v="67991060202"/>
    <n v="62955505213233"/>
    <s v="energisa_ms"/>
    <s v="Igreja do Evangelho Quadrangular"/>
    <d v="2025-01-01T00:00:00"/>
    <s v="10/3092868-345778"/>
    <s v="SIM"/>
    <n v="409"/>
    <n v="638.5"/>
    <n v="536.08500000000004"/>
    <s v="Aprovado"/>
    <n v="409.66"/>
    <n v="307.25"/>
    <m/>
    <m/>
    <n v="307.25"/>
    <m/>
    <s v="62955505213233307,25"/>
    <m/>
    <x v="1"/>
    <n v="307.25"/>
    <n v="0"/>
    <m/>
  </r>
  <r>
    <x v="0"/>
    <s v="10/252817-2"/>
    <n v="67992637973"/>
    <n v="62955505274020"/>
    <s v="energisa_ms"/>
    <s v="Igreja do Evangelho Quadrangular"/>
    <d v="2025-01-01T00:00:00"/>
    <s v="10/8777-545658"/>
    <s v="SIM"/>
    <n v="410"/>
    <n v="536.88"/>
    <n v="434.68999999999994"/>
    <s v="Aprovado"/>
    <n v="408.75999999999993"/>
    <n v="306.57"/>
    <m/>
    <m/>
    <n v="306.57"/>
    <m/>
    <s v="62955505274020306,57"/>
    <m/>
    <x v="1"/>
    <n v="306.57"/>
    <n v="0"/>
    <m/>
  </r>
  <r>
    <x v="0"/>
    <s v="10/15297-5"/>
    <n v="67996266684"/>
    <n v="62955505312487"/>
    <s v="energisa_ms"/>
    <s v="Igreja do Evangelho Quadrangular"/>
    <d v="2025-01-01T00:00:00"/>
    <s v="10/8777-545870"/>
    <s v="SIM"/>
    <n v="409"/>
    <n v="544.73"/>
    <n v="442.61999999999995"/>
    <s v="Aprovado"/>
    <n v="408.44000000000005"/>
    <n v="306.33"/>
    <m/>
    <m/>
    <n v="306.33"/>
    <m/>
    <s v="62955505312487306,33"/>
    <m/>
    <x v="1"/>
    <n v="306.33"/>
    <n v="0"/>
    <m/>
  </r>
  <r>
    <x v="0"/>
    <s v="10/202838-9"/>
    <n v="67992637973"/>
    <n v="62955505016403"/>
    <s v="energisa_ms"/>
    <s v="Igreja do Evangelho Quadrangular"/>
    <d v="2025-07-01T00:00:00"/>
    <s v="10/226667-445931"/>
    <s v="SIM"/>
    <n v="340"/>
    <n v="616.63199999999995"/>
    <n v="525.9130171999999"/>
    <s v="Aprovado"/>
    <n v="396.71200000000005"/>
    <n v="305.99"/>
    <d v="2025-09-10T00:00:00"/>
    <d v="2025-09-20T00:00:00"/>
    <n v="305.99"/>
    <m/>
    <s v="62955505016403305,99"/>
    <s v="09/00012683471-0"/>
    <x v="1"/>
    <n v="305.99"/>
    <n v="0"/>
    <m/>
  </r>
  <r>
    <x v="1"/>
    <s v="10/142353-2"/>
    <n v="67992899434"/>
    <n v="62955505113875"/>
    <s v="energisa_ms"/>
    <s v="Igreja do Evangelho Quadrangular"/>
    <d v="2025-01-01T00:00:00"/>
    <s v="10/1035655-845658"/>
    <s v="SIM"/>
    <n v="409"/>
    <n v="868.66"/>
    <n v="766.71749999999997"/>
    <s v="Aprovado"/>
    <n v="407.77"/>
    <n v="305.83"/>
    <m/>
    <m/>
    <n v="305.83"/>
    <m/>
    <s v="62955505113875305,83"/>
    <m/>
    <x v="1"/>
    <n v="305.83"/>
    <n v="0"/>
    <m/>
  </r>
  <r>
    <x v="0"/>
    <s v="10/127464-6"/>
    <n v="0"/>
    <n v="62955505331198"/>
    <s v="energisa_ms"/>
    <s v="Igreja do Evangelho Quadrangular"/>
    <d v="2025-09-01T00:00:00"/>
    <s v="10/399338-345689"/>
    <s v="SIM"/>
    <n v="397"/>
    <n v="608.34657142857145"/>
    <n v="496.23446670490239"/>
    <s v="Aprovado"/>
    <n v="417.42657142857138"/>
    <n v="305.31"/>
    <d v="2025-10-03T00:00:00"/>
    <d v="2025-10-13T00:00:00"/>
    <n v="305.31"/>
    <m/>
    <s v="62955505331198305,31"/>
    <s v="09/00012851439-3"/>
    <x v="1"/>
    <n v="305.31"/>
    <n v="0"/>
    <m/>
  </r>
  <r>
    <x v="1"/>
    <s v="10/61344-8"/>
    <n v="67999998719"/>
    <n v="62955505015431"/>
    <s v="energisa_ms"/>
    <s v="Igreja do Evangelho Quadrangular"/>
    <d v="2025-01-01T00:00:00"/>
    <s v="10/162736-345717"/>
    <s v="SIM"/>
    <n v="409"/>
    <n v="1407.45"/>
    <n v="1306.1300000000001"/>
    <s v="Aprovado"/>
    <n v="405.28000000000003"/>
    <n v="303.95999999999998"/>
    <m/>
    <m/>
    <n v="303.95999999999998"/>
    <m/>
    <s v="62955505015431303,96"/>
    <m/>
    <x v="1"/>
    <n v="303.95999999999998"/>
    <n v="0"/>
    <m/>
  </r>
  <r>
    <x v="1"/>
    <s v="10/61344-8"/>
    <n v="0"/>
    <n v="62955505015431"/>
    <s v="energisa_ms"/>
    <s v="Igreja do Evangelho Quadrangular"/>
    <d v="2025-08-01T00:00:00"/>
    <s v="10/10232-745839"/>
    <s v="SIM"/>
    <n v="416"/>
    <n v="542.23"/>
    <n v="453.61712130628996"/>
    <s v="Aprovado"/>
    <n v="392.16"/>
    <n v="303.55"/>
    <d v="2025-09-10T00:00:00"/>
    <d v="2025-09-20T00:00:00"/>
    <n v="303.55"/>
    <m/>
    <s v="62955505015431303,55"/>
    <s v="09/00012749669-1"/>
    <x v="1"/>
    <n v="303.55"/>
    <n v="0"/>
    <m/>
  </r>
  <r>
    <x v="0"/>
    <s v="10/1695011-5"/>
    <n v="67991767866"/>
    <n v="62955505461210"/>
    <s v="energisa_ms"/>
    <s v="Igreja do Evangelho Quadrangular"/>
    <d v="2025-02-01T00:00:00"/>
    <s v="10/2794432-145931"/>
    <s v="SIM"/>
    <n v="375"/>
    <n v="1174.8999999999999"/>
    <n v="1073.7349999999999"/>
    <s v="Aprovado"/>
    <n v="404.65999999999997"/>
    <n v="303.5"/>
    <m/>
    <m/>
    <n v="303.5"/>
    <m/>
    <s v="62955505461210303,5"/>
    <m/>
    <x v="1"/>
    <n v="303.5"/>
    <n v="0"/>
    <m/>
  </r>
  <r>
    <x v="0"/>
    <s v="10/2794432-1"/>
    <n v="0"/>
    <n v="62955505015199"/>
    <s v="energisa_ms"/>
    <s v="Igreja do Evangelho Quadrangular"/>
    <d v="2025-09-01T00:00:00"/>
    <s v="10/510330-445627"/>
    <s v="SIM"/>
    <n v="342"/>
    <n v="571.65"/>
    <n v="460.68380772070168"/>
    <s v="Aprovado"/>
    <n v="413.16"/>
    <n v="302.19"/>
    <d v="2025-10-03T00:00:00"/>
    <d v="2025-10-13T00:00:00"/>
    <n v="302.19"/>
    <m/>
    <s v="62955505015199302,19"/>
    <s v="09/00012851408-8"/>
    <x v="1"/>
    <n v="302.19"/>
    <n v="0"/>
    <m/>
  </r>
  <r>
    <x v="0"/>
    <s v="10/1672452-8"/>
    <n v="67992637973"/>
    <n v="62955505017213"/>
    <s v="energisa_ms"/>
    <s v="Igreja do Evangelho Quadrangular"/>
    <d v="2025-05-01T00:00:00"/>
    <s v="10/13786-945839"/>
    <s v="SIM"/>
    <n v="356"/>
    <n v="571.48439999999994"/>
    <n v="470.78079999999994"/>
    <s v="Aprovado"/>
    <n v="402.81440000000003"/>
    <n v="302.11"/>
    <m/>
    <m/>
    <n v="302.11"/>
    <m/>
    <s v="62955505017213302,11"/>
    <m/>
    <x v="1"/>
    <n v="302.11"/>
    <n v="0"/>
    <m/>
  </r>
  <r>
    <x v="0"/>
    <s v="10/1266128-6"/>
    <n v="67991306665"/>
    <n v="62955505379395"/>
    <s v="energisa_ms"/>
    <s v="Igreja do Evangelho Quadrangular"/>
    <d v="2025-10-01T00:00:00"/>
    <s v="10/505854-045748"/>
    <s v="SIM"/>
    <n v="396"/>
    <n v="520.75470588235294"/>
    <n v="404.00409123399686"/>
    <s v="Aprovado"/>
    <n v="417.44470588235288"/>
    <n v="300.69"/>
    <d v="2025-11-06T00:00:00"/>
    <d v="2025-11-13T00:00:00"/>
    <n v="300.69"/>
    <m/>
    <s v="62955505379395300,69"/>
    <s v="09/00013026903-6"/>
    <x v="1"/>
    <n v="300.69"/>
    <n v="0"/>
    <m/>
  </r>
  <r>
    <x v="1"/>
    <s v="10/1081489-5"/>
    <n v="0"/>
    <n v="62955505016918"/>
    <s v="energisa_ms"/>
    <s v="Igreja do Evangelho Quadrangular"/>
    <d v="2025-08-01T00:00:00"/>
    <s v="10/283183-245870"/>
    <s v="SIM"/>
    <n v="412"/>
    <n v="503.83"/>
    <n v="416.0689944006271"/>
    <s v="Aprovado"/>
    <n v="388.39000000000004"/>
    <n v="300.63"/>
    <d v="2025-09-10T00:00:00"/>
    <d v="2025-09-20T00:00:00"/>
    <n v="300.63"/>
    <m/>
    <s v="62955505016918300,63"/>
    <s v="09/00012749670-9"/>
    <x v="1"/>
    <n v="300.63"/>
    <n v="0"/>
    <d v="2025-09-29T00:00:00"/>
  </r>
  <r>
    <x v="0"/>
    <s v="10/435964-2"/>
    <n v="67992021114"/>
    <n v="62955505357405"/>
    <s v="energisa_ms"/>
    <s v="Igreja do Evangelho Quadrangular"/>
    <d v="2025-01-01T00:00:00"/>
    <s v="10/1081489-545658"/>
    <s v="SIM"/>
    <n v="400"/>
    <n v="500.08"/>
    <n v="399.92250000000001"/>
    <s v="Aprovado"/>
    <n v="400.63000000000005"/>
    <n v="300.47000000000003"/>
    <m/>
    <m/>
    <n v="300.47000000000003"/>
    <m/>
    <s v="62955505357405300,47"/>
    <m/>
    <x v="1"/>
    <n v="300.47000000000003"/>
    <n v="0"/>
    <m/>
  </r>
  <r>
    <x v="0"/>
    <s v="10/276283-9"/>
    <s v="46 999066691"/>
    <n v="62955505177504"/>
    <s v="energisa_ms"/>
    <s v="Igreja do Evangelho Quadrangular"/>
    <d v="2025-02-01T00:00:00"/>
    <s v="10/435964-245901"/>
    <s v="SIM"/>
    <n v="385"/>
    <n v="580.44000000000005"/>
    <n v="480.28999999999996"/>
    <s v="Aprovado"/>
    <n v="400.6"/>
    <n v="300.45"/>
    <m/>
    <m/>
    <n v="300.45"/>
    <m/>
    <s v="62955505177504300,45"/>
    <m/>
    <x v="1"/>
    <n v="300.45"/>
    <n v="0"/>
    <m/>
  </r>
  <r>
    <x v="0"/>
    <s v="10/2794432-1"/>
    <n v="67991162146"/>
    <n v="62955505015199"/>
    <s v="energisa_ms"/>
    <s v="Igreja do Evangelho Quadrangular"/>
    <d v="2025-10-01T00:00:00"/>
    <s v="10/8777-545809"/>
    <s v="SIM"/>
    <n v="344"/>
    <n v="538.71760000000006"/>
    <n v="422.68774834501488"/>
    <s v="Aprovado"/>
    <n v="414.86759999999998"/>
    <n v="298.83999999999997"/>
    <d v="2025-11-06T00:00:00"/>
    <d v="2025-11-13T00:00:00"/>
    <n v="298.83999999999997"/>
    <m/>
    <s v="62955505015199298,84"/>
    <s v="09/00013026946-5"/>
    <x v="1"/>
    <n v="298.83999999999997"/>
    <n v="0"/>
    <m/>
  </r>
  <r>
    <x v="0"/>
    <s v="10/260761-2"/>
    <n v="67996150274"/>
    <n v="62955505000167"/>
    <s v="energisa_ms"/>
    <s v="Igreja do Evangelho Quadrangular"/>
    <d v="2025-02-01T00:00:00"/>
    <s v="10/127464-645658"/>
    <s v="SIM"/>
    <n v="402"/>
    <n v="582.76"/>
    <n v="484.86749999999995"/>
    <s v="Aprovado"/>
    <n v="391.57000000000005"/>
    <n v="293.68"/>
    <m/>
    <m/>
    <n v="293.68"/>
    <m/>
    <s v="62955505000167293,68"/>
    <m/>
    <x v="1"/>
    <n v="293.68"/>
    <n v="0"/>
    <m/>
  </r>
  <r>
    <x v="0"/>
    <s v="10/72605-9"/>
    <n v="67996071169"/>
    <n v="62955505136492"/>
    <s v="energisa_ms"/>
    <s v="Igreja do Evangelho Quadrangular"/>
    <d v="2025-10-01T00:00:00"/>
    <s v="10/512142-145778"/>
    <s v="SIM"/>
    <n v="381"/>
    <n v="582.62351351351356"/>
    <n v="469.025217288026"/>
    <s v="Aprovado"/>
    <n v="406.17351351351351"/>
    <n v="292.58"/>
    <d v="2025-11-06T00:00:00"/>
    <d v="2025-11-13T00:00:00"/>
    <n v="292.58"/>
    <m/>
    <s v="62955505136492292,58"/>
    <s v="09/00013026926-7"/>
    <x v="1"/>
    <n v="292.58"/>
    <n v="0"/>
    <m/>
  </r>
  <r>
    <x v="2"/>
    <s v="10/2247256-7"/>
    <e v="#N/A"/>
    <n v="62955505015199"/>
    <s v="energisa_ms"/>
    <s v="Igreja do Evangelho Quadrangular"/>
    <d v="2025-03-01T00:00:00"/>
    <s v="10/504844-245658"/>
    <s v="SIM"/>
    <n v="377"/>
    <n v="1220.1699999999998"/>
    <n v="1122.7942668136714"/>
    <s v="Aprovado"/>
    <n v="389.5029327453143"/>
    <n v="292.13"/>
    <m/>
    <m/>
    <n v="292.13"/>
    <m/>
    <s v="62955505015199292,13"/>
    <m/>
    <x v="2"/>
    <m/>
    <n v="0"/>
    <m/>
  </r>
  <r>
    <x v="1"/>
    <s v="10/61344-8"/>
    <n v="67999998719"/>
    <n v="62955505015431"/>
    <s v="energisa_ms"/>
    <s v="Igreja do Evangelho Quadrangular"/>
    <d v="2025-05-01T00:00:00"/>
    <s v="10/109074-545658"/>
    <s v="SIM"/>
    <n v="396"/>
    <n v="663.87884955752224"/>
    <n v="566.61913716814161"/>
    <s v="Aprovado"/>
    <n v="389.03884955752221"/>
    <n v="291.77999999999997"/>
    <m/>
    <m/>
    <n v="291.77999999999997"/>
    <m/>
    <s v="62955505015431291,78"/>
    <m/>
    <x v="1"/>
    <n v="291.77999999999997"/>
    <n v="0"/>
    <m/>
  </r>
  <r>
    <x v="0"/>
    <s v="10/3139326-7"/>
    <n v="67999361728"/>
    <n v="62955505182257"/>
    <s v="energisa_ms"/>
    <s v="Igreja do Evangelho Quadrangular"/>
    <d v="2025-10-01T00:00:00"/>
    <s v="10/40190-145717"/>
    <s v="SIM"/>
    <n v="375"/>
    <n v="585.88076923076926"/>
    <n v="472.69716578719351"/>
    <s v="Aprovado"/>
    <n v="404.69076923076932"/>
    <n v="291.51"/>
    <d v="2025-11-06T00:00:00"/>
    <d v="2025-11-13T00:00:00"/>
    <n v="291.51"/>
    <m/>
    <s v="62955505182257291,51"/>
    <s v="09/00013026870-7"/>
    <x v="1"/>
    <n v="291.51"/>
    <n v="0"/>
    <m/>
  </r>
  <r>
    <x v="0"/>
    <s v="10/191945-5"/>
    <s v="67 81355403"/>
    <n v="62955505215791"/>
    <s v="energisa_ms"/>
    <s v="Igreja do Evangelho Quadrangular"/>
    <d v="2025-06-01T00:00:00"/>
    <s v="10/129490-945658"/>
    <s v="SIM"/>
    <n v="329"/>
    <n v="598.44410000000005"/>
    <n v="506.39084841625976"/>
    <s v="Aprovado"/>
    <n v="387.99409999999995"/>
    <n v="291"/>
    <d v="2025-07-22T00:00:00"/>
    <d v="2025-08-02T00:00:00"/>
    <n v="291"/>
    <m/>
    <s v="62955505215791291"/>
    <s v="09/00012472741-1"/>
    <x v="1"/>
    <n v="291"/>
    <n v="0"/>
    <s v="01/08/2025"/>
  </r>
  <r>
    <x v="0"/>
    <s v="10/76927-3"/>
    <s v="67 999373813"/>
    <n v="62955505058599"/>
    <s v="energisa_ms"/>
    <s v="Igreja do Evangelho Quadrangular"/>
    <d v="2025-10-01T00:00:00"/>
    <s v="10/3170252-545748"/>
    <s v="SIM"/>
    <n v="375"/>
    <n v="580.14657894736843"/>
    <n v="467.93743116560086"/>
    <s v="Aprovado"/>
    <n v="401.20657894736831"/>
    <n v="289"/>
    <d v="2025-11-06T00:00:00"/>
    <d v="2025-11-13T00:00:00"/>
    <n v="289"/>
    <m/>
    <s v="62955505058599289"/>
    <s v="09/00013026900-2"/>
    <x v="1"/>
    <n v="289"/>
    <n v="0"/>
    <m/>
  </r>
  <r>
    <x v="0"/>
    <s v="10/1035655-8"/>
    <n v="67996135721"/>
    <n v="62955505182257"/>
    <s v="energisa_ms"/>
    <s v="Igreja do Evangelho Quadrangular"/>
    <d v="2025-02-01T00:00:00"/>
    <s v="10/127464-645901"/>
    <s v="SIM"/>
    <n v="381"/>
    <n v="557.14"/>
    <n v="461.3075"/>
    <s v="Aprovado"/>
    <n v="383.33000000000004"/>
    <n v="287.5"/>
    <m/>
    <m/>
    <n v="287.5"/>
    <m/>
    <s v="62955505182257287,5"/>
    <m/>
    <x v="1"/>
    <n v="287.5"/>
    <n v="0"/>
    <m/>
  </r>
  <r>
    <x v="0"/>
    <s v="10/532723-4"/>
    <n v="67996446178"/>
    <n v="62955505359360"/>
    <s v="energisa_ms"/>
    <s v="Igreja do Evangelho Quadrangular"/>
    <d v="2025-01-01T00:00:00"/>
    <s v="10/510330-445717"/>
    <s v="SIM"/>
    <n v="375"/>
    <n v="588.63000000000011"/>
    <n v="492.82499999999999"/>
    <s v="Aprovado"/>
    <n v="383.22000000000008"/>
    <n v="287.42"/>
    <m/>
    <m/>
    <n v="287.42"/>
    <m/>
    <s v="62955505359360287,42"/>
    <m/>
    <x v="1"/>
    <n v="287.42"/>
    <n v="0"/>
    <m/>
  </r>
  <r>
    <x v="0"/>
    <s v="10/191945-5"/>
    <s v="67 81355403"/>
    <n v="62955505215791"/>
    <s v="energisa_ms"/>
    <s v="Igreja do Evangelho Quadrangular"/>
    <d v="2025-07-01T00:00:00"/>
    <s v="10/1117293-945717"/>
    <s v="SIM"/>
    <n v="314"/>
    <n v="574.04820000000007"/>
    <n v="490.26485092000001"/>
    <s v="Aprovado"/>
    <n v="370.16820000000001"/>
    <n v="286.38"/>
    <d v="2025-09-10T00:00:00"/>
    <d v="2025-09-20T00:00:00"/>
    <n v="286.38"/>
    <m/>
    <s v="62955505215791286,38"/>
    <s v="09/00012683472-8"/>
    <x v="1"/>
    <n v="286.38"/>
    <n v="0"/>
    <m/>
  </r>
  <r>
    <x v="0"/>
    <s v="10/399338-3"/>
    <n v="67991060202"/>
    <n v="62955505213233"/>
    <s v="energisa_ms"/>
    <s v="Igreja do Evangelho Quadrangular"/>
    <d v="2025-05-01T00:00:00"/>
    <s v="10/1184751-445839"/>
    <s v="SIM"/>
    <n v="391"/>
    <n v="477.94838709677418"/>
    <n v="382.57379032258063"/>
    <s v="Aprovado"/>
    <n v="381.4983870967742"/>
    <n v="286.12"/>
    <m/>
    <m/>
    <n v="286.12"/>
    <m/>
    <s v="62955505213233286,12"/>
    <m/>
    <x v="1"/>
    <n v="286.12"/>
    <n v="0"/>
    <m/>
  </r>
  <r>
    <x v="0"/>
    <s v="10/435964-2"/>
    <n v="0"/>
    <n v="62955505357405"/>
    <s v="energisa_ms"/>
    <s v="Igreja do Evangelho Quadrangular"/>
    <d v="2025-09-01T00:00:00"/>
    <s v="10/63920-345689"/>
    <s v="SIM"/>
    <n v="372"/>
    <n v="496.64461538461529"/>
    <n v="391.59129802625188"/>
    <s v="Aprovado"/>
    <n v="391.14461538461535"/>
    <n v="286.08999999999997"/>
    <d v="2025-10-03T00:00:00"/>
    <d v="2025-10-13T00:00:00"/>
    <n v="286.08999999999997"/>
    <m/>
    <s v="62955505357405286,09"/>
    <s v="09/00012851451-8"/>
    <x v="1"/>
    <n v="286.08999999999997"/>
    <n v="0"/>
    <m/>
  </r>
  <r>
    <x v="0"/>
    <s v="10/3030784-7"/>
    <n v="67996266684"/>
    <n v="62955505016080"/>
    <s v="energisa_ms"/>
    <s v="Igreja do Evangelho Quadrangular"/>
    <d v="2025-04-01T00:00:00"/>
    <s v="10/341308-545748"/>
    <s v="SIM"/>
    <n v="356"/>
    <n v="565.29"/>
    <n v="470.06749999999994"/>
    <s v="Aprovado"/>
    <n v="380.89"/>
    <n v="285.67"/>
    <m/>
    <m/>
    <n v="285.67"/>
    <m/>
    <s v="62955505016080285,67"/>
    <m/>
    <x v="1"/>
    <n v="285.67"/>
    <n v="0"/>
    <m/>
  </r>
  <r>
    <x v="0"/>
    <s v="10/3092868-3"/>
    <s v=" 67 91285460"/>
    <n v="62955505419443"/>
    <s v="energisa_ms"/>
    <s v="Igreja do Evangelho Quadrangular"/>
    <d v="2025-02-01T00:00:00"/>
    <s v="10/1939035-045658"/>
    <s v="SIM"/>
    <n v="366"/>
    <n v="484.45"/>
    <n v="389.38749999999999"/>
    <s v="Aprovado"/>
    <n v="380.25"/>
    <n v="285.19"/>
    <m/>
    <m/>
    <n v="285.19"/>
    <m/>
    <s v="62955505419443285,19"/>
    <m/>
    <x v="1"/>
    <n v="285.19"/>
    <n v="0"/>
    <m/>
  </r>
  <r>
    <x v="0"/>
    <s v="10/3092868-3"/>
    <s v=" 67 91285460"/>
    <n v="62955505419443"/>
    <s v="energisa_ms"/>
    <s v="Igreja do Evangelho Quadrangular"/>
    <d v="2025-04-01T00:00:00"/>
    <s v="10/435964-245748"/>
    <s v="SIM"/>
    <n v="351"/>
    <n v="483.58999999999992"/>
    <n v="389.54500015249988"/>
    <s v="Aprovado"/>
    <n v="376.17999939000003"/>
    <n v="282.13"/>
    <m/>
    <m/>
    <n v="282.13"/>
    <m/>
    <s v="62955505419443282,13"/>
    <m/>
    <x v="1"/>
    <n v="282.13"/>
    <n v="0"/>
    <m/>
  </r>
  <r>
    <x v="1"/>
    <s v="10/1939035-0"/>
    <s v=" 67 91285460"/>
    <n v="62955505419443"/>
    <s v="energisa_ms"/>
    <s v="Igreja do Evangelho Quadrangular"/>
    <d v="2025-01-01T00:00:00"/>
    <s v="10/191945-545689"/>
    <s v="SIM"/>
    <n v="336"/>
    <n v="426.94"/>
    <n v="333.17750000000001"/>
    <s v="Aprovado"/>
    <n v="375.04999999999995"/>
    <n v="281.29000000000002"/>
    <m/>
    <m/>
    <n v="281.29000000000002"/>
    <m/>
    <s v="62955505419443281,29"/>
    <m/>
    <x v="1"/>
    <n v="281.29000000000002"/>
    <n v="0"/>
    <m/>
  </r>
  <r>
    <x v="1"/>
    <s v="10/1081489-5"/>
    <n v="67996446178"/>
    <n v="62955505016918"/>
    <s v="energisa_ms"/>
    <s v="Igreja do Evangelho Quadrangular"/>
    <d v="2025-07-01T00:00:00"/>
    <s v="10/78338-145839"/>
    <s v="SIM"/>
    <n v="379"/>
    <n v="465.8"/>
    <n v="383.20911799999999"/>
    <s v="Aprovado"/>
    <n v="363.05"/>
    <n v="280.45999999999998"/>
    <d v="2025-09-10T00:00:00"/>
    <d v="2025-09-20T00:00:00"/>
    <n v="280.45999999999998"/>
    <m/>
    <s v="62955505016918280,46"/>
    <s v="09/00012683493-4"/>
    <x v="1"/>
    <n v="280.45999999999998"/>
    <n v="0"/>
    <m/>
  </r>
  <r>
    <x v="0"/>
    <s v="10/510330-4"/>
    <n v="67992637973"/>
    <n v="62955505367117"/>
    <s v="energisa_ms"/>
    <s v="Igreja do Evangelho Quadrangular"/>
    <d v="2025-05-01T00:00:00"/>
    <s v="10/532081-745748"/>
    <s v="SIM"/>
    <n v="326"/>
    <n v="564.66419999999994"/>
    <n v="472.30065000000002"/>
    <s v="Aprovado"/>
    <n v="369.45420000000001"/>
    <n v="277.08999999999997"/>
    <m/>
    <m/>
    <n v="277.08999999999997"/>
    <m/>
    <s v="62955505367117277,09"/>
    <m/>
    <x v="1"/>
    <n v="277.08999999999997"/>
    <n v="0"/>
    <m/>
  </r>
  <r>
    <x v="0"/>
    <s v="10/504844-2"/>
    <n v="0"/>
    <n v="62955505354481"/>
    <s v="energisa_ms"/>
    <s v="Igreja do Evangelho Quadrangular"/>
    <d v="2025-09-01T00:00:00"/>
    <s v="10/81222-245689"/>
    <s v="SIM"/>
    <n v="360"/>
    <n v="527.53658536585374"/>
    <n v="425.91518139700668"/>
    <s v="Aprovado"/>
    <n v="378.36658536585367"/>
    <n v="276.75"/>
    <d v="2025-10-03T00:00:00"/>
    <d v="2025-10-13T00:00:00"/>
    <n v="276.75"/>
    <m/>
    <s v="62955505354481276,75"/>
    <s v="09/00012851442-7"/>
    <x v="1"/>
    <n v="276.75"/>
    <n v="0"/>
    <m/>
  </r>
  <r>
    <x v="0"/>
    <s v="10/260761-2"/>
    <n v="67996150274"/>
    <n v="62955505000167"/>
    <s v="energisa_ms"/>
    <s v="Igreja do Evangelho Quadrangular"/>
    <d v="2025-07-01T00:00:00"/>
    <s v="10/3054052-045717"/>
    <s v="SIM"/>
    <n v="356"/>
    <n v="765.80719211822657"/>
    <n v="683.63446224630547"/>
    <s v="Aprovado"/>
    <n v="358.20719211822643"/>
    <n v="276.02999999999997"/>
    <d v="2025-09-10T00:00:00"/>
    <d v="2025-09-20T00:00:00"/>
    <n v="276.02999999999997"/>
    <m/>
    <s v="62955505000167276,03"/>
    <s v="09/00012683514-7"/>
    <x v="1"/>
    <n v="276.02999999999997"/>
    <n v="0"/>
    <m/>
  </r>
  <r>
    <x v="0"/>
    <s v="10/1695011-5"/>
    <n v="67991767866"/>
    <n v="62955505461210"/>
    <s v="energisa_ms"/>
    <s v="Igreja do Evangelho Quadrangular"/>
    <d v="2025-03-01T00:00:00"/>
    <s v="10/142353-245870"/>
    <s v="SIM"/>
    <n v="339"/>
    <n v="1111.72"/>
    <n v="1020.175"/>
    <s v="Aprovado"/>
    <n v="366.18000000000006"/>
    <n v="274.64"/>
    <m/>
    <m/>
    <n v="274.64"/>
    <m/>
    <s v="62955505461210274,64"/>
    <m/>
    <x v="1"/>
    <n v="274.64"/>
    <n v="0"/>
    <m/>
  </r>
  <r>
    <x v="1"/>
    <s v="10/61344-8"/>
    <n v="67999998719"/>
    <n v="62955505015431"/>
    <s v="energisa_ms"/>
    <s v="Igreja do Evangelho Quadrangular"/>
    <d v="2025-07-01T00:00:00"/>
    <s v="10/952579-145748"/>
    <s v="SIM"/>
    <n v="375"/>
    <n v="474.57"/>
    <n v="392.85083799999995"/>
    <s v="Aprovado"/>
    <n v="356.23"/>
    <n v="274.51"/>
    <d v="2025-09-10T00:00:00"/>
    <d v="2025-09-20T00:00:00"/>
    <n v="274.51"/>
    <m/>
    <s v="62955505015431274,51"/>
    <s v="09/00012683492-6"/>
    <x v="1"/>
    <n v="356.23"/>
    <n v="81.720000000000027"/>
    <d v="2025-09-25T00:00:00"/>
  </r>
  <r>
    <x v="0"/>
    <s v="10/3123706-8"/>
    <n v="67999050448"/>
    <n v="62955505375721"/>
    <s v="energisa_ms"/>
    <s v="Igreja do Evangelho Quadrangular"/>
    <d v="2025-09-01T00:00:00"/>
    <s v="10/3123706-845689"/>
    <s v="SIM"/>
    <n v="333"/>
    <n v="514.93521739130438"/>
    <n v="420.91228708522294"/>
    <s v="Aprovado"/>
    <n v="350.07521739130436"/>
    <n v="256.05"/>
    <d v="2025-10-03T00:00:00"/>
    <d v="2025-10-13T00:00:00"/>
    <n v="256.05"/>
    <m/>
    <s v="62955505375721256,05"/>
    <s v="09/00012851452-6"/>
    <x v="2"/>
    <m/>
    <n v="0"/>
    <m/>
  </r>
  <r>
    <x v="0"/>
    <s v="10/3092868-3"/>
    <s v="67 9967-7090"/>
    <n v="62955505419443"/>
    <s v="energisa_ms"/>
    <s v="Igreja do Evangelho Quadrangular"/>
    <d v="2025-10-01T00:00:00"/>
    <s v="10/952579-145809"/>
    <s v="SIM"/>
    <n v="312"/>
    <n v="500.21199999999999"/>
    <n v="394.26894764640161"/>
    <s v="Aprovado"/>
    <n v="378.80200000000008"/>
    <n v="272.86"/>
    <d v="2025-11-06T00:00:00"/>
    <d v="2025-11-13T00:00:00"/>
    <n v="272.86"/>
    <m/>
    <s v="62955505419443272,86"/>
    <s v="09/00013026952-3"/>
    <x v="1"/>
    <n v="272.86"/>
    <n v="0"/>
    <m/>
  </r>
  <r>
    <x v="0"/>
    <s v="10/260761-2"/>
    <n v="67996150274"/>
    <n v="62955505000167"/>
    <s v="energisa_ms"/>
    <s v="Igreja do Evangelho Quadrangular"/>
    <d v="2025-04-01T00:00:00"/>
    <s v="10/395471-645901"/>
    <s v="SIM"/>
    <n v="373"/>
    <n v="628.79999999999995"/>
    <n v="538.04500632499992"/>
    <s v="Aprovado"/>
    <n v="729.75997470000004"/>
    <n v="272.26"/>
    <m/>
    <m/>
    <n v="272.26"/>
    <m/>
    <s v="62955505000167272,26"/>
    <m/>
    <x v="1"/>
    <n v="272.26"/>
    <n v="0"/>
    <m/>
  </r>
  <r>
    <x v="0"/>
    <s v="10/399338-3"/>
    <n v="0"/>
    <n v="62955505213233"/>
    <s v="energisa_ms"/>
    <s v="Igreja do Evangelho Quadrangular"/>
    <d v="2025-09-01T00:00:00"/>
    <s v="10/280638-845689"/>
    <s v="SIM"/>
    <n v="350"/>
    <n v="477.1672093023256"/>
    <n v="378.34423327349157"/>
    <s v="Aprovado"/>
    <n v="367.94720930232552"/>
    <n v="269.12"/>
    <d v="2025-10-03T00:00:00"/>
    <d v="2025-10-13T00:00:00"/>
    <n v="269.12"/>
    <m/>
    <s v="62955505213233269,12"/>
    <s v="09/00012851435-1"/>
    <x v="1"/>
    <n v="269.12"/>
    <n v="0"/>
    <m/>
  </r>
  <r>
    <x v="0"/>
    <s v="10/532723-4"/>
    <n v="67996446178"/>
    <n v="62955505359360"/>
    <s v="energisa_ms"/>
    <s v="Igreja do Evangelho Quadrangular"/>
    <d v="2025-09-01T00:00:00"/>
    <s v="10/5202-745627"/>
    <s v="SIM"/>
    <n v="289"/>
    <n v="541.48439999999994"/>
    <n v="447.87261544129956"/>
    <s v="Aprovado"/>
    <n v="348.5444"/>
    <n v="254.93"/>
    <d v="2025-10-03T00:00:00"/>
    <d v="2025-10-13T00:00:00"/>
    <n v="254.93"/>
    <m/>
    <s v="62955505359360254,93"/>
    <s v="09/00012851411-2"/>
    <x v="2"/>
    <m/>
    <n v="0"/>
    <m/>
  </r>
  <r>
    <x v="0"/>
    <s v="10/435964-2"/>
    <n v="67992021114"/>
    <n v="62955505357405"/>
    <s v="energisa_ms"/>
    <s v="Igreja do Evangelho Quadrangular"/>
    <d v="2025-10-01T00:00:00"/>
    <s v="10/3125732-245717"/>
    <s v="SIM"/>
    <n v="351"/>
    <n v="527.76682926829278"/>
    <n v="423.52007920550278"/>
    <s v="Aprovado"/>
    <n v="372.73682926829275"/>
    <n v="268.49"/>
    <d v="2025-11-06T00:00:00"/>
    <d v="2025-11-13T00:00:00"/>
    <n v="268.49"/>
    <m/>
    <s v="62955505357405268,49"/>
    <s v="09/00013026891-3"/>
    <x v="1"/>
    <n v="268.49"/>
    <n v="0"/>
    <m/>
  </r>
  <r>
    <x v="0"/>
    <s v="10/276283-9"/>
    <n v="0"/>
    <n v="62955505088404"/>
    <s v="energisa_ms"/>
    <s v="Igreja do Evangelho Quadrangular"/>
    <d v="2025-09-01T00:00:00"/>
    <s v="10/1081489-545689"/>
    <s v="SIM"/>
    <n v="309"/>
    <n v="561.00425531914891"/>
    <n v="462.45602347753061"/>
    <s v="Aprovado"/>
    <n v="366.92425531914893"/>
    <n v="268.38"/>
    <d v="2025-10-03T00:00:00"/>
    <d v="2025-10-13T00:00:00"/>
    <n v="268.38"/>
    <m/>
    <s v="62955505088404268,38"/>
    <s v="09/00012851431-0"/>
    <x v="1"/>
    <n v="268.38"/>
    <n v="0"/>
    <m/>
  </r>
  <r>
    <x v="1"/>
    <s v="10/1939035-0"/>
    <s v=" 67 91285460"/>
    <n v="62955505419443"/>
    <s v="energisa_ms"/>
    <s v="Igreja do Evangelho Quadrangular"/>
    <d v="2025-04-01T00:00:00"/>
    <s v="10/1939035-045870"/>
    <s v="SIM"/>
    <n v="343"/>
    <n v="444.58000000000004"/>
    <n v="355.32250772500004"/>
    <s v="Aprovado"/>
    <n v="357.02996910000002"/>
    <n v="267.77"/>
    <m/>
    <m/>
    <n v="267.77"/>
    <m/>
    <s v="62955505419443267,77"/>
    <m/>
    <x v="1"/>
    <n v="267.77"/>
    <n v="0"/>
    <m/>
  </r>
  <r>
    <x v="0"/>
    <s v="10/3139326-7"/>
    <n v="0"/>
    <n v="62955505182257"/>
    <s v="energisa_ms"/>
    <s v="Igreja do Evangelho Quadrangular"/>
    <d v="2025-08-01T00:00:00"/>
    <s v="10/987178-145658"/>
    <s v="SIM"/>
    <n v="344"/>
    <n v="514.45142857142855"/>
    <n v="436.4019053680903"/>
    <s v="Aprovado"/>
    <n v="345.41142857142859"/>
    <n v="267.36"/>
    <d v="2025-09-10T00:00:00"/>
    <d v="2025-09-20T00:00:00"/>
    <n v="267.36"/>
    <m/>
    <s v="62955505182257267,36"/>
    <s v="09/00012749680-8"/>
    <x v="1"/>
    <n v="345.41"/>
    <n v="78.050000000000011"/>
    <d v="2025-10-02T00:00:00"/>
  </r>
  <r>
    <x v="0"/>
    <s v="10/532723-4"/>
    <n v="67996446178"/>
    <n v="62955505359360"/>
    <s v="energisa_ms"/>
    <s v="Igreja do Evangelho Quadrangular"/>
    <d v="2025-02-01T00:00:00"/>
    <s v="10/399338-345901"/>
    <s v="SIM"/>
    <n v="350"/>
    <n v="553.09"/>
    <n v="464.05500000000006"/>
    <s v="Aprovado"/>
    <n v="356.14"/>
    <n v="267.11"/>
    <m/>
    <m/>
    <n v="267.11"/>
    <m/>
    <s v="62955505359360267,11"/>
    <m/>
    <x v="1"/>
    <n v="267.11"/>
    <n v="0"/>
    <m/>
  </r>
  <r>
    <x v="0"/>
    <s v="10/8777-5"/>
    <s v="67 992319530"/>
    <n v="62955505122432"/>
    <s v="energisa_ms"/>
    <s v="Igreja do Evangelho Quadrangular"/>
    <d v="2025-05-01T00:00:00"/>
    <s v="10/3040565-845778"/>
    <s v="SIM"/>
    <n v="364"/>
    <n v="628.42403508771929"/>
    <n v="539.50302631578938"/>
    <s v="Aprovado"/>
    <n v="355.68403508771928"/>
    <n v="266.76"/>
    <m/>
    <m/>
    <n v="266.76"/>
    <m/>
    <s v="62955505122432266,76"/>
    <m/>
    <x v="1"/>
    <n v="355.68"/>
    <n v="88.920000000000016"/>
    <d v="2025-09-26T00:00:00"/>
  </r>
  <r>
    <x v="0"/>
    <s v="10/931327-1"/>
    <s v="67 992158055"/>
    <n v="62955505402710"/>
    <s v="energisa_ms"/>
    <s v="Igreja do Evangelho Quadrangular"/>
    <d v="2025-03-01T00:00:00"/>
    <s v="10/3040565-845839"/>
    <s v="SIM"/>
    <n v="342"/>
    <n v="554.96"/>
    <n v="466.09750000000003"/>
    <s v="Aprovado"/>
    <n v="355.45"/>
    <n v="266.58999999999997"/>
    <m/>
    <m/>
    <n v="266.58999999999997"/>
    <m/>
    <s v="62955505402710266,59"/>
    <m/>
    <x v="1"/>
    <n v="266.58999999999997"/>
    <n v="0"/>
    <m/>
  </r>
  <r>
    <x v="0"/>
    <s v="10/504844-2"/>
    <n v="67992637973"/>
    <n v="62955505354481"/>
    <s v="energisa_ms"/>
    <s v="Igreja do Evangelho Quadrangular"/>
    <d v="2025-05-01T00:00:00"/>
    <s v="10/280638-845778"/>
    <s v="SIM"/>
    <n v="364"/>
    <n v="596.80471698113217"/>
    <n v="508.0385377358491"/>
    <s v="Aprovado"/>
    <n v="355.06471698113211"/>
    <n v="266.3"/>
    <m/>
    <m/>
    <n v="266.3"/>
    <m/>
    <s v="62955505354481266,3"/>
    <m/>
    <x v="1"/>
    <n v="266.3"/>
    <n v="0"/>
    <m/>
  </r>
  <r>
    <x v="0"/>
    <s v="10/260761-2"/>
    <n v="67996150274"/>
    <n v="62955505000167"/>
    <s v="energisa_ms"/>
    <s v="Igreja do Evangelho Quadrangular"/>
    <d v="2025-05-01T00:00:00"/>
    <s v="10/72605-945658"/>
    <s v="SIM"/>
    <n v="364"/>
    <n v="607.70000000000005"/>
    <n v="518.94250000000011"/>
    <s v="Aprovado"/>
    <n v="355.03"/>
    <n v="266.27"/>
    <m/>
    <m/>
    <n v="266.27"/>
    <m/>
    <s v="62955505000167266,27"/>
    <m/>
    <x v="1"/>
    <n v="355.03"/>
    <n v="88.759999999999991"/>
    <d v="2025-09-25T00:00:00"/>
  </r>
  <r>
    <x v="0"/>
    <s v="10/1266128-6"/>
    <n v="67991306665"/>
    <n v="62955505379395"/>
    <s v="energisa_ms"/>
    <s v="Igreja do Evangelho Quadrangular"/>
    <d v="2025-03-01T00:00:00"/>
    <s v="10/1698130-045717"/>
    <s v="SIM"/>
    <n v="361"/>
    <n v="513.48"/>
    <n v="425.57"/>
    <s v="Aprovado"/>
    <n v="351.64000000000004"/>
    <n v="263.73"/>
    <m/>
    <m/>
    <n v="263.73"/>
    <m/>
    <s v="62955505379395263,73"/>
    <m/>
    <x v="1"/>
    <n v="263.73"/>
    <n v="0"/>
    <m/>
  </r>
  <r>
    <x v="0"/>
    <s v="10/489076-0"/>
    <n v="67996266684"/>
    <n v="62955505016080"/>
    <s v="energisa_ms"/>
    <s v="Igreja do Evangelho Quadrangular"/>
    <d v="2025-04-01T00:00:00"/>
    <s v="10/3030784-745809"/>
    <s v="SIM"/>
    <n v="361"/>
    <n v="598.17999999999995"/>
    <n v="510.27"/>
    <s v="Aprovado"/>
    <n v="351.64000000000004"/>
    <n v="263.73"/>
    <m/>
    <m/>
    <n v="263.73"/>
    <m/>
    <s v="62955505016080263,73"/>
    <m/>
    <x v="1"/>
    <n v="263.73"/>
    <n v="0"/>
    <m/>
  </r>
  <r>
    <x v="1"/>
    <s v="10/1081489-5"/>
    <n v="67996446178"/>
    <n v="62955505016918"/>
    <s v="energisa_ms"/>
    <s v="Igreja do Evangelho Quadrangular"/>
    <d v="2025-04-01T00:00:00"/>
    <s v="10/952579-145901"/>
    <s v="SIM"/>
    <n v="361"/>
    <n v="604.81999999999994"/>
    <n v="516.91"/>
    <s v="Aprovado"/>
    <n v="351.64000000000004"/>
    <n v="263.73"/>
    <m/>
    <m/>
    <n v="263.73"/>
    <m/>
    <s v="62955505016918263,73"/>
    <e v="#N/A"/>
    <x v="1"/>
    <n v="351.64"/>
    <n v="87.909999999999968"/>
    <d v="2025-09-29T00:00:00"/>
  </r>
  <r>
    <x v="0"/>
    <s v="10/3139326-7"/>
    <n v="67999361728"/>
    <n v="62955505182257"/>
    <s v="energisa_ms"/>
    <s v="Igreja do Evangelho Quadrangular"/>
    <d v="2025-04-01T00:00:00"/>
    <s v="10/1939035-045778"/>
    <s v="SIM"/>
    <n v="361"/>
    <n v="652.91"/>
    <n v="565.00000019499998"/>
    <s v="Aprovado"/>
    <n v="351.63999921999999"/>
    <n v="263.73"/>
    <m/>
    <m/>
    <n v="263.73"/>
    <m/>
    <s v="62955505182257263,73"/>
    <e v="#N/A"/>
    <x v="1"/>
    <n v="351.64"/>
    <n v="87.909999999999968"/>
    <d v="2025-10-02T00:00:00"/>
  </r>
  <r>
    <x v="1"/>
    <s v="10/142353-2"/>
    <n v="67992899434"/>
    <n v="62955505113875"/>
    <s v="energisa_ms"/>
    <s v="Igreja do Evangelho Quadrangular"/>
    <d v="2025-04-01T00:00:00"/>
    <s v="10/1117293-945658"/>
    <s v="SIM"/>
    <n v="361"/>
    <n v="582.72"/>
    <n v="494.93249999999995"/>
    <s v="Aprovado"/>
    <n v="351.15000000000003"/>
    <n v="263.36"/>
    <m/>
    <m/>
    <n v="263.36"/>
    <m/>
    <s v="62955505113875263,36"/>
    <e v="#N/A"/>
    <x v="1"/>
    <n v="351.15"/>
    <n v="87.789999999999964"/>
    <d v="2025-10-03T00:00:00"/>
  </r>
  <r>
    <x v="1"/>
    <s v="10/3556072-1"/>
    <n v="0"/>
    <n v="62955505016403"/>
    <s v="energisa_ms"/>
    <s v="Igreja do Evangelho Quadrangular"/>
    <d v="2025-10-01T00:00:00"/>
    <s v="10/2338577-645717"/>
    <s v="SIM"/>
    <n v="367"/>
    <n v="417.69"/>
    <n v="316.97471184667899"/>
    <s v="Aprovado"/>
    <n v="360.11"/>
    <n v="259.39"/>
    <d v="2025-11-06T00:00:00"/>
    <d v="2025-11-13T00:00:00"/>
    <n v="259.39"/>
    <m/>
    <s v="62955505016403259,39"/>
    <s v="09/00013026877-2"/>
    <x v="1"/>
    <n v="259.39"/>
    <n v="0"/>
    <m/>
  </r>
  <r>
    <x v="0"/>
    <s v="10/3123706-8"/>
    <n v="67999050448"/>
    <n v="62955505375721"/>
    <s v="energisa_ms"/>
    <s v="Igreja do Evangelho Quadrangular"/>
    <d v="2025-10-01T00:00:00"/>
    <s v="10/512142-145717"/>
    <s v="SIM"/>
    <n v="342"/>
    <n v="520.62372093023248"/>
    <n v="420.2513975650819"/>
    <s v="Aprovado"/>
    <n v="358.88372093023258"/>
    <n v="258.51"/>
    <d v="2025-11-06T00:00:00"/>
    <d v="2025-11-13T00:00:00"/>
    <n v="258.51"/>
    <m/>
    <s v="62955505375721258,51"/>
    <s v="09/00013026884-8"/>
    <x v="1"/>
    <n v="258.51"/>
    <n v="0"/>
    <d v="2025-11-14T00:00:00"/>
  </r>
  <r>
    <x v="1"/>
    <s v="10/1017804-4"/>
    <n v="6792157907"/>
    <n v="62955505878987"/>
    <s v="energisa_ms"/>
    <s v="Igreja do Evangelho Quadrangular"/>
    <d v="2025-09-01T00:00:00"/>
    <s v="10/511753-645627"/>
    <s v="SIM"/>
    <n v="145"/>
    <n v="302.64299999999997"/>
    <n v="255.59785734771339"/>
    <s v="Aprovado"/>
    <n v="175.16300000000001"/>
    <n v="128.12"/>
    <d v="2025-10-03T00:00:00"/>
    <d v="2025-10-13T00:00:00"/>
    <n v="128.12"/>
    <m/>
    <s v="62955505878987128,12"/>
    <s v="09/00012851409-6"/>
    <x v="2"/>
    <m/>
    <n v="0"/>
    <m/>
  </r>
  <r>
    <x v="1"/>
    <s v="10/109074-5"/>
    <s v="67 91751433"/>
    <n v="62955505000167"/>
    <s v="energisa_ms"/>
    <s v="Igreja do Evangelho Quadrangular"/>
    <d v="2025-09-01T00:00:00"/>
    <s v="10/2338577-645689"/>
    <s v="SIM"/>
    <n v="140"/>
    <n v="462.6951028806584"/>
    <n v="423.16961371651411"/>
    <s v="Aprovado"/>
    <n v="147.16510288065842"/>
    <n v="107.64"/>
    <d v="2025-10-03T00:00:00"/>
    <d v="2025-10-13T00:00:00"/>
    <n v="107.64"/>
    <m/>
    <s v="62955505000167107,64"/>
    <s v="09/00012851454-2"/>
    <x v="2"/>
    <m/>
    <n v="0"/>
    <m/>
  </r>
  <r>
    <x v="0"/>
    <s v="10/280638-8"/>
    <s v="67 81355403"/>
    <n v="62955505843253"/>
    <s v="energisa_ms"/>
    <s v="Igreja do Evangelho Quadrangular"/>
    <d v="2025-10-01T00:00:00"/>
    <s v="10/512142-145748"/>
    <s v="SIM"/>
    <n v="334"/>
    <n v="522.48818181818183"/>
    <n v="423.8681996185253"/>
    <s v="Aprovado"/>
    <n v="352.61818181818182"/>
    <n v="254"/>
    <d v="2025-11-06T00:00:00"/>
    <d v="2025-11-13T00:00:00"/>
    <n v="254"/>
    <m/>
    <s v="62955505843253254"/>
    <s v="09/00013026906-9"/>
    <x v="1"/>
    <n v="254"/>
    <n v="0"/>
    <m/>
  </r>
  <r>
    <x v="0"/>
    <s v="10/1035655-8"/>
    <n v="0"/>
    <n v="62955505182257"/>
    <s v="energisa_ms"/>
    <s v="Igreja do Evangelho Quadrangular"/>
    <d v="2025-09-01T00:00:00"/>
    <s v="10/513413-545627"/>
    <s v="SIM"/>
    <n v="286"/>
    <n v="540.70839999999998"/>
    <n v="447.91470775827781"/>
    <s v="Aprovado"/>
    <n v="345.4984"/>
    <n v="252.7"/>
    <d v="2025-10-03T00:00:00"/>
    <d v="2025-10-13T00:00:00"/>
    <n v="252.7"/>
    <m/>
    <s v="62955505182257252,7"/>
    <s v="09/00012851410-4"/>
    <x v="1"/>
    <n v="252.7"/>
    <n v="0"/>
    <m/>
  </r>
  <r>
    <x v="0"/>
    <s v="10/931327-1"/>
    <s v="67 992158055"/>
    <n v="62955505402710"/>
    <s v="energisa_ms"/>
    <s v="Igreja do Evangelho Quadrangular"/>
    <d v="2025-05-01T00:00:00"/>
    <s v="10/452884-045658"/>
    <s v="SIM"/>
    <n v="306"/>
    <n v="517.02093023255816"/>
    <n v="433.27069767441861"/>
    <s v="Aprovado"/>
    <n v="335.00093023255818"/>
    <n v="251.25"/>
    <m/>
    <m/>
    <n v="251.25"/>
    <m/>
    <s v="62955505402710251,25"/>
    <m/>
    <x v="1"/>
    <n v="251.25"/>
    <n v="0"/>
    <m/>
  </r>
  <r>
    <x v="0"/>
    <s v="10/29964-4"/>
    <n v="67996266684"/>
    <n v="62955505067660"/>
    <s v="energisa_ms"/>
    <s v="Igreja do Evangelho Quadrangular"/>
    <d v="2025-06-01T00:00:00"/>
    <s v="10/395471-645870"/>
    <s v="SIM"/>
    <n v="288"/>
    <n v="451.28960000000001"/>
    <n v="371.81426417860303"/>
    <s v="Aprovado"/>
    <n v="334.9796"/>
    <n v="251.23"/>
    <d v="2025-07-22T00:00:00"/>
    <d v="2025-08-02T00:00:00"/>
    <n v="251.23"/>
    <m/>
    <s v="62955505067660251,23"/>
    <s v="09/00012472740-3"/>
    <x v="1"/>
    <n v="251.23"/>
    <n v="0"/>
    <s v="01/08/2025"/>
  </r>
  <r>
    <x v="0"/>
    <s v="10/15297-5"/>
    <n v="67996266684"/>
    <n v="62955505312487"/>
    <s v="energisa_ms"/>
    <s v="Igreja do Evangelho Quadrangular"/>
    <d v="2025-04-01T00:00:00"/>
    <s v="10/466560-045839"/>
    <s v="SIM"/>
    <n v="344"/>
    <n v="432.94"/>
    <n v="349.26749999999998"/>
    <s v="Aprovado"/>
    <n v="334.69"/>
    <n v="251.02"/>
    <m/>
    <m/>
    <n v="251.02"/>
    <m/>
    <s v="62955505312487251,02"/>
    <m/>
    <x v="1"/>
    <n v="251.02"/>
    <n v="0"/>
    <m/>
  </r>
  <r>
    <x v="0"/>
    <s v="10/29964-4"/>
    <n v="0"/>
    <n v="62955505067660"/>
    <s v="energisa_ms"/>
    <s v="Igreja do Evangelho Quadrangular"/>
    <d v="2025-09-01T00:00:00"/>
    <s v="10/384823-145627"/>
    <s v="SIM"/>
    <n v="284"/>
    <n v="466.59960000000001"/>
    <n v="374.45554718582446"/>
    <s v="Aprovado"/>
    <n v="343.07960000000003"/>
    <n v="250.94"/>
    <d v="2025-10-03T00:00:00"/>
    <d v="2025-10-13T00:00:00"/>
    <n v="250.94"/>
    <m/>
    <s v="62955505067660250,94"/>
    <s v="09/00012851405-4"/>
    <x v="1"/>
    <n v="250.94"/>
    <n v="0"/>
    <m/>
  </r>
  <r>
    <x v="0"/>
    <s v="10/3030784-7"/>
    <n v="67996266684"/>
    <n v="62955505016080"/>
    <s v="energisa_ms"/>
    <s v="Igreja do Evangelho Quadrangular"/>
    <d v="2025-05-01T00:00:00"/>
    <s v="10/150263-245931"/>
    <s v="SIM"/>
    <n v="298"/>
    <n v="510.517"/>
    <n v="427.00025000000005"/>
    <s v="Aprovado"/>
    <n v="334.06700000000001"/>
    <n v="250.55"/>
    <m/>
    <m/>
    <n v="250.55"/>
    <m/>
    <s v="62955505016080250,55"/>
    <m/>
    <x v="1"/>
    <n v="250.55"/>
    <n v="0"/>
    <m/>
  </r>
  <r>
    <x v="0"/>
    <s v="10/3139326-7"/>
    <n v="67999361728"/>
    <n v="62955505182257"/>
    <s v="energisa_ms"/>
    <s v="Igreja do Evangelho Quadrangular"/>
    <d v="2025-07-01T00:00:00"/>
    <s v="10/1288241-145809"/>
    <s v="SIM"/>
    <n v="316"/>
    <n v="548.2070212765957"/>
    <n v="475.25850459574457"/>
    <s v="Aprovado"/>
    <n v="321.00702127659576"/>
    <n v="248.06"/>
    <d v="2025-09-10T00:00:00"/>
    <d v="2025-09-20T00:00:00"/>
    <n v="248.06"/>
    <m/>
    <s v="62955505182257248,06"/>
    <s v="09/00012683502-2"/>
    <x v="1"/>
    <n v="321.01"/>
    <n v="72.949999999999989"/>
    <d v="2025-09-01T00:00:00"/>
  </r>
  <r>
    <x v="0"/>
    <s v="10/156956-5"/>
    <s v="67 998338301"/>
    <n v="62955505015350"/>
    <s v="energisa_ms"/>
    <s v="Igreja do Evangelho Quadrangular"/>
    <d v="2025-01-01T00:00:00"/>
    <s v="10/3170252-545931"/>
    <s v="SIM"/>
    <n v="296"/>
    <n v="513.53"/>
    <n v="430.93000000000006"/>
    <s v="Aprovado"/>
    <n v="330.4"/>
    <n v="247.8"/>
    <m/>
    <m/>
    <n v="247.8"/>
    <m/>
    <s v="62955505015350247,8"/>
    <m/>
    <x v="1"/>
    <n v="247.8"/>
    <n v="0"/>
    <m/>
  </r>
  <r>
    <x v="0"/>
    <s v="10/489076-0"/>
    <n v="0"/>
    <n v="62955505016080"/>
    <s v="energisa_ms"/>
    <s v="Igreja do Evangelho Quadrangular"/>
    <d v="2025-08-01T00:00:00"/>
    <s v="10/452884-045839"/>
    <s v="SIM"/>
    <n v="318"/>
    <n v="486.16255319148939"/>
    <n v="413.86800337785894"/>
    <s v="Aprovado"/>
    <n v="319.94255319148931"/>
    <n v="247.65"/>
    <d v="2025-09-10T00:00:00"/>
    <d v="2025-09-20T00:00:00"/>
    <n v="247.65"/>
    <m/>
    <s v="62955505016080247,65"/>
    <s v="09/00012749672-5"/>
    <x v="1"/>
    <n v="247.65"/>
    <n v="0"/>
    <m/>
  </r>
  <r>
    <x v="0"/>
    <s v="10/260761-2"/>
    <n v="0"/>
    <n v="62955505000167"/>
    <s v="energisa_ms"/>
    <s v="Igreja do Evangelho Quadrangular"/>
    <d v="2025-08-01T00:00:00"/>
    <s v="10/1433087-245870"/>
    <s v="SIM"/>
    <n v="314"/>
    <n v="494.5045833333333"/>
    <n v="422.31125725159592"/>
    <s v="Aprovado"/>
    <n v="319.49458333333331"/>
    <n v="247.3"/>
    <d v="2025-09-10T00:00:00"/>
    <d v="2025-09-20T00:00:00"/>
    <n v="247.3"/>
    <m/>
    <s v="62955505000167247,3"/>
    <s v="09/00012749684-0"/>
    <x v="1"/>
    <n v="247.3"/>
    <n v="0"/>
    <m/>
  </r>
  <r>
    <x v="0"/>
    <s v="10/510330-4"/>
    <n v="0"/>
    <n v="62955505367117"/>
    <s v="energisa_ms"/>
    <s v="Igreja do Evangelho Quadrangular"/>
    <d v="2025-09-01T00:00:00"/>
    <s v="10/364440-845627"/>
    <s v="SIM"/>
    <n v="277"/>
    <n v="523.49149999999997"/>
    <n v="433.61105974548457"/>
    <s v="Aprovado"/>
    <n v="334.65149999999994"/>
    <n v="244.77"/>
    <d v="2025-10-03T00:00:00"/>
    <d v="2025-10-13T00:00:00"/>
    <n v="244.77"/>
    <m/>
    <s v="62955505367117244,77"/>
    <s v="09/00012851404-7"/>
    <x v="1"/>
    <n v="244.77"/>
    <n v="0"/>
    <m/>
  </r>
  <r>
    <x v="0"/>
    <s v="10/2794432-1"/>
    <n v="0"/>
    <n v="62955505015199"/>
    <s v="energisa_ms"/>
    <s v="Igreja do Evangelho Quadrangular"/>
    <d v="2025-08-01T00:00:00"/>
    <s v="10/505854-045689"/>
    <s v="SIM"/>
    <n v="265"/>
    <n v="583.24269911504427"/>
    <n v="512.11633486888672"/>
    <s v="Aprovado"/>
    <n v="314.7726991150443"/>
    <n v="243.65"/>
    <d v="2025-09-10T00:00:00"/>
    <d v="2025-09-20T00:00:00"/>
    <n v="243.65"/>
    <m/>
    <s v="62955505015199243,65"/>
    <s v="09/00012749640-2"/>
    <x v="1"/>
    <n v="243.65"/>
    <n v="0"/>
    <m/>
  </r>
  <r>
    <x v="1"/>
    <s v="10/257864-9"/>
    <n v="67981311823"/>
    <n v="62955505182176"/>
    <s v="energisa_ms"/>
    <s v="Igreja do Evangelho Quadrangular"/>
    <d v="2025-09-01T00:00:00"/>
    <s v="10/925970-645658"/>
    <s v="SIM"/>
    <n v="7"/>
    <n v="83.455799999999982"/>
    <n v="81.184747795828983"/>
    <s v="Aprovado"/>
    <n v="8.4558"/>
    <n v="6.18"/>
    <d v="2025-10-03T00:00:00"/>
    <d v="2025-10-13T00:00:00"/>
    <n v="6.18"/>
    <m/>
    <s v="629555051821766,18"/>
    <s v="09/00012851424-5"/>
    <x v="2"/>
    <m/>
    <n v="0"/>
    <m/>
  </r>
  <r>
    <x v="1"/>
    <s v="10/3040565-8"/>
    <n v="0"/>
    <n v="62955505015431"/>
    <s v="energisa_ms"/>
    <s v="Igreja do Evangelho Quadrangular"/>
    <d v="2025-09-01T00:00:00"/>
    <s v="10/41548-945689"/>
    <s v="SIM"/>
    <n v="348"/>
    <n v="447.57"/>
    <n v="358.61656093788463"/>
    <s v="Aprovado"/>
    <n v="331.2"/>
    <n v="242.25"/>
    <d v="2025-10-03T00:00:00"/>
    <d v="2025-10-13T00:00:00"/>
    <n v="242.25"/>
    <m/>
    <s v="62955505015431242,25"/>
    <s v="09/00012851455-9"/>
    <x v="1"/>
    <n v="242.25"/>
    <n v="0"/>
    <m/>
  </r>
  <r>
    <x v="0"/>
    <s v="10/8777-5"/>
    <s v="Solicitação de distrato"/>
    <n v="62955505122432"/>
    <s v="energisa_ms"/>
    <s v="Igreja do Evangelho Quadrangular"/>
    <d v="2025-09-01T00:00:00"/>
    <s v="10/61344-845689"/>
    <s v="SIM"/>
    <n v="312"/>
    <n v="642.09243243243247"/>
    <n v="554.00316517149406"/>
    <s v="Aprovado"/>
    <n v="327.98243243243252"/>
    <n v="239.89"/>
    <d v="2025-10-03T00:00:00"/>
    <d v="2025-10-13T00:00:00"/>
    <n v="239.89"/>
    <m/>
    <s v="62955505122432239,89"/>
    <s v="09/00012851440-1"/>
    <x v="1"/>
    <n v="239.89"/>
    <n v="0"/>
    <m/>
  </r>
  <r>
    <x v="0"/>
    <s v="10/15297-5"/>
    <n v="0"/>
    <n v="62955505312487"/>
    <s v="energisa_ms"/>
    <s v="Igreja do Evangelho Quadrangular"/>
    <d v="2025-08-01T00:00:00"/>
    <s v="10/1117293-945839"/>
    <s v="SIM"/>
    <n v="303"/>
    <n v="415.19979999999998"/>
    <n v="345.41403976644813"/>
    <s v="Aprovado"/>
    <n v="308.83980000000003"/>
    <n v="239.05"/>
    <d v="2025-09-10T00:00:00"/>
    <d v="2025-09-20T00:00:00"/>
    <n v="239.05"/>
    <m/>
    <s v="62955505312487239,05"/>
    <s v="09/00012749671-7"/>
    <x v="1"/>
    <n v="239.05"/>
    <n v="0"/>
    <m/>
  </r>
  <r>
    <x v="0"/>
    <s v="10/532723-4"/>
    <n v="67996446178"/>
    <n v="62955505359360"/>
    <s v="energisa_ms"/>
    <s v="Igreja do Evangelho Quadrangular"/>
    <d v="2025-04-01T00:00:00"/>
    <s v="10/69319-245748"/>
    <s v="SIM"/>
    <n v="284"/>
    <n v="502.88999999999993"/>
    <n v="423.23249999999996"/>
    <s v="Aprovado"/>
    <n v="318.63"/>
    <n v="238.97"/>
    <m/>
    <m/>
    <n v="238.97"/>
    <m/>
    <s v="62955505359360238,97"/>
    <e v="#N/A"/>
    <x v="1"/>
    <n v="318.63"/>
    <n v="79.66"/>
    <d v="2025-09-30T00:00:00"/>
  </r>
  <r>
    <x v="1"/>
    <s v="10/3040565-8"/>
    <n v="67996135721"/>
    <n v="62955505015431"/>
    <s v="energisa_ms"/>
    <s v="Igreja do Evangelho Quadrangular"/>
    <d v="2025-10-01T00:00:00"/>
    <s v="10/109074-545717"/>
    <s v="SIM"/>
    <n v="338"/>
    <n v="444.99"/>
    <n v="352.23438278290268"/>
    <s v="Aprovado"/>
    <n v="331.65"/>
    <n v="238.89"/>
    <d v="2025-11-06T00:00:00"/>
    <d v="2025-11-13T00:00:00"/>
    <n v="238.89"/>
    <m/>
    <s v="62955505015431238,89"/>
    <s v="09/00013026887-1"/>
    <x v="1"/>
    <n v="238.89"/>
    <n v="0"/>
    <m/>
  </r>
  <r>
    <x v="1"/>
    <s v="10/142353-2"/>
    <n v="67992899434"/>
    <n v="62955505113875"/>
    <s v="energisa_ms"/>
    <s v="Igreja do Evangelho Quadrangular"/>
    <d v="2025-05-01T00:00:00"/>
    <s v="10/1288241-145931"/>
    <s v="SIM"/>
    <n v="330"/>
    <n v="430.10999999999996"/>
    <n v="350.51999999999992"/>
    <s v="Aprovado"/>
    <n v="318.36"/>
    <n v="238.77"/>
    <m/>
    <m/>
    <n v="238.77"/>
    <m/>
    <s v="62955505113875238,77"/>
    <m/>
    <x v="1"/>
    <n v="238.77"/>
    <n v="0"/>
    <m/>
  </r>
  <r>
    <x v="0"/>
    <s v="10/3123706-8"/>
    <n v="67999516782"/>
    <n v="62955505375721"/>
    <s v="energisa_ms"/>
    <s v="Igreja do Evangelho Quadrangular"/>
    <d v="2025-07-01T00:00:00"/>
    <s v="10/1035655-845839"/>
    <s v="SIM"/>
    <n v="307"/>
    <n v="474.16874999999993"/>
    <n v="403.30508275"/>
    <s v="Aprovado"/>
    <n v="308.90874999999994"/>
    <n v="238.05"/>
    <d v="2025-09-10T00:00:00"/>
    <d v="2025-09-20T00:00:00"/>
    <n v="238.05"/>
    <m/>
    <s v="62955505375721238,05"/>
    <s v="09/00012683504-8"/>
    <x v="1"/>
    <n v="238.05"/>
    <n v="0"/>
    <d v="2025-09-04T00:00:00"/>
  </r>
  <r>
    <x v="0"/>
    <s v="10/127464-6"/>
    <n v="67996150274"/>
    <n v="62955505331198"/>
    <s v="energisa_ms"/>
    <s v="Igreja do Evangelho Quadrangular"/>
    <d v="2025-06-01T00:00:00"/>
    <s v="10/3125732-245748"/>
    <s v="SIM"/>
    <n v="317"/>
    <n v="499.58000000000004"/>
    <n v="424.40361639822891"/>
    <s v="Aprovado"/>
    <n v="316.86"/>
    <n v="237.65"/>
    <d v="2025-07-22T00:00:00"/>
    <d v="2025-08-02T00:00:00"/>
    <n v="237.65"/>
    <m/>
    <s v="62955505331198237,65"/>
    <s v="09/00012472786-6"/>
    <x v="1"/>
    <n v="237.65"/>
    <n v="0"/>
    <s v="04/08/2025"/>
  </r>
  <r>
    <x v="1"/>
    <s v="10/142353-2"/>
    <n v="67992899434"/>
    <n v="62955505113875"/>
    <s v="energisa_ms"/>
    <s v="Igreja do Evangelho Quadrangular"/>
    <d v="2025-10-01T00:00:00"/>
    <s v="10/81222-245717"/>
    <s v="SIM"/>
    <n v="334"/>
    <n v="441.6"/>
    <n v="349.94352216376564"/>
    <s v="Aprovado"/>
    <n v="327.72"/>
    <n v="236.06"/>
    <d v="2025-11-06T00:00:00"/>
    <d v="2025-11-13T00:00:00"/>
    <n v="236.06"/>
    <m/>
    <s v="62955505113875236,06"/>
    <s v="09/00013026865-7"/>
    <x v="1"/>
    <n v="327.72"/>
    <n v="0"/>
    <d v="2025-12-02T00:00:00"/>
  </r>
  <r>
    <x v="2"/>
    <s v="10/3005226-0"/>
    <e v="#N/A"/>
    <n v="62955505057789"/>
    <s v="energisa_ms"/>
    <s v="Igreja do Evangelho Quadrangular"/>
    <d v="2025-02-01T00:00:00"/>
    <s v="10/3092868-345689"/>
    <s v="SIM"/>
    <n v="323"/>
    <m/>
    <m/>
    <s v="Aprovado"/>
    <n v="314.62000000000006"/>
    <n v="235.97"/>
    <m/>
    <m/>
    <m/>
    <s v="não emitido pela EGS"/>
    <s v="62955505057789"/>
    <m/>
    <x v="0"/>
    <n v="0"/>
    <n v="0"/>
    <m/>
  </r>
  <r>
    <x v="0"/>
    <s v="10/81222-2"/>
    <s v="67 992491551"/>
    <n v="62955505015946"/>
    <s v="energisa_ms"/>
    <s v="Igreja do Evangelho Quadrangular"/>
    <d v="2025-04-01T00:00:00"/>
    <s v="10/63920-345778"/>
    <s v="SIM"/>
    <n v="323"/>
    <n v="449.93"/>
    <n v="371.38250000000005"/>
    <s v="Aprovado"/>
    <n v="314.19"/>
    <n v="235.64"/>
    <m/>
    <m/>
    <n v="235.64"/>
    <m/>
    <s v="62955505015946235,64"/>
    <m/>
    <x v="1"/>
    <n v="235.64"/>
    <n v="0"/>
    <m/>
  </r>
  <r>
    <x v="0"/>
    <s v="10/532081-7"/>
    <s v="67 992321318"/>
    <n v="62955505193534"/>
    <s v="energisa_ms"/>
    <s v="Igreja do Evangelho Quadrangular"/>
    <d v="2025-01-01T00:00:00"/>
    <s v="10/1939035-045717"/>
    <s v="SIM"/>
    <n v="279"/>
    <n v="494.4"/>
    <n v="416.54499999999996"/>
    <s v="Aprovado"/>
    <n v="311.41999999999996"/>
    <n v="233.57"/>
    <m/>
    <m/>
    <n v="233.57"/>
    <m/>
    <s v="62955505193534233,57"/>
    <m/>
    <x v="1"/>
    <n v="311.42"/>
    <n v="77.850000000000023"/>
    <d v="2025-10-08T00:00:00"/>
  </r>
  <r>
    <x v="0"/>
    <s v="10/3030784-7"/>
    <n v="0"/>
    <n v="62955505016080"/>
    <s v="energisa_ms"/>
    <s v="Igreja do Evangelho Quadrangular"/>
    <d v="2025-09-01T00:00:00"/>
    <s v="10/501586-245627"/>
    <s v="SIM"/>
    <n v="264"/>
    <n v="501.428"/>
    <n v="415.76519359304473"/>
    <s v="Aprovado"/>
    <n v="318.94799999999998"/>
    <n v="233.29"/>
    <d v="2025-10-03T00:00:00"/>
    <d v="2025-10-13T00:00:00"/>
    <n v="233.29"/>
    <m/>
    <s v="62955505016080233,29"/>
    <s v="09/00012851407-0"/>
    <x v="1"/>
    <n v="233.29"/>
    <n v="0"/>
    <m/>
  </r>
  <r>
    <x v="0"/>
    <s v="10/127464-6"/>
    <n v="67996150274"/>
    <n v="62955505331198"/>
    <s v="energisa_ms"/>
    <s v="Igreja do Evangelho Quadrangular"/>
    <d v="2025-07-01T00:00:00"/>
    <s v="10/908866-745689"/>
    <s v="SIM"/>
    <n v="295"/>
    <n v="470.96900000000005"/>
    <n v="402.87872140000002"/>
    <s v="Aprovado"/>
    <n v="300.84899999999993"/>
    <n v="232.76"/>
    <d v="2025-09-10T00:00:00"/>
    <d v="2025-09-20T00:00:00"/>
    <n v="232.76"/>
    <m/>
    <s v="62955505331198232,76"/>
    <s v="09/00012683496-7"/>
    <x v="1"/>
    <n v="300.85000000000002"/>
    <n v="68.090000000000032"/>
    <d v="2025-09-30T00:00:00"/>
  </r>
  <r>
    <x v="1"/>
    <s v="10/1939035-0"/>
    <s v=" 67 91285460"/>
    <n v="62955505419443"/>
    <s v="energisa_ms"/>
    <s v="Igreja do Evangelho Quadrangular"/>
    <d v="2025-10-01T00:00:00"/>
    <s v="10/129490-945809"/>
    <s v="SIM"/>
    <n v="264"/>
    <n v="420.13159999999993"/>
    <n v="330.23665383715672"/>
    <s v="Aprovado"/>
    <n v="321.42159999999996"/>
    <n v="232.48"/>
    <d v="2025-11-06T00:00:00"/>
    <d v="2025-11-13T00:00:00"/>
    <n v="232.48"/>
    <m/>
    <s v="62955505419443232,48"/>
    <s v="09/00013026957-2"/>
    <x v="1"/>
    <n v="232.48"/>
    <n v="0"/>
    <m/>
  </r>
  <r>
    <x v="1"/>
    <s v="10/511753-6"/>
    <n v="67996266684"/>
    <n v="62955505016080"/>
    <s v="energisa_ms"/>
    <s v="Igreja do Evangelho Quadrangular"/>
    <d v="2025-10-01T00:00:00"/>
    <s v="10/237441-145870"/>
    <s v="SIM"/>
    <n v="262"/>
    <n v="447.22319999999996"/>
    <n v="356.96981693371811"/>
    <s v="Aprovado"/>
    <n v="322.70319999999998"/>
    <n v="232.45"/>
    <d v="2025-11-06T00:00:00"/>
    <d v="2025-11-13T00:00:00"/>
    <n v="232.45"/>
    <m/>
    <s v="62955505016080232,45"/>
    <s v="09/00013026987-9"/>
    <x v="1"/>
    <n v="322.7"/>
    <n v="0"/>
    <d v="2025-12-03T00:00:00"/>
  </r>
  <r>
    <x v="0"/>
    <s v="10/276283-9"/>
    <s v="46 999066691"/>
    <n v="62955505088404"/>
    <s v="energisa_ms"/>
    <s v="Igreja do Evangelho Quadrangular"/>
    <d v="2025-10-01T00:00:00"/>
    <s v="10/31292-645870"/>
    <s v="SIM"/>
    <n v="274"/>
    <n v="503.24326086956523"/>
    <n v="413.07096775654389"/>
    <s v="Aprovado"/>
    <n v="322.41326086956525"/>
    <n v="232.24"/>
    <d v="2025-11-06T00:00:00"/>
    <d v="2025-11-13T00:00:00"/>
    <n v="232.24"/>
    <m/>
    <s v="62955505088404232,24"/>
    <s v="09/00013026990-3"/>
    <x v="1"/>
    <n v="232.24"/>
    <n v="0"/>
    <m/>
  </r>
  <r>
    <x v="0"/>
    <s v="10/3139326-7"/>
    <n v="0"/>
    <n v="62955505182257"/>
    <s v="energisa_ms"/>
    <s v="Igreja do Evangelho Quadrangular"/>
    <d v="2025-09-01T00:00:00"/>
    <s v="10/252817-245689"/>
    <s v="SIM"/>
    <n v="302"/>
    <n v="500.26156862745103"/>
    <n v="414.98724363642441"/>
    <s v="Aprovado"/>
    <n v="317.50156862745098"/>
    <n v="232.23"/>
    <d v="2025-10-03T00:00:00"/>
    <d v="2025-10-13T00:00:00"/>
    <n v="232.23"/>
    <m/>
    <s v="62955505182257232,23"/>
    <s v="09/00012851441-9"/>
    <x v="1"/>
    <n v="232.23"/>
    <n v="0"/>
    <m/>
  </r>
  <r>
    <x v="0"/>
    <s v="10/513413-5"/>
    <n v="67992637973"/>
    <n v="62955505321630"/>
    <s v="energisa_ms"/>
    <s v="Igreja do Evangelho Quadrangular"/>
    <d v="2025-02-01T00:00:00"/>
    <s v="10/3123706-845901"/>
    <s v="SIM"/>
    <n v="277"/>
    <n v="775.59"/>
    <n v="698.29"/>
    <s v="Aprovado"/>
    <n v="309.2"/>
    <n v="231.9"/>
    <m/>
    <m/>
    <n v="231.9"/>
    <m/>
    <s v="62955505321630231,9"/>
    <m/>
    <x v="1"/>
    <n v="231.9"/>
    <n v="0"/>
    <m/>
  </r>
  <r>
    <x v="0"/>
    <s v="10/1698130-0"/>
    <n v="67991767866"/>
    <n v="62955505461210"/>
    <s v="energisa_ms"/>
    <s v="Igreja do Evangelho Quadrangular"/>
    <d v="2025-02-01T00:00:00"/>
    <s v="10/260761-245689"/>
    <s v="SIM"/>
    <n v="293"/>
    <n v="496.33"/>
    <n v="419.4375"/>
    <s v="Aprovado"/>
    <n v="307.57"/>
    <n v="230.68"/>
    <m/>
    <m/>
    <n v="230.68"/>
    <m/>
    <s v="62955505461210230,68"/>
    <m/>
    <x v="1"/>
    <n v="230.68"/>
    <n v="0"/>
    <m/>
  </r>
  <r>
    <x v="0"/>
    <s v="10/1184751-4"/>
    <s v="67 96034976"/>
    <n v="62955505149047"/>
    <s v="energisa_ms"/>
    <s v="Igreja do Evangelho Quadrangular"/>
    <d v="2025-03-01T00:00:00"/>
    <s v="10/341308-545931"/>
    <s v="SIM"/>
    <n v="286"/>
    <n v="482.89"/>
    <n v="406.35249999999996"/>
    <s v="Aprovado"/>
    <n v="306.15000000000003"/>
    <n v="229.61"/>
    <m/>
    <m/>
    <n v="229.61"/>
    <m/>
    <s v="62955505149047229,61"/>
    <m/>
    <x v="1"/>
    <n v="229.61"/>
    <n v="0"/>
    <m/>
  </r>
  <r>
    <x v="1"/>
    <s v="10/511753-6"/>
    <n v="67996266684"/>
    <n v="62955505016080"/>
    <s v="energisa_ms"/>
    <s v="Igreja do Evangelho Quadrangular"/>
    <d v="2025-03-01T00:00:00"/>
    <s v="10/3005226-045717"/>
    <s v="SIM"/>
    <n v="301"/>
    <n v="415.14000000000004"/>
    <n v="338.68"/>
    <s v="Aprovado"/>
    <n v="305.84000000000003"/>
    <n v="229.38"/>
    <m/>
    <m/>
    <n v="229.38"/>
    <m/>
    <s v="62955505016080229,38"/>
    <m/>
    <x v="1"/>
    <n v="229.38"/>
    <n v="0"/>
    <m/>
  </r>
  <r>
    <x v="1"/>
    <s v="10/511753-6"/>
    <n v="67996266684"/>
    <n v="62955505016080"/>
    <s v="energisa_ms"/>
    <s v="Igreja do Evangelho Quadrangular"/>
    <d v="2025-02-01T00:00:00"/>
    <s v="10/61344-845839"/>
    <s v="SIM"/>
    <n v="283"/>
    <n v="419.61"/>
    <n v="343.30500000000001"/>
    <s v="Aprovado"/>
    <n v="305.22000000000003"/>
    <n v="228.92"/>
    <m/>
    <m/>
    <n v="228.92"/>
    <m/>
    <s v="62955505016080228,92"/>
    <m/>
    <x v="1"/>
    <n v="228.92"/>
    <n v="0"/>
    <m/>
  </r>
  <r>
    <x v="0"/>
    <s v="10/489076-0"/>
    <n v="67996266684"/>
    <n v="62955505016080"/>
    <s v="energisa_ms"/>
    <s v="Igreja do Evangelho Quadrangular"/>
    <d v="2025-01-01T00:00:00"/>
    <s v="10/81222-245901"/>
    <s v="SIM"/>
    <n v="273"/>
    <n v="669.62"/>
    <n v="593.43500000000006"/>
    <s v="Aprovado"/>
    <n v="304.74"/>
    <n v="228.56"/>
    <m/>
    <m/>
    <n v="228.56"/>
    <m/>
    <s v="62955505016080228,56"/>
    <m/>
    <x v="2"/>
    <n v="0"/>
    <n v="-228.56"/>
    <m/>
  </r>
  <r>
    <x v="0"/>
    <s v="10/127464-6"/>
    <n v="67996150274"/>
    <n v="62955505331198"/>
    <s v="energisa_ms"/>
    <s v="Igreja do Evangelho Quadrangular"/>
    <d v="2025-01-01T00:00:00"/>
    <s v="10/1672452-845689"/>
    <s v="SIM"/>
    <n v="273"/>
    <n v="725.35"/>
    <n v="649.16499999999996"/>
    <s v="Aprovado"/>
    <n v="304.74"/>
    <n v="228.56"/>
    <m/>
    <m/>
    <n v="228.56"/>
    <m/>
    <s v="62955505331198228,56"/>
    <m/>
    <x v="1"/>
    <n v="228.56"/>
    <n v="0"/>
    <m/>
  </r>
  <r>
    <x v="0"/>
    <s v="10/3139326-7"/>
    <n v="67999361728"/>
    <n v="62955505182257"/>
    <s v="energisa_ms"/>
    <s v="Igreja do Evangelho Quadrangular"/>
    <d v="2025-01-01T00:00:00"/>
    <s v="10/1672452-845748"/>
    <s v="SIM"/>
    <n v="273"/>
    <n v="518.59"/>
    <n v="442.40499999999997"/>
    <s v="Aprovado"/>
    <n v="304.74"/>
    <n v="228.56"/>
    <m/>
    <m/>
    <n v="228.56"/>
    <m/>
    <s v="62955505182257228,56"/>
    <m/>
    <x v="1"/>
    <n v="228.56"/>
    <n v="0"/>
    <m/>
  </r>
  <r>
    <x v="1"/>
    <s v="10/40190-1"/>
    <n v="67996859014"/>
    <n v="62955505177504"/>
    <s v="energisa_ms"/>
    <s v="Igreja do Evangelho Quadrangular"/>
    <d v="2025-01-01T00:00:00"/>
    <s v="10/510330-445931"/>
    <s v="SIM"/>
    <n v="273"/>
    <n v="455.12"/>
    <n v="378.93499999999995"/>
    <s v="Aprovado"/>
    <n v="304.74"/>
    <n v="228.56"/>
    <m/>
    <m/>
    <n v="228.56"/>
    <m/>
    <s v="62955505177504228,56"/>
    <m/>
    <x v="1"/>
    <n v="228.56"/>
    <n v="0"/>
    <m/>
  </r>
  <r>
    <x v="0"/>
    <s v="10/63920-3"/>
    <n v="67981263396"/>
    <n v="62955505135500"/>
    <s v="energisa_ms"/>
    <s v="Igreja do Evangelho Quadrangular"/>
    <d v="2025-10-01T00:00:00"/>
    <s v="10/52987-545717"/>
    <s v="SIM"/>
    <n v="296"/>
    <n v="491.23529411764702"/>
    <n v="402.84678584606786"/>
    <s v="Aprovado"/>
    <n v="316.03529411764708"/>
    <n v="227.72"/>
    <d v="2025-11-06T00:00:00"/>
    <d v="2025-11-13T00:00:00"/>
    <n v="227.72"/>
    <m/>
    <s v="62955505135500227,72"/>
    <s v="09/00013026880-6"/>
    <x v="1"/>
    <n v="227.72"/>
    <n v="0"/>
    <m/>
  </r>
  <r>
    <x v="0"/>
    <s v="10/504844-2"/>
    <n v="67992637973"/>
    <n v="62955505354481"/>
    <s v="energisa_ms"/>
    <s v="Igreja do Evangelho Quadrangular"/>
    <d v="2025-10-01T00:00:00"/>
    <s v="10/63920-345717"/>
    <s v="SIM"/>
    <n v="297"/>
    <n v="620.15189655172412"/>
    <n v="531.93773963247054"/>
    <s v="Aprovado"/>
    <n v="315.41189655172417"/>
    <n v="227.2"/>
    <d v="2025-11-06T00:00:00"/>
    <d v="2025-11-13T00:00:00"/>
    <n v="227.2"/>
    <m/>
    <s v="62955505354481227,2"/>
    <s v="09/00013026876-4"/>
    <x v="1"/>
    <n v="227.2"/>
    <n v="0"/>
    <m/>
  </r>
  <r>
    <x v="0"/>
    <s v="10/63920-3"/>
    <n v="0"/>
    <n v="62955505135500"/>
    <s v="energisa_ms"/>
    <s v="Igreja do Evangelho Quadrangular"/>
    <d v="2025-09-01T00:00:00"/>
    <s v="10/127464-645689"/>
    <s v="SIM"/>
    <n v="294"/>
    <n v="487.78692307692307"/>
    <n v="404.76991126771281"/>
    <s v="Aprovado"/>
    <n v="309.09692307692308"/>
    <n v="226.08"/>
    <d v="2025-10-03T00:00:00"/>
    <d v="2025-10-13T00:00:00"/>
    <n v="226.08"/>
    <m/>
    <s v="62955505135500226,08"/>
    <s v="09/00012851448-4"/>
    <x v="1"/>
    <n v="226.08"/>
    <n v="0"/>
    <m/>
  </r>
  <r>
    <x v="0"/>
    <s v="10/931327-1"/>
    <s v="67 992158055"/>
    <n v="62955505402710"/>
    <s v="energisa_ms"/>
    <s v="Igreja do Evangelho Quadrangular"/>
    <d v="2025-01-01T00:00:00"/>
    <s v="10/5202-745839"/>
    <s v="SIM"/>
    <n v="270"/>
    <n v="484.35"/>
    <n v="409.00250000000005"/>
    <s v="Aprovado"/>
    <n v="301.39"/>
    <n v="226.04"/>
    <m/>
    <m/>
    <n v="226.04"/>
    <m/>
    <s v="62955505402710226,04"/>
    <m/>
    <x v="1"/>
    <n v="226.04"/>
    <n v="0"/>
    <m/>
  </r>
  <r>
    <x v="0"/>
    <s v="10/1266128-6"/>
    <n v="67991306665"/>
    <n v="62955505379395"/>
    <s v="energisa_ms"/>
    <s v="Igreja do Evangelho Quadrangular"/>
    <d v="2025-04-01T00:00:00"/>
    <s v="10/76927-345778"/>
    <s v="SIM"/>
    <n v="310"/>
    <n v="459.59"/>
    <n v="384.26499999999999"/>
    <s v="Aprovado"/>
    <n v="301.3"/>
    <n v="225.98"/>
    <m/>
    <m/>
    <n v="225.98"/>
    <m/>
    <s v="62955505379395225,98"/>
    <m/>
    <x v="1"/>
    <n v="225.98"/>
    <n v="0"/>
    <m/>
  </r>
  <r>
    <x v="0"/>
    <s v="10/489076-0"/>
    <n v="67996266684"/>
    <n v="62955505016080"/>
    <s v="energisa_ms"/>
    <s v="Igreja do Evangelho Quadrangular"/>
    <d v="2025-05-01T00:00:00"/>
    <s v="10/129490-945778"/>
    <s v="SIM"/>
    <n v="310"/>
    <n v="682.70324561403515"/>
    <n v="607.55243421052637"/>
    <s v="Aprovado"/>
    <n v="300.60324561403519"/>
    <n v="225.45"/>
    <m/>
    <m/>
    <n v="225.45"/>
    <m/>
    <s v="62955505016080225,45"/>
    <m/>
    <x v="1"/>
    <n v="225.45"/>
    <n v="0"/>
    <m/>
  </r>
  <r>
    <x v="1"/>
    <s v="10/1081489-5"/>
    <n v="67996446178"/>
    <n v="62955505016918"/>
    <s v="energisa_ms"/>
    <s v="Igreja do Evangelho Quadrangular"/>
    <d v="2025-05-01T00:00:00"/>
    <s v="10/260761-245931"/>
    <s v="SIM"/>
    <n v="310"/>
    <n v="685.40377682403448"/>
    <n v="610.26033261802581"/>
    <s v="Aprovado"/>
    <n v="300.57377682403438"/>
    <n v="225.43"/>
    <m/>
    <m/>
    <n v="225.43"/>
    <m/>
    <s v="62955505016918225,43"/>
    <m/>
    <x v="1"/>
    <n v="225.43"/>
    <n v="0"/>
    <m/>
  </r>
  <r>
    <x v="1"/>
    <s v="10/3040565-8"/>
    <n v="0"/>
    <n v="62955505015431"/>
    <s v="energisa_ms"/>
    <s v="Igreja do Evangelho Quadrangular"/>
    <d v="2025-08-01T00:00:00"/>
    <s v="10/1117293-945627"/>
    <s v="SIM"/>
    <n v="282"/>
    <n v="360.6400000000001"/>
    <n v="294.83788758569136"/>
    <s v="Aprovado"/>
    <n v="291.21000000000004"/>
    <n v="225.41"/>
    <d v="2025-09-10T00:00:00"/>
    <d v="2025-09-20T00:00:00"/>
    <n v="225.41"/>
    <m/>
    <s v="62955505015431225,41"/>
    <s v="09/00012749699-8"/>
    <x v="1"/>
    <n v="225.41"/>
    <n v="0"/>
    <m/>
  </r>
  <r>
    <x v="1"/>
    <s v="10/61344-8"/>
    <n v="67999998719"/>
    <n v="62955505015431"/>
    <s v="energisa_ms"/>
    <s v="Igreja do Evangelho Quadrangular"/>
    <d v="2025-10-01T00:00:00"/>
    <s v="10/399338-345717"/>
    <s v="SIM"/>
    <n v="602"/>
    <n v="760.05"/>
    <n v="594.84347779243365"/>
    <s v="Aprovado"/>
    <n v="590.69999999999993"/>
    <n v="425.49"/>
    <d v="2025-11-06T00:00:00"/>
    <d v="2025-11-13T00:00:00"/>
    <n v="425.49"/>
    <m/>
    <s v="62955505015431425,49"/>
    <s v="09/00013026862-4"/>
    <x v="2"/>
    <m/>
    <n v="0"/>
    <m/>
  </r>
  <r>
    <x v="0"/>
    <s v="10/3139326-7"/>
    <n v="67999361728"/>
    <n v="62955505182257"/>
    <s v="energisa_ms"/>
    <s v="Igreja do Evangelho Quadrangular"/>
    <d v="2025-05-01T00:00:00"/>
    <s v="10/252817-245901"/>
    <s v="SIM"/>
    <n v="310"/>
    <n v="569.10918918918924"/>
    <n v="494.01689189189187"/>
    <s v="Aprovado"/>
    <n v="300.36918918918917"/>
    <n v="225.28"/>
    <m/>
    <m/>
    <n v="225.28"/>
    <m/>
    <s v="62955505182257225,28"/>
    <m/>
    <x v="1"/>
    <n v="300.37"/>
    <n v="75.09"/>
    <d v="2025-10-02T00:00:00"/>
  </r>
  <r>
    <x v="1"/>
    <s v="10/452884-0"/>
    <s v="67 996469842"/>
    <n v="62955505000167"/>
    <s v="energisa_ms"/>
    <s v="Igreja do Evangelho Quadrangular"/>
    <d v="2025-03-01T00:00:00"/>
    <s v="10/13786-945778"/>
    <s v="SIM"/>
    <n v="268"/>
    <n v="354.96999999999997"/>
    <n v="280.1875"/>
    <s v="Aprovado"/>
    <n v="299.13"/>
    <n v="224.35"/>
    <m/>
    <m/>
    <n v="224.35"/>
    <m/>
    <s v="62955505000167224,35"/>
    <m/>
    <x v="1"/>
    <n v="224.35"/>
    <n v="0"/>
    <m/>
  </r>
  <r>
    <x v="1"/>
    <s v="10/109074-5"/>
    <m/>
    <n v="62955505000167"/>
    <s v="energisa_ms"/>
    <s v="Igreja do Evangelho Quadrangular"/>
    <d v="2025-08-01T00:00:00"/>
    <s v="10/226667-445839"/>
    <s v="SIM"/>
    <n v="291"/>
    <n v="351.49"/>
    <n v="286.21663640286607"/>
    <s v="Aprovado"/>
    <n v="288.87000000000006"/>
    <n v="223.6"/>
    <d v="2025-09-10T00:00:00"/>
    <d v="2025-09-20T00:00:00"/>
    <n v="223.6"/>
    <m/>
    <s v="62955505000167223,6"/>
    <s v="09/00012749696-4"/>
    <x v="2"/>
    <n v="0"/>
    <n v="0"/>
    <m/>
  </r>
  <r>
    <x v="0"/>
    <s v="10/532723-4"/>
    <n v="67996446178"/>
    <n v="62955505359360"/>
    <s v="energisa_ms"/>
    <s v="Igreja do Evangelho Quadrangular"/>
    <d v="2025-05-01T00:00:00"/>
    <s v="10/952579-145931"/>
    <s v="SIM"/>
    <n v="261"/>
    <n v="483.90949999999998"/>
    <n v="409.45212500000002"/>
    <s v="Aprovado"/>
    <n v="297.8295"/>
    <n v="223.37"/>
    <m/>
    <m/>
    <n v="223.37"/>
    <m/>
    <s v="62955505359360223,37"/>
    <m/>
    <x v="1"/>
    <n v="223.37"/>
    <n v="0"/>
    <m/>
  </r>
  <r>
    <x v="2"/>
    <s v="10/3005226-0"/>
    <e v="#N/A"/>
    <n v="62955505057789"/>
    <s v="energisa_ms"/>
    <s v="Igreja do Evangelho Quadrangular"/>
    <d v="2025-07-01T00:00:00"/>
    <s v="10/252817-245809"/>
    <s v="SIM"/>
    <n v="283"/>
    <m/>
    <m/>
    <s v="Aprovado"/>
    <n v="288.08500000000004"/>
    <n v="222.84"/>
    <d v="2025-09-10T00:00:00"/>
    <d v="2025-09-20T00:00:00"/>
    <n v="0"/>
    <s v="Enviado para rateio de forma equivocada pel Hube"/>
    <s v="629555050577890"/>
    <m/>
    <x v="0"/>
    <m/>
    <n v="0"/>
    <m/>
  </r>
  <r>
    <x v="0"/>
    <s v="10/931327-1"/>
    <s v="67 992158055"/>
    <n v="62955505402710"/>
    <s v="energisa_ms"/>
    <s v="Igreja do Evangelho Quadrangular"/>
    <d v="2025-06-01T00:00:00"/>
    <s v="10/1035655-845870"/>
    <s v="SIM"/>
    <n v="273"/>
    <n v="479.14840000000004"/>
    <n v="408.76493197914647"/>
    <s v="Aprovado"/>
    <n v="296.65839999999997"/>
    <n v="222.49"/>
    <d v="2025-07-22T00:00:00"/>
    <d v="2025-08-02T00:00:00"/>
    <n v="222.49"/>
    <m/>
    <s v="62955505402710222,49"/>
    <s v="09/00012472751-0"/>
    <x v="1"/>
    <n v="222.49"/>
    <n v="0"/>
    <s v="01/08/2025"/>
  </r>
  <r>
    <x v="2"/>
    <s v="10/3005226-0"/>
    <e v="#N/A"/>
    <n v="62955505057789"/>
    <s v="energisa_ms"/>
    <s v="Igreja do Evangelho Quadrangular"/>
    <d v="2025-03-01T00:00:00"/>
    <s v="10/513413-545658"/>
    <s v="SIM"/>
    <n v="295"/>
    <n v="493.92999999999995"/>
    <n v="420.0506770833332"/>
    <s v="Aprovado"/>
    <n v="531.48729166666669"/>
    <n v="221.64"/>
    <m/>
    <m/>
    <n v="215.51"/>
    <m/>
    <s v="62955505057789215,51"/>
    <m/>
    <x v="1"/>
    <n v="531.49"/>
    <n v="0"/>
    <d v="2025-11-05T00:00:00"/>
  </r>
  <r>
    <x v="1"/>
    <s v="10/3040565-8"/>
    <n v="67996135721"/>
    <n v="62955505015431"/>
    <s v="energisa_ms"/>
    <s v="Igreja do Evangelho Quadrangular"/>
    <d v="2025-07-01T00:00:00"/>
    <s v="10/3092868-345809"/>
    <s v="SIM"/>
    <n v="284"/>
    <n v="383.98"/>
    <n v="318.50694600000003"/>
    <s v="Aprovado"/>
    <n v="285.40999999999991"/>
    <n v="219.94"/>
    <d v="2025-09-10T00:00:00"/>
    <d v="2025-09-20T00:00:00"/>
    <n v="219.94"/>
    <m/>
    <s v="62955505015431219,94"/>
    <s v="09/00012683507-1"/>
    <x v="1"/>
    <n v="219.94"/>
    <n v="0"/>
    <m/>
  </r>
  <r>
    <x v="0"/>
    <s v="10/81222-2"/>
    <s v="67 992491551"/>
    <n v="62955505015946"/>
    <s v="energisa_ms"/>
    <s v="Igreja do Evangelho Quadrangular"/>
    <d v="2025-05-01T00:00:00"/>
    <s v="10/226667-445658"/>
    <s v="SIM"/>
    <n v="300"/>
    <n v="430.48212765957442"/>
    <n v="357.20409574468079"/>
    <s v="Aprovado"/>
    <n v="293.11212765957453"/>
    <n v="219.83"/>
    <m/>
    <m/>
    <n v="219.83"/>
    <m/>
    <s v="62955505015946219,83"/>
    <m/>
    <x v="1"/>
    <n v="219.83"/>
    <n v="0"/>
    <m/>
  </r>
  <r>
    <x v="0"/>
    <s v="10/931327-1"/>
    <s v="67 992158055"/>
    <n v="62955505402710"/>
    <s v="energisa_ms"/>
    <s v="Igreja do Evangelho Quadrangular"/>
    <d v="2025-02-01T00:00:00"/>
    <s v="10/532723-445901"/>
    <s v="SIM"/>
    <n v="266"/>
    <n v="474.31000000000006"/>
    <n v="401.255"/>
    <s v="Aprovado"/>
    <n v="292.21999999999997"/>
    <n v="219.17"/>
    <m/>
    <m/>
    <n v="219.17"/>
    <m/>
    <s v="62955505402710219,17"/>
    <m/>
    <x v="1"/>
    <n v="219.17"/>
    <n v="0"/>
    <m/>
  </r>
  <r>
    <x v="1"/>
    <s v="10/142353-2"/>
    <n v="67992899434"/>
    <n v="62955505113875"/>
    <s v="energisa_ms"/>
    <s v="Igreja do Evangelho Quadrangular"/>
    <d v="2025-07-01T00:00:00"/>
    <s v="10/1672452-845839"/>
    <s v="SIM"/>
    <n v="278"/>
    <n v="387.53333333333325"/>
    <n v="323.33727266666665"/>
    <s v="Aprovado"/>
    <n v="282.64333333333332"/>
    <n v="218.45"/>
    <d v="2025-09-10T00:00:00"/>
    <d v="2025-09-20T00:00:00"/>
    <n v="218.45"/>
    <m/>
    <s v="62955505113875218,45"/>
    <s v="09/00012683497-5"/>
    <x v="1"/>
    <n v="282.64"/>
    <n v="64.19"/>
    <d v="2025-09-01T00:00:00"/>
  </r>
  <r>
    <x v="1"/>
    <s v="10/341308-5"/>
    <n v="67993249456"/>
    <n v="62955505239119"/>
    <s v="energisa_ms"/>
    <s v="Igreja do Evangelho Quadrangular"/>
    <d v="2025-10-01T00:00:00"/>
    <s v="10/395471-645717"/>
    <s v="SIM"/>
    <n v="280"/>
    <n v="347.11000000000007"/>
    <n v="264.00611307134545"/>
    <s v="Aprovado"/>
    <n v="297.14000000000004"/>
    <n v="217.05"/>
    <d v="2025-11-06T00:00:00"/>
    <d v="2025-11-13T00:00:00"/>
    <n v="217.05"/>
    <m/>
    <s v="62955505239119217,05"/>
    <s v="09/00013026890-5"/>
    <x v="1"/>
    <n v="217.05"/>
    <n v="0"/>
    <d v="2025-11-18T00:00:00"/>
  </r>
  <r>
    <x v="2"/>
    <s v="10/3005226-0"/>
    <e v="#N/A"/>
    <n v="62955505057789"/>
    <s v="energisa_ms"/>
    <s v="Igreja do Evangelho Quadrangular"/>
    <d v="2025-06-01T00:00:00"/>
    <s v="10/384823-145931"/>
    <s v="SIM"/>
    <n v="260"/>
    <n v="389.78529411764708"/>
    <n v="321.1701071888732"/>
    <s v="Aprovado"/>
    <n v="289.2052941176471"/>
    <n v="216.9"/>
    <d v="2025-07-22T00:00:00"/>
    <d v="2025-08-02T00:00:00"/>
    <n v="216.9"/>
    <s v="Enviado para rateio de forma equivocada pel Hube"/>
    <s v="62955505057789216,9"/>
    <s v="09/00012472768-4"/>
    <x v="0"/>
    <n v="0"/>
    <n v="-216.9"/>
    <m/>
  </r>
  <r>
    <x v="1"/>
    <s v="10/142353-2"/>
    <n v="0"/>
    <n v="62955505113875"/>
    <s v="energisa_ms"/>
    <s v="Igreja do Evangelho Quadrangular"/>
    <d v="2025-08-01T00:00:00"/>
    <s v="10/226667-445870"/>
    <s v="SIM"/>
    <n v="271"/>
    <n v="381.83600000000001"/>
    <n v="319.45810107948074"/>
    <s v="Aprovado"/>
    <n v="276.0560000000001"/>
    <n v="213.68"/>
    <d v="2025-09-10T00:00:00"/>
    <d v="2025-09-20T00:00:00"/>
    <n v="213.68"/>
    <m/>
    <s v="62955505113875213,68"/>
    <s v="09/00012749676-6"/>
    <x v="1"/>
    <n v="276.06"/>
    <n v="62.379999999999995"/>
    <d v="2025-11-03T00:00:00"/>
  </r>
  <r>
    <x v="1"/>
    <s v="10/142353-2"/>
    <n v="0"/>
    <n v="62955505113875"/>
    <s v="energisa_ms"/>
    <s v="Igreja do Evangelho Quadrangular"/>
    <d v="2025-09-01T00:00:00"/>
    <s v="10/69319-245689"/>
    <s v="SIM"/>
    <n v="306"/>
    <n v="400.77"/>
    <n v="322.55167253001252"/>
    <s v="Aprovado"/>
    <n v="291.23"/>
    <n v="213.01"/>
    <d v="2025-10-03T00:00:00"/>
    <d v="2025-10-13T00:00:00"/>
    <n v="213.01"/>
    <m/>
    <s v="62955505113875213,01"/>
    <s v="09/00012851436-9"/>
    <x v="1"/>
    <n v="213.01"/>
    <n v="0"/>
    <m/>
  </r>
  <r>
    <x v="1"/>
    <s v="10/13786-9"/>
    <n v="67996266684"/>
    <n v="62955505197521"/>
    <s v="energisa_ms"/>
    <s v="Igreja do Evangelho Quadrangular"/>
    <d v="2025-05-01T00:00:00"/>
    <s v="10/466560-045931"/>
    <s v="SIM"/>
    <n v="294"/>
    <n v="329.75000000000006"/>
    <n v="258.84250000000009"/>
    <s v="Aprovado"/>
    <n v="283.63"/>
    <n v="212.72"/>
    <m/>
    <m/>
    <n v="212.72"/>
    <m/>
    <s v="62955505197521212,72"/>
    <m/>
    <x v="1"/>
    <n v="212.72"/>
    <n v="0"/>
    <m/>
  </r>
  <r>
    <x v="0"/>
    <s v="10/3092868-3"/>
    <n v="0"/>
    <n v="62955505419443"/>
    <s v="energisa_ms"/>
    <s v="Igreja do Evangelho Quadrangular"/>
    <d v="2025-09-01T00:00:00"/>
    <s v="10/532081-745627"/>
    <s v="SIM"/>
    <n v="240"/>
    <n v="410.76"/>
    <n v="332.88545393701577"/>
    <s v="Aprovado"/>
    <n v="289.95"/>
    <n v="212.08"/>
    <d v="2025-10-03T00:00:00"/>
    <d v="2025-10-13T00:00:00"/>
    <n v="212.08"/>
    <m/>
    <s v="62955505419443212,08"/>
    <s v="09/00012851412-0"/>
    <x v="1"/>
    <n v="212.08"/>
    <n v="0"/>
    <m/>
  </r>
  <r>
    <x v="0"/>
    <s v="10/513413-5"/>
    <n v="67992637973"/>
    <n v="62955505321630"/>
    <s v="energisa_ms"/>
    <s v="Igreja do Evangelho Quadrangular"/>
    <d v="2025-03-01T00:00:00"/>
    <s v="10/489076-045778"/>
    <s v="SIM"/>
    <n v="253"/>
    <n v="742.1"/>
    <n v="671.49749999999995"/>
    <s v="Aprovado"/>
    <n v="282.41000000000003"/>
    <n v="211.81"/>
    <m/>
    <m/>
    <n v="211.81"/>
    <m/>
    <s v="62955505321630211,81"/>
    <m/>
    <x v="1"/>
    <n v="211.81"/>
    <n v="0"/>
    <m/>
  </r>
  <r>
    <x v="0"/>
    <s v="10/156956-5"/>
    <s v="67 998338301"/>
    <n v="62955505015350"/>
    <s v="energisa_ms"/>
    <s v="Igreja do Evangelho Quadrangular"/>
    <d v="2025-10-01T00:00:00"/>
    <s v="10/104720-845839"/>
    <s v="SIM"/>
    <n v="240"/>
    <n v="491.08199999999999"/>
    <n v="408.8641368775983"/>
    <s v="Aprovado"/>
    <n v="293.97199999999998"/>
    <n v="211.75"/>
    <d v="2025-11-06T00:00:00"/>
    <d v="2025-11-13T00:00:00"/>
    <n v="211.75"/>
    <m/>
    <s v="62955505015350211,75"/>
    <s v="09/00013026971-3"/>
    <x v="1"/>
    <n v="211.75"/>
    <n v="0"/>
    <m/>
  </r>
  <r>
    <x v="1"/>
    <s v="10/452884-0"/>
    <s v="67 996469842"/>
    <n v="62955505000167"/>
    <s v="energisa_ms"/>
    <s v="Igreja do Evangelho Quadrangular"/>
    <d v="2025-04-01T00:00:00"/>
    <s v="10/129490-945870"/>
    <s v="SIM"/>
    <n v="252"/>
    <n v="364.07"/>
    <n v="293.52500029999999"/>
    <s v="Aprovado"/>
    <n v="282.17999880000002"/>
    <n v="211.63"/>
    <m/>
    <m/>
    <n v="211.63"/>
    <m/>
    <s v="62955505000167211,63"/>
    <m/>
    <x v="1"/>
    <n v="211.63"/>
    <n v="0"/>
    <m/>
  </r>
  <r>
    <x v="0"/>
    <s v="10/78338-1"/>
    <s v="67 984742936"/>
    <n v="62955505016837"/>
    <s v="energisa_ms"/>
    <s v="Igreja do Evangelho Quadrangular"/>
    <d v="2025-10-01T00:00:00"/>
    <s v="10/2338577-645748"/>
    <s v="SIM"/>
    <n v="275"/>
    <n v="460.01999999999992"/>
    <n v="377.86702245936925"/>
    <s v="Aprovado"/>
    <n v="293.74"/>
    <n v="211.44"/>
    <d v="2025-11-06T00:00:00"/>
    <d v="2025-11-13T00:00:00"/>
    <n v="211.44"/>
    <m/>
    <s v="62955505016837211,44"/>
    <s v="09/00013026905-1"/>
    <x v="1"/>
    <n v="211.44"/>
    <n v="0"/>
    <m/>
  </r>
  <r>
    <x v="0"/>
    <s v="10/63920-3"/>
    <n v="0"/>
    <n v="62955505135500"/>
    <s v="energisa_ms"/>
    <s v="Igreja do Evangelho Quadrangular"/>
    <d v="2025-08-01T00:00:00"/>
    <s v="10/175073-645658"/>
    <s v="SIM"/>
    <n v="268"/>
    <n v="444.31490909090911"/>
    <n v="382.94278327009903"/>
    <s v="Aprovado"/>
    <n v="271.60490909090908"/>
    <n v="210.23"/>
    <d v="2025-09-10T00:00:00"/>
    <d v="2025-09-20T00:00:00"/>
    <n v="210.23"/>
    <m/>
    <s v="62955505135500210,23"/>
    <s v="09/00012749683-2"/>
    <x v="1"/>
    <n v="271.60000000000002"/>
    <n v="61.370000000000033"/>
    <d v="2025-10-09T00:00:00"/>
  </r>
  <r>
    <x v="0"/>
    <s v="10/931327-1"/>
    <s v="67 992158055"/>
    <n v="62955505402710"/>
    <s v="energisa_ms"/>
    <s v="Igreja do Evangelho Quadrangular"/>
    <d v="2025-04-01T00:00:00"/>
    <s v="10/489076-045839"/>
    <s v="SIM"/>
    <n v="269"/>
    <n v="457.99"/>
    <n v="388.07"/>
    <s v="Aprovado"/>
    <n v="279.68"/>
    <n v="209.76"/>
    <m/>
    <m/>
    <n v="209.76"/>
    <m/>
    <s v="62955505402710209,76"/>
    <m/>
    <x v="1"/>
    <n v="209.76"/>
    <n v="0"/>
    <m/>
  </r>
  <r>
    <x v="1"/>
    <s v="10/1939035-0"/>
    <n v="0"/>
    <n v="62955505419443"/>
    <s v="energisa_ms"/>
    <s v="Igreja do Evangelho Quadrangular"/>
    <d v="2025-09-01T00:00:00"/>
    <s v="10/987178-145627"/>
    <s v="SIM"/>
    <n v="237"/>
    <n v="377.58519999999999"/>
    <n v="300.67882832448902"/>
    <s v="Aprovado"/>
    <n v="286.34519999999998"/>
    <n v="209.44"/>
    <d v="2025-10-03T00:00:00"/>
    <d v="2025-10-13T00:00:00"/>
    <n v="209.44"/>
    <m/>
    <s v="62955505419443209,44"/>
    <s v="09/00012851415-3"/>
    <x v="1"/>
    <n v="209.44"/>
    <n v="0"/>
    <m/>
  </r>
  <r>
    <x v="0"/>
    <s v="10/435964-2"/>
    <n v="67992021114"/>
    <n v="62955505357405"/>
    <s v="energisa_ms"/>
    <s v="Igreja do Evangelho Quadrangular"/>
    <d v="2025-05-01T00:00:00"/>
    <s v="10/501586-245748"/>
    <s v="SIM"/>
    <n v="286"/>
    <n v="386.22159999999997"/>
    <n v="316.48869999999999"/>
    <s v="Aprovado"/>
    <n v="278.93159999999995"/>
    <n v="209.2"/>
    <m/>
    <m/>
    <n v="209.2"/>
    <m/>
    <s v="62955505357405209,2"/>
    <m/>
    <x v="1"/>
    <n v="209.2"/>
    <n v="0"/>
    <m/>
  </r>
  <r>
    <x v="2"/>
    <s v="10/3005226-0"/>
    <e v="#N/A"/>
    <n v="62955505057789"/>
    <s v="energisa_ms"/>
    <s v="Igreja do Evangelho Quadrangular"/>
    <d v="2025-04-01T00:00:00"/>
    <s v="10/162736-345778"/>
    <s v="SIM"/>
    <n v="240"/>
    <n v="446.9"/>
    <n v="379.75749999999994"/>
    <s v="Aprovado"/>
    <n v="274.7"/>
    <n v="207.56"/>
    <m/>
    <m/>
    <n v="207.56"/>
    <m/>
    <s v="62955505057789207,56"/>
    <m/>
    <x v="1"/>
    <n v="207.56"/>
    <n v="0"/>
    <m/>
  </r>
  <r>
    <x v="0"/>
    <s v="10/3123706-8"/>
    <m/>
    <n v="62955505375721"/>
    <s v="energisa_ms"/>
    <s v="Igreja do Evangelho Quadrangular"/>
    <d v="2025-08-01T00:00:00"/>
    <s v="10/283183-245839"/>
    <s v="SIM"/>
    <n v="260"/>
    <n v="411.20947368421054"/>
    <n v="350.63169927927493"/>
    <s v="Aprovado"/>
    <n v="268.08947368421047"/>
    <n v="207.51"/>
    <d v="2025-09-10T00:00:00"/>
    <d v="2025-09-20T00:00:00"/>
    <n v="207.51"/>
    <m/>
    <s v="62955505375721207,51"/>
    <s v="09/00012749691-5"/>
    <x v="2"/>
    <n v="0"/>
    <n v="-207.51"/>
    <m/>
  </r>
  <r>
    <x v="0"/>
    <s v="10/76927-3"/>
    <s v="67 999373813"/>
    <n v="62955505058599"/>
    <s v="energisa_ms"/>
    <s v="Igreja do Evangelho Quadrangular"/>
    <d v="2025-01-01T00:00:00"/>
    <s v="10/1672452-845717"/>
    <s v="SIM"/>
    <n v="273"/>
    <n v="454.2"/>
    <n v="385.375"/>
    <s v="Aprovado"/>
    <n v="275.3"/>
    <n v="206.48"/>
    <m/>
    <m/>
    <n v="206.48"/>
    <m/>
    <s v="62955505058599206,48"/>
    <m/>
    <x v="1"/>
    <n v="206.48"/>
    <n v="0"/>
    <m/>
  </r>
  <r>
    <x v="1"/>
    <s v="10/13786-9"/>
    <n v="67996266684"/>
    <n v="62955505197521"/>
    <s v="energisa_ms"/>
    <s v="Igreja do Evangelho Quadrangular"/>
    <d v="2025-10-01T00:00:00"/>
    <s v="10/908866-745717"/>
    <s v="SIM"/>
    <n v="270"/>
    <n v="333.88000000000005"/>
    <n v="254.04556329075706"/>
    <s v="Aprovado"/>
    <n v="285.45000000000005"/>
    <n v="206"/>
    <d v="2025-11-06T00:00:00"/>
    <d v="2025-11-13T00:00:00"/>
    <n v="206"/>
    <m/>
    <s v="62955505197521206"/>
    <s v="09/00013026894-7"/>
    <x v="1"/>
    <n v="206"/>
    <n v="0"/>
    <m/>
  </r>
  <r>
    <x v="0"/>
    <s v="10/1695011-5"/>
    <n v="67991767866"/>
    <n v="62955505461210"/>
    <s v="energisa_ms"/>
    <s v="Igreja do Evangelho Quadrangular"/>
    <d v="2025-01-01T00:00:00"/>
    <s v="10/2605731-545748"/>
    <s v="SIM"/>
    <n v="246"/>
    <n v="1020.28"/>
    <n v="951.63000000000011"/>
    <s v="Aprovado"/>
    <n v="274.60000000000002"/>
    <n v="205.95"/>
    <m/>
    <m/>
    <n v="205.95"/>
    <m/>
    <s v="62955505461210205,95"/>
    <m/>
    <x v="1"/>
    <n v="205.95"/>
    <n v="0"/>
    <m/>
  </r>
  <r>
    <x v="0"/>
    <s v="10/3092868-3"/>
    <s v=" 67 91285460"/>
    <n v="62955505419443"/>
    <s v="energisa_ms"/>
    <s v="Igreja do Evangelho Quadrangular"/>
    <d v="2025-01-01T00:00:00"/>
    <s v="10/127464-645931"/>
    <s v="SIM"/>
    <n v="246"/>
    <n v="463.25"/>
    <n v="394.6"/>
    <s v="Aprovado"/>
    <n v="274.60000000000002"/>
    <n v="205.95"/>
    <m/>
    <m/>
    <n v="205.95"/>
    <m/>
    <s v="62955505419443205,95"/>
    <m/>
    <x v="1"/>
    <n v="205.95"/>
    <n v="0"/>
    <m/>
  </r>
  <r>
    <x v="0"/>
    <s v="10/510330-4"/>
    <n v="67992637973"/>
    <n v="62955505367117"/>
    <s v="energisa_ms"/>
    <s v="Igreja do Evangelho Quadrangular"/>
    <d v="2025-01-01T00:00:00"/>
    <s v="10/3030784-745717"/>
    <s v="SIM"/>
    <n v="246"/>
    <n v="1001.16"/>
    <n v="932.51"/>
    <s v="Aprovado"/>
    <n v="274.60000000000002"/>
    <n v="205.95"/>
    <m/>
    <m/>
    <n v="205.95"/>
    <m/>
    <s v="62955505367117205,95"/>
    <m/>
    <x v="1"/>
    <n v="205.95"/>
    <n v="0"/>
    <m/>
  </r>
  <r>
    <x v="0"/>
    <s v="10/513413-5"/>
    <n v="67992637973"/>
    <n v="62955505321630"/>
    <s v="energisa_ms"/>
    <s v="Igreja do Evangelho Quadrangular"/>
    <d v="2025-01-01T00:00:00"/>
    <s v="10/15297-545931"/>
    <s v="SIM"/>
    <n v="246"/>
    <n v="737.63999999999987"/>
    <n v="668.98999999999978"/>
    <s v="Aprovado"/>
    <n v="274.60000000000002"/>
    <n v="205.95"/>
    <m/>
    <m/>
    <n v="205.95"/>
    <m/>
    <s v="62955505321630205,95"/>
    <m/>
    <x v="1"/>
    <n v="205.95"/>
    <n v="0"/>
    <m/>
  </r>
  <r>
    <x v="0"/>
    <s v="10/127464-6"/>
    <n v="0"/>
    <n v="62955505331198"/>
    <s v="energisa_ms"/>
    <s v="Igreja do Evangelho Quadrangular"/>
    <d v="2025-08-01T00:00:00"/>
    <s v="10/530195-745901"/>
    <s v="SIM"/>
    <n v="264"/>
    <n v="439.6514285714286"/>
    <n v="379.58162476236441"/>
    <s v="Aprovado"/>
    <n v="265.84142857142854"/>
    <n v="205.77"/>
    <d v="2025-09-10T00:00:00"/>
    <d v="2025-09-20T00:00:00"/>
    <n v="205.77"/>
    <m/>
    <s v="62955505331198205,77"/>
    <s v="09/00012749674-1"/>
    <x v="1"/>
    <n v="205.77"/>
    <n v="0"/>
    <m/>
  </r>
  <r>
    <x v="0"/>
    <s v="10/504844-2"/>
    <n v="67992637973"/>
    <n v="62955505354481"/>
    <s v="energisa_ms"/>
    <s v="Igreja do Evangelho Quadrangular"/>
    <d v="2025-01-01T00:00:00"/>
    <s v="10/156956-545717"/>
    <s v="SIM"/>
    <n v="273"/>
    <n v="622.79"/>
    <n v="554.42750000000001"/>
    <s v="Aprovado"/>
    <n v="273.45"/>
    <n v="205.09"/>
    <m/>
    <m/>
    <n v="205.09"/>
    <m/>
    <s v="62955505354481205,09"/>
    <m/>
    <x v="1"/>
    <n v="205.09"/>
    <n v="0"/>
    <m/>
  </r>
  <r>
    <x v="0"/>
    <s v="10/2599101-9"/>
    <n v="0"/>
    <n v="62955505379395"/>
    <s v="energisa_ms"/>
    <s v="Igreja do Evangelho Quadrangular"/>
    <d v="2025-08-01T00:00:00"/>
    <s v="10/237441-145931"/>
    <s v="SIM"/>
    <n v="227"/>
    <n v="387.34940594059412"/>
    <n v="327.7500581158825"/>
    <s v="Aprovado"/>
    <n v="263.75940594059409"/>
    <n v="204.16"/>
    <d v="2025-09-10T00:00:00"/>
    <d v="2025-09-20T00:00:00"/>
    <n v="204.16"/>
    <m/>
    <s v="62955505379395204,16"/>
    <s v="09/00012749638-6"/>
    <x v="1"/>
    <n v="204.16"/>
    <n v="0"/>
    <m/>
  </r>
  <r>
    <x v="0"/>
    <s v="10/81222-2"/>
    <s v="67 992491551"/>
    <n v="62955505015946"/>
    <s v="energisa_ms"/>
    <s v="Igreja do Evangelho Quadrangular"/>
    <d v="2025-01-01T00:00:00"/>
    <s v="10/162736-345689"/>
    <s v="SIM"/>
    <n v="273"/>
    <n v="793.29"/>
    <n v="725.24499999999989"/>
    <s v="Aprovado"/>
    <n v="272.18"/>
    <n v="204.14"/>
    <m/>
    <m/>
    <n v="204.14"/>
    <m/>
    <s v="62955505015946204,14"/>
    <m/>
    <x v="1"/>
    <n v="204.14"/>
    <n v="0"/>
    <m/>
  </r>
  <r>
    <x v="1"/>
    <s v="10/341308-5"/>
    <n v="67993249456"/>
    <n v="62955505239119"/>
    <s v="energisa_ms"/>
    <s v="Igreja do Evangelho Quadrangular"/>
    <d v="2025-05-01T00:00:00"/>
    <s v="10/1548741-645778"/>
    <s v="SIM"/>
    <n v="278"/>
    <n v="315.71999999999997"/>
    <n v="247.97749999999999"/>
    <s v="Aprovado"/>
    <n v="270.96999999999997"/>
    <n v="203.23"/>
    <m/>
    <m/>
    <n v="203.23"/>
    <m/>
    <s v="62955505239119203,23"/>
    <m/>
    <x v="1"/>
    <n v="203.23"/>
    <n v="0"/>
    <d v="2025-09-01T00:00:00"/>
  </r>
  <r>
    <x v="0"/>
    <s v="10/1266128-6"/>
    <n v="67991306665"/>
    <n v="62955505379395"/>
    <s v="energisa_ms"/>
    <s v="Igreja do Evangelho Quadrangular"/>
    <d v="2025-01-01T00:00:00"/>
    <s v="10/15297-545778"/>
    <s v="SIM"/>
    <n v="273"/>
    <n v="580.45000000000005"/>
    <n v="512.82000000000005"/>
    <s v="Aprovado"/>
    <n v="270.52"/>
    <n v="202.89"/>
    <m/>
    <m/>
    <n v="202.89"/>
    <m/>
    <s v="62955505379395202,89"/>
    <m/>
    <x v="1"/>
    <n v="202.89"/>
    <n v="0"/>
    <m/>
  </r>
  <r>
    <x v="1"/>
    <s v="10/239312-2"/>
    <n v="67996711972"/>
    <n v="62955505016594"/>
    <s v="energisa_ms"/>
    <s v="Igreja do Evangelho Quadrangular"/>
    <d v="2025-10-01T00:00:00"/>
    <s v="10/104720-845748"/>
    <s v="SIM"/>
    <n v="263"/>
    <n v="383.00428571428574"/>
    <n v="304.31533523002787"/>
    <s v="Aprovado"/>
    <n v="281.35428571428571"/>
    <n v="202.67"/>
    <d v="2025-11-06T00:00:00"/>
    <d v="2025-11-13T00:00:00"/>
    <n v="202.67"/>
    <m/>
    <s v="62955505016594202,67"/>
    <s v="09/00013026897-0"/>
    <x v="1"/>
    <n v="202.67"/>
    <n v="0"/>
    <m/>
  </r>
  <r>
    <x v="0"/>
    <s v="10/510330-4"/>
    <n v="67992637973"/>
    <n v="62955505367117"/>
    <s v="energisa_ms"/>
    <s v="Igreja do Evangelho Quadrangular"/>
    <d v="2025-04-01T00:00:00"/>
    <s v="10/3005226-045778"/>
    <s v="SIM"/>
    <n v="240"/>
    <n v="752.47"/>
    <n v="685.34750000000008"/>
    <s v="Aprovado"/>
    <n v="268.49"/>
    <n v="201.37"/>
    <m/>
    <m/>
    <n v="201.37"/>
    <m/>
    <s v="62955505367117201,37"/>
    <m/>
    <x v="1"/>
    <n v="201.37"/>
    <n v="0"/>
    <m/>
  </r>
  <r>
    <x v="0"/>
    <s v="10/280638-8"/>
    <s v="67 81355403"/>
    <n v="62955505843253"/>
    <s v="energisa_ms"/>
    <s v="Igreja do Evangelho Quadrangular"/>
    <d v="2025-03-01T00:00:00"/>
    <s v="10/1698130-045658"/>
    <s v="SIM"/>
    <n v="240"/>
    <n v="478.39"/>
    <n v="411.41500000000002"/>
    <s v="Aprovado"/>
    <n v="267.89999999999998"/>
    <n v="200.93"/>
    <m/>
    <m/>
    <n v="200.93"/>
    <m/>
    <s v="62955505843253200,93"/>
    <m/>
    <x v="1"/>
    <n v="200.93"/>
    <n v="0"/>
    <m/>
  </r>
  <r>
    <x v="1"/>
    <s v="10/3040565-8"/>
    <n v="67996135721"/>
    <n v="62955505015431"/>
    <s v="energisa_ms"/>
    <s v="Igreja do Evangelho Quadrangular"/>
    <d v="2025-03-01T00:00:00"/>
    <s v="10/489076-045809"/>
    <s v="SIM"/>
    <n v="240"/>
    <n v="520.76"/>
    <n v="453.78499999999997"/>
    <s v="Aprovado"/>
    <n v="267.89999999999998"/>
    <n v="200.93"/>
    <m/>
    <m/>
    <n v="200.93"/>
    <m/>
    <s v="62955505015431200,93"/>
    <m/>
    <x v="1"/>
    <n v="200.93"/>
    <n v="0"/>
    <m/>
  </r>
  <r>
    <x v="1"/>
    <s v="10/1130988-7"/>
    <n v="67992637973"/>
    <n v="62955505040894"/>
    <s v="energisa_ms"/>
    <s v="Igreja do Evangelho Quadrangular"/>
    <d v="2025-10-01T00:00:00"/>
    <s v="10/1433087-245778"/>
    <s v="SIM"/>
    <n v="268"/>
    <n v="347.31399999999996"/>
    <n v="269.41941844232582"/>
    <s v="Aprovado"/>
    <n v="278.51400000000001"/>
    <n v="200.62"/>
    <d v="2025-11-06T00:00:00"/>
    <d v="2025-11-13T00:00:00"/>
    <n v="200.62"/>
    <m/>
    <s v="62955505040894200,62"/>
    <s v="09/00013026916-8"/>
    <x v="1"/>
    <n v="200.62"/>
    <n v="0"/>
    <m/>
  </r>
  <r>
    <x v="0"/>
    <s v="10/1035655-8"/>
    <n v="67996135721"/>
    <n v="62955505182257"/>
    <s v="energisa_ms"/>
    <s v="Igreja do Evangelho Quadrangular"/>
    <d v="2025-04-01T00:00:00"/>
    <s v="10/13786-945748"/>
    <s v="SIM"/>
    <n v="238"/>
    <n v="448.81000000000006"/>
    <n v="382.0775000000001"/>
    <s v="Aprovado"/>
    <n v="266.93"/>
    <n v="200.2"/>
    <m/>
    <m/>
    <n v="200.2"/>
    <m/>
    <s v="62955505182257200,2"/>
    <m/>
    <x v="1"/>
    <n v="200.2"/>
    <n v="0"/>
    <m/>
  </r>
  <r>
    <x v="0"/>
    <s v="10/1698130-0"/>
    <n v="67991767866"/>
    <n v="62955505461210"/>
    <s v="energisa_ms"/>
    <s v="Igreja do Evangelho Quadrangular"/>
    <d v="2025-01-01T00:00:00"/>
    <s v="10/1695011-545931"/>
    <s v="SIM"/>
    <n v="239"/>
    <n v="458.08000000000004"/>
    <n v="391.38500000000005"/>
    <s v="Aprovado"/>
    <n v="266.77999999999997"/>
    <n v="200.09"/>
    <m/>
    <m/>
    <n v="200.09"/>
    <m/>
    <s v="62955505461210200,09"/>
    <m/>
    <x v="1"/>
    <n v="200.09"/>
    <n v="0"/>
    <m/>
  </r>
  <r>
    <x v="0"/>
    <s v="10/489076-0"/>
    <n v="0"/>
    <n v="62955505016080"/>
    <s v="energisa_ms"/>
    <s v="Igreja do Evangelho Quadrangular"/>
    <d v="2025-09-01T00:00:00"/>
    <s v="10/3139326-745689"/>
    <s v="SIM"/>
    <n v="258"/>
    <n v="443.43655172413793"/>
    <n v="370.59610645831799"/>
    <s v="Aprovado"/>
    <n v="271.20655172413791"/>
    <n v="198.37"/>
    <d v="2025-10-03T00:00:00"/>
    <d v="2025-10-13T00:00:00"/>
    <n v="198.37"/>
    <m/>
    <s v="62955505016080198,37"/>
    <s v="09/00012851438-5"/>
    <x v="1"/>
    <n v="198.37"/>
    <n v="0"/>
    <m/>
  </r>
  <r>
    <x v="0"/>
    <s v="10/532723-4"/>
    <s v="Inadimplência"/>
    <n v="62955505359360"/>
    <s v="energisa_ms"/>
    <s v="Igreja do Evangelho Quadrangular"/>
    <d v="2025-08-01T00:00:00"/>
    <s v="10/257864-945839"/>
    <s v="SIM"/>
    <n v="236"/>
    <n v="438.5490410958904"/>
    <n v="381.02861721528734"/>
    <s v="Aprovado"/>
    <n v="254.55904109589045"/>
    <n v="197.04"/>
    <d v="2025-09-10T00:00:00"/>
    <d v="2025-09-20T00:00:00"/>
    <n v="197.04"/>
    <m/>
    <s v="62955505359360197,04"/>
    <s v="09/00012749667-5"/>
    <x v="1"/>
    <n v="197.04"/>
    <n v="0"/>
    <m/>
  </r>
  <r>
    <x v="1"/>
    <s v="10/40190-1"/>
    <n v="67996859014"/>
    <n v="62955505177504"/>
    <s v="energisa_ms"/>
    <s v="Igreja do Evangelho Quadrangular"/>
    <d v="2025-07-01T00:00:00"/>
    <s v="10/908866-745658"/>
    <s v="SIM"/>
    <n v="251"/>
    <n v="366.47875000000005"/>
    <n v="308.54406675000001"/>
    <s v="Aprovado"/>
    <n v="254.55874999999995"/>
    <n v="196.62"/>
    <d v="2025-09-10T00:00:00"/>
    <d v="2025-09-20T00:00:00"/>
    <n v="196.62"/>
    <m/>
    <s v="62955505177504196,62"/>
    <s v="09/00012683509-7"/>
    <x v="2"/>
    <m/>
    <n v="0"/>
    <m/>
  </r>
  <r>
    <x v="1"/>
    <s v="10/129490-9"/>
    <s v="Inadimplência"/>
    <n v="62955505405140"/>
    <s v="energisa_ms"/>
    <s v="Igreja do Evangelho Quadrangular"/>
    <d v="2025-09-01T00:00:00"/>
    <s v="10/109074-545689"/>
    <s v="SIM"/>
    <n v="255"/>
    <n v="345.72"/>
    <n v="273.68705206383049"/>
    <s v="Aprovado"/>
    <n v="268.20000000000005"/>
    <n v="196.17"/>
    <d v="2025-10-03T00:00:00"/>
    <d v="2025-10-13T00:00:00"/>
    <n v="196.17"/>
    <m/>
    <s v="62955505405140196,17"/>
    <s v="09/00012851531-7"/>
    <x v="1"/>
    <n v="196.17"/>
    <n v="0"/>
    <d v="2025-11-10T00:00:00"/>
  </r>
  <r>
    <x v="0"/>
    <s v="10/1433087-2"/>
    <s v=" 67 91285460"/>
    <n v="62955505419443"/>
    <s v="energisa_ms"/>
    <s v="Igreja do Evangelho Quadrangular"/>
    <d v="2025-03-01T00:00:00"/>
    <s v="10/142353-245901"/>
    <s v="SIM"/>
    <n v="234"/>
    <n v="412.16999999999996"/>
    <n v="346.87"/>
    <s v="Aprovado"/>
    <n v="261.2"/>
    <n v="195.9"/>
    <m/>
    <m/>
    <n v="195.9"/>
    <m/>
    <s v="62955505419443195,9"/>
    <m/>
    <x v="1"/>
    <n v="195.9"/>
    <n v="0"/>
    <m/>
  </r>
  <r>
    <x v="2"/>
    <s v="10/3005226-0"/>
    <e v="#N/A"/>
    <s v="#ND"/>
    <s v="energisa_ms"/>
    <s v="Igreja do Evangelho Quadrangular"/>
    <d v="2025-09-01T00:00:00"/>
    <s v="10/8777-545689"/>
    <s v="SIM"/>
    <n v="253"/>
    <m/>
    <m/>
    <s v="Não emitido"/>
    <n v="443.91888888888889"/>
    <n v="194.42"/>
    <m/>
    <m/>
    <m/>
    <s v="Pendente dado cadastral"/>
    <s v="#ND194,42"/>
    <m/>
    <x v="0"/>
    <m/>
    <n v="0"/>
    <m/>
  </r>
  <r>
    <x v="0"/>
    <s v="10/162736-3"/>
    <n v="67996150274"/>
    <n v="62955505197360"/>
    <s v="energisa_ms"/>
    <s v="Igreja do Evangelho Quadrangular"/>
    <d v="2025-01-01T00:00:00"/>
    <s v="10/29964-445689"/>
    <s v="SIM"/>
    <n v="232"/>
    <n v="447.26"/>
    <n v="382.52249999999998"/>
    <s v="Aprovado"/>
    <n v="258.95000000000005"/>
    <n v="194.21"/>
    <m/>
    <m/>
    <n v="194.21"/>
    <m/>
    <s v="62955505197360194,21"/>
    <m/>
    <x v="2"/>
    <n v="0"/>
    <n v="-194.21"/>
    <m/>
  </r>
  <r>
    <x v="0"/>
    <s v="10/399338-3"/>
    <n v="67991060202"/>
    <n v="62955505213233"/>
    <s v="energisa_ms"/>
    <s v="Igreja do Evangelho Quadrangular"/>
    <d v="2025-06-01T00:00:00"/>
    <s v="10/511753-645870"/>
    <s v="SIM"/>
    <n v="257"/>
    <n v="366.53928571428571"/>
    <n v="305.11432826594358"/>
    <s v="Aprovado"/>
    <n v="258.89928571428572"/>
    <n v="194.17"/>
    <d v="2025-07-22T00:00:00"/>
    <d v="2025-08-02T00:00:00"/>
    <n v="194.17"/>
    <m/>
    <s v="62955505213233194,17"/>
    <s v="09/00012472778-3"/>
    <x v="1"/>
    <n v="194.17"/>
    <n v="0"/>
    <s v="05/08/2025"/>
  </r>
  <r>
    <x v="0"/>
    <s v="10/1184751-4"/>
    <s v="67 96034976"/>
    <n v="62955505149047"/>
    <s v="energisa_ms"/>
    <s v="Igreja do Evangelho Quadrangular"/>
    <d v="2025-06-01T00:00:00"/>
    <s v="10/1674177-945839"/>
    <s v="SIM"/>
    <n v="223"/>
    <n v="441.11199999999997"/>
    <n v="379.71961417167984"/>
    <s v="Aprovado"/>
    <n v="258.762"/>
    <n v="194.07"/>
    <d v="2025-07-22T00:00:00"/>
    <d v="2025-08-02T00:00:00"/>
    <n v="194.07"/>
    <m/>
    <s v="62955505149047194,07"/>
    <s v="09/00012472754-4"/>
    <x v="1"/>
    <n v="194.07"/>
    <n v="0"/>
    <m/>
  </r>
  <r>
    <x v="0"/>
    <s v="10/395471-6"/>
    <n v="67992876000"/>
    <n v="62955505248886"/>
    <s v="energisa_ms"/>
    <s v="Igreja do Evangelho Quadrangular"/>
    <d v="2025-10-01T00:00:00"/>
    <s v="10/10731-845748"/>
    <s v="SIM"/>
    <n v="291"/>
    <n v="416.95249999999993"/>
    <n v="330.78542628536542"/>
    <s v="Aprovado"/>
    <n v="308.09249999999997"/>
    <n v="193.68"/>
    <d v="2025-11-06T00:00:00"/>
    <d v="2025-11-13T00:00:00"/>
    <n v="193.68"/>
    <m/>
    <s v="62955505248886193,68"/>
    <s v="09/00013026902-8"/>
    <x v="1"/>
    <n v="221.93"/>
    <n v="0"/>
    <d v="2025-12-04T00:00:00"/>
  </r>
  <r>
    <x v="1"/>
    <s v="10/13786-9"/>
    <n v="0"/>
    <n v="62955505197521"/>
    <s v="energisa_ms"/>
    <s v="Igreja do Evangelho Quadrangular"/>
    <d v="2025-09-01T00:00:00"/>
    <s v="10/512142-145689"/>
    <s v="SIM"/>
    <n v="252"/>
    <n v="315.15999999999997"/>
    <n v="244.0509645951519"/>
    <s v="Aprovado"/>
    <n v="264.76"/>
    <n v="193.65"/>
    <d v="2025-10-03T00:00:00"/>
    <d v="2025-10-13T00:00:00"/>
    <n v="193.65"/>
    <m/>
    <s v="62955505197521193,65"/>
    <s v="09/00012851529-1"/>
    <x v="1"/>
    <n v="193.65"/>
    <n v="0"/>
    <m/>
  </r>
  <r>
    <x v="0"/>
    <s v="10/1698130-0"/>
    <n v="67991767866"/>
    <n v="62955505461210"/>
    <s v="energisa_ms"/>
    <s v="Igreja do Evangelho Quadrangular"/>
    <d v="2025-03-01T00:00:00"/>
    <s v="10/81222-245778"/>
    <s v="SIM"/>
    <n v="248"/>
    <n v="447.12999999999994"/>
    <n v="382.65499999999992"/>
    <s v="Aprovado"/>
    <n v="257.90000000000003"/>
    <n v="193.43"/>
    <m/>
    <m/>
    <n v="193.43"/>
    <m/>
    <s v="62955505461210193,43"/>
    <m/>
    <x v="1"/>
    <n v="193.43"/>
    <n v="0"/>
    <m/>
  </r>
  <r>
    <x v="0"/>
    <s v="10/15297-5"/>
    <n v="67996266684"/>
    <n v="62955505312487"/>
    <s v="energisa_ms"/>
    <s v="Igreja do Evangelho Quadrangular"/>
    <d v="2025-07-01T00:00:00"/>
    <s v="10/237441-145778"/>
    <s v="SIM"/>
    <n v="247"/>
    <n v="354.72310344827582"/>
    <n v="297.71190351724135"/>
    <s v="Aprovado"/>
    <n v="248.82310344827584"/>
    <n v="191.81"/>
    <d v="2025-09-10T00:00:00"/>
    <d v="2025-09-20T00:00:00"/>
    <n v="191.81"/>
    <m/>
    <s v="62955505312487191,81"/>
    <s v="09/00012683494-2"/>
    <x v="1"/>
    <n v="191.81"/>
    <n v="0"/>
    <m/>
  </r>
  <r>
    <x v="1"/>
    <s v="10/257864-9"/>
    <n v="67981311823"/>
    <n v="62955505182176"/>
    <s v="energisa_ms"/>
    <s v="Igreja do Evangelho Quadrangular"/>
    <d v="2025-02-01T00:00:00"/>
    <s v="10/532723-445658"/>
    <s v="SIM"/>
    <n v="234"/>
    <n v="332.25"/>
    <n v="268.54999999999995"/>
    <s v="Aprovado"/>
    <n v="254.80000000000004"/>
    <n v="191.1"/>
    <m/>
    <m/>
    <n v="191.1"/>
    <m/>
    <s v="62955505182176191,1"/>
    <m/>
    <x v="1"/>
    <n v="191.1"/>
    <n v="0"/>
    <m/>
  </r>
  <r>
    <x v="0"/>
    <s v="10/480529-7"/>
    <n v="6796411024"/>
    <n v="62955505182257"/>
    <s v="energisa_ms"/>
    <s v="Igreja do Evangelho Quadrangular"/>
    <d v="2025-10-01T00:00:00"/>
    <s v="10/78338-145717"/>
    <s v="SIM"/>
    <n v="248"/>
    <n v="444.89152542372881"/>
    <n v="370.75932162097502"/>
    <s v="Aprovado"/>
    <n v="265.06152542372888"/>
    <n v="190.93"/>
    <d v="2025-11-06T00:00:00"/>
    <d v="2025-11-13T00:00:00"/>
    <n v="190.93"/>
    <m/>
    <s v="62955505182257190,93"/>
    <s v="09/00013026888-9"/>
    <x v="1"/>
    <n v="190.93"/>
    <n v="0"/>
    <m/>
  </r>
  <r>
    <x v="1"/>
    <s v="10/41548-9"/>
    <n v="67996687077"/>
    <n v="62955505269026"/>
    <s v="energisa_ms"/>
    <s v="Igreja do Evangelho Quadrangular"/>
    <d v="2025-10-01T00:00:00"/>
    <s v="10/341308-545717"/>
    <s v="SIM"/>
    <n v="244"/>
    <n v="373.48200000000003"/>
    <n v="299.83630533140217"/>
    <s v="Aprovado"/>
    <n v="263.322"/>
    <n v="189.68"/>
    <d v="2025-11-06T00:00:00"/>
    <d v="2025-11-13T00:00:00"/>
    <n v="189.68"/>
    <m/>
    <s v="62955505269026189,68"/>
    <s v="09/00013026882-2"/>
    <x v="1"/>
    <n v="189.68"/>
    <n v="0"/>
    <d v="2025-11-18T00:00:00"/>
  </r>
  <r>
    <x v="0"/>
    <s v="10/52987-5"/>
    <n v="67996983476"/>
    <n v="62955505182257"/>
    <s v="energisa_ms"/>
    <s v="Igreja do Evangelho Quadrangular"/>
    <d v="2025-10-01T00:00:00"/>
    <s v="10/513413-545778"/>
    <s v="SIM"/>
    <n v="245"/>
    <n v="439.0018644067797"/>
    <n v="366.57560911131429"/>
    <s v="Aprovado"/>
    <n v="258.96186440677968"/>
    <n v="186.54"/>
    <d v="2025-11-06T00:00:00"/>
    <d v="2025-11-13T00:00:00"/>
    <n v="186.54"/>
    <m/>
    <s v="62955505182257186,54"/>
    <s v="09/00013026911-9"/>
    <x v="1"/>
    <n v="258.95999999999998"/>
    <n v="0"/>
    <d v="2025-12-02T00:00:00"/>
  </r>
  <r>
    <x v="0"/>
    <s v="10/1184751-4"/>
    <s v="67 96034976"/>
    <n v="62955505149047"/>
    <s v="energisa_ms"/>
    <s v="Igreja do Evangelho Quadrangular"/>
    <d v="2025-02-01T00:00:00"/>
    <s v="10/1695011-545689"/>
    <s v="SIM"/>
    <n v="222"/>
    <n v="428.26"/>
    <n v="366.31"/>
    <s v="Aprovado"/>
    <n v="247.80000000000004"/>
    <n v="185.85"/>
    <m/>
    <m/>
    <n v="185.85"/>
    <m/>
    <s v="62955505149047185,85"/>
    <m/>
    <x v="1"/>
    <n v="185.85"/>
    <n v="0"/>
    <m/>
  </r>
  <r>
    <x v="0"/>
    <s v="10/1184751-4"/>
    <s v="67 96034976"/>
    <n v="62955505149047"/>
    <s v="energisa_ms"/>
    <s v="Igreja do Evangelho Quadrangular"/>
    <d v="2025-04-01T00:00:00"/>
    <s v="10/1266128-645778"/>
    <s v="SIM"/>
    <n v="238"/>
    <n v="423"/>
    <n v="361.16499985000002"/>
    <s v="Aprovado"/>
    <n v="247.34000060000002"/>
    <n v="185.51"/>
    <m/>
    <m/>
    <n v="185.51"/>
    <m/>
    <s v="62955505149047185,51"/>
    <m/>
    <x v="1"/>
    <n v="185.51"/>
    <n v="0"/>
    <m/>
  </r>
  <r>
    <x v="0"/>
    <s v="10/260761-2"/>
    <n v="67996150274"/>
    <n v="62955505000167"/>
    <s v="energisa_ms"/>
    <s v="Igreja do Evangelho Quadrangular"/>
    <d v="2025-01-01T00:00:00"/>
    <s v="10/1695011-545901"/>
    <s v="SIM"/>
    <n v="246"/>
    <n v="421.5"/>
    <n v="359.9"/>
    <s v="Aprovado"/>
    <n v="246.40000000000006"/>
    <n v="184.8"/>
    <m/>
    <m/>
    <n v="184.8"/>
    <m/>
    <s v="62955505000167184,8"/>
    <m/>
    <x v="1"/>
    <n v="184.8"/>
    <n v="0"/>
    <m/>
  </r>
  <r>
    <x v="0"/>
    <s v="10/69319-2"/>
    <n v="67998363594"/>
    <n v="62955505182257"/>
    <s v="energisa_ms"/>
    <s v="Igreja do Evangelho Quadrangular"/>
    <d v="2025-10-01T00:00:00"/>
    <s v="10/513413-545748"/>
    <s v="SIM"/>
    <n v="241"/>
    <n v="432.69916666666666"/>
    <n v="361.22737205342514"/>
    <s v="Aprovado"/>
    <n v="255.54916666666665"/>
    <n v="184.14"/>
    <d v="2025-11-06T00:00:00"/>
    <d v="2025-11-13T00:00:00"/>
    <n v="184.14"/>
    <m/>
    <s v="62955505182257184,14"/>
    <s v="09/00013026896-2"/>
    <x v="1"/>
    <n v="184.14"/>
    <n v="0"/>
    <m/>
  </r>
  <r>
    <x v="1"/>
    <s v="10/1017804-4"/>
    <n v="0"/>
    <n v="62955505878987"/>
    <s v="energisa_ms"/>
    <s v="Igreja do Evangelho Quadrangular"/>
    <d v="2025-07-01T00:00:00"/>
    <s v="10/1695011-545748"/>
    <s v="SIM"/>
    <n v="205"/>
    <n v="419.26100000000002"/>
    <n v="364.56722260000004"/>
    <s v="Aprovado"/>
    <n v="238.42100000000002"/>
    <n v="183.73"/>
    <d v="2025-09-10T00:00:00"/>
    <d v="2025-09-20T00:00:00"/>
    <n v="183.73"/>
    <m/>
    <s v="62955505878987183,73"/>
    <s v="09/00012683478-5"/>
    <x v="1"/>
    <n v="183.73"/>
    <n v="0"/>
    <d v="2025-10-13T00:00:00"/>
  </r>
  <r>
    <x v="0"/>
    <s v="10/18015-8"/>
    <n v="67996266684"/>
    <n v="62955505016080"/>
    <s v="energisa_ms"/>
    <s v="Igreja do Evangelho Quadrangular"/>
    <d v="2025-04-01T00:00:00"/>
    <s v="10/1674177-945748"/>
    <s v="SIM"/>
    <n v="218"/>
    <n v="1032.96"/>
    <n v="971.83500000000004"/>
    <s v="Aprovado"/>
    <n v="244.50000000000003"/>
    <n v="183.38"/>
    <m/>
    <m/>
    <n v="183.38"/>
    <m/>
    <s v="62955505016080183,38"/>
    <m/>
    <x v="1"/>
    <n v="183.38"/>
    <n v="0"/>
    <m/>
  </r>
  <r>
    <x v="0"/>
    <s v="10/1672452-8"/>
    <n v="67992637973"/>
    <n v="62955505017213"/>
    <s v="energisa_ms"/>
    <s v="Igreja do Evangelho Quadrangular"/>
    <d v="2025-01-01T00:00:00"/>
    <s v="10/5202-745870"/>
    <s v="SIM"/>
    <n v="219"/>
    <n v="398.97999999999996"/>
    <n v="337.86500000000001"/>
    <s v="Aprovado"/>
    <n v="244.45999999999998"/>
    <n v="183.35"/>
    <m/>
    <m/>
    <n v="183.35"/>
    <m/>
    <s v="62955505017213183,35"/>
    <m/>
    <x v="1"/>
    <n v="183.35"/>
    <n v="0"/>
    <m/>
  </r>
  <r>
    <x v="0"/>
    <s v="10/81222-2"/>
    <s v="67 992491551"/>
    <n v="62955505015946"/>
    <s v="energisa_ms"/>
    <s v="Igreja do Evangelho Quadrangular"/>
    <d v="2025-06-01T00:00:00"/>
    <s v="10/384823-145839"/>
    <s v="SIM"/>
    <n v="241"/>
    <n v="381.21762711864409"/>
    <n v="323.40644550024945"/>
    <s v="Aprovado"/>
    <n v="243.66762711864408"/>
    <n v="182.75"/>
    <d v="2025-07-22T00:00:00"/>
    <d v="2025-08-02T00:00:00"/>
    <n v="182.75"/>
    <m/>
    <s v="62955505015946182,75"/>
    <s v="09/00012472781-7"/>
    <x v="1"/>
    <n v="182.75"/>
    <n v="0"/>
    <s v="04/08/2025"/>
  </r>
  <r>
    <x v="0"/>
    <s v="10/237441-1"/>
    <n v="67992637973"/>
    <n v="62955505017213"/>
    <s v="energisa_ms"/>
    <s v="Igreja do Evangelho Quadrangular"/>
    <d v="2025-03-01T00:00:00"/>
    <s v="10/3005226-045809"/>
    <s v="SIM"/>
    <n v="217"/>
    <n v="396.75"/>
    <n v="336.26750000000004"/>
    <s v="Aprovado"/>
    <n v="241.93000000000004"/>
    <n v="181.45"/>
    <m/>
    <m/>
    <n v="181.45"/>
    <m/>
    <s v="62955505017213181,45"/>
    <m/>
    <x v="1"/>
    <n v="181.45"/>
    <n v="0"/>
    <m/>
  </r>
  <r>
    <x v="0"/>
    <s v="10/63920-3"/>
    <n v="67981263396"/>
    <n v="62955505135500"/>
    <s v="energisa_ms"/>
    <s v="Igreja do Evangelho Quadrangular"/>
    <d v="2025-07-01T00:00:00"/>
    <s v="10/1548741-645931"/>
    <s v="SIM"/>
    <n v="231"/>
    <n v="405.39901639344259"/>
    <n v="352.07980003278681"/>
    <s v="Aprovado"/>
    <n v="234.44901639344266"/>
    <n v="181.13"/>
    <d v="2025-09-10T00:00:00"/>
    <d v="2025-09-20T00:00:00"/>
    <n v="181.13"/>
    <m/>
    <s v="62955505135500181,13"/>
    <s v="09/00012683506-3"/>
    <x v="1"/>
    <n v="181.13"/>
    <n v="0"/>
    <m/>
  </r>
  <r>
    <x v="0"/>
    <s v="10/156956-5"/>
    <s v="67 998338301"/>
    <n v="62955505015350"/>
    <s v="energisa_ms"/>
    <s v="Igreja do Evangelho Quadrangular"/>
    <d v="2025-04-01T00:00:00"/>
    <s v="10/395471-645748"/>
    <s v="SIM"/>
    <n v="232"/>
    <n v="420.36"/>
    <n v="360.01750000000004"/>
    <s v="Aprovado"/>
    <n v="241.37"/>
    <n v="181.03"/>
    <m/>
    <m/>
    <n v="181.03"/>
    <m/>
    <s v="62955505015350181,03"/>
    <m/>
    <x v="1"/>
    <n v="181.03"/>
    <n v="0"/>
    <m/>
  </r>
  <r>
    <x v="1"/>
    <s v="10/1939035-0"/>
    <s v=" 67 91285460"/>
    <n v="62955505419443"/>
    <s v="energisa_ms"/>
    <s v="Igreja do Evangelho Quadrangular"/>
    <d v="2025-06-01T00:00:00"/>
    <s v="10/150263-245778"/>
    <s v="SIM"/>
    <n v="218"/>
    <n v="327.48600000000005"/>
    <n v="270.36798685036933"/>
    <s v="Aprovado"/>
    <n v="240.74599999999998"/>
    <n v="180.56"/>
    <d v="2025-07-22T00:00:00"/>
    <d v="2025-08-02T00:00:00"/>
    <n v="180.56"/>
    <m/>
    <s v="62955505419443180,56"/>
    <s v="09/00012472766-8"/>
    <x v="1"/>
    <n v="180.56"/>
    <n v="0"/>
    <s v="06/08/2025"/>
  </r>
  <r>
    <x v="1"/>
    <s v="10/239312-2"/>
    <n v="0"/>
    <n v="62955505016594"/>
    <s v="energisa_ms"/>
    <s v="Igreja do Evangelho Quadrangular"/>
    <d v="2025-08-01T00:00:00"/>
    <s v="10/252817-245839"/>
    <s v="SIM"/>
    <n v="230"/>
    <n v="326.41166666666669"/>
    <n v="273.73751366681478"/>
    <s v="Aprovado"/>
    <n v="233.11166666666668"/>
    <n v="180.44"/>
    <d v="2025-09-10T00:00:00"/>
    <d v="2025-09-20T00:00:00"/>
    <n v="180.44"/>
    <m/>
    <s v="62955505016594180,44"/>
    <s v="09/00012749695-6"/>
    <x v="1"/>
    <n v="180.44"/>
    <n v="0"/>
    <m/>
  </r>
  <r>
    <x v="0"/>
    <s v="10/504844-2"/>
    <n v="0"/>
    <n v="62955505354481"/>
    <s v="energisa_ms"/>
    <s v="Igreja do Evangelho Quadrangular"/>
    <d v="2025-08-01T00:00:00"/>
    <s v="10/135237-645931"/>
    <s v="SIM"/>
    <n v="228"/>
    <n v="368.28645161290319"/>
    <n v="315.87333219991456"/>
    <s v="Aprovado"/>
    <n v="231.95645161290324"/>
    <n v="179.54"/>
    <d v="2025-09-10T00:00:00"/>
    <d v="2025-09-20T00:00:00"/>
    <n v="179.54"/>
    <m/>
    <s v="62955505354481179,54"/>
    <s v="09/00012749678-2"/>
    <x v="1"/>
    <n v="179.54"/>
    <n v="0"/>
    <m/>
  </r>
  <r>
    <x v="2"/>
    <s v="10/3005226-0"/>
    <e v="#N/A"/>
    <s v="#ND"/>
    <s v="energisa_ms"/>
    <s v="Igreja do Evangelho Quadrangular"/>
    <d v="2025-08-01T00:00:00"/>
    <s v="10/175073-645717"/>
    <s v="SIM"/>
    <n v="225"/>
    <m/>
    <m/>
    <s v="Aprovado"/>
    <n v="452.94999999999993"/>
    <n v="178.11"/>
    <m/>
    <m/>
    <m/>
    <s v="Pendente dado cadastral"/>
    <s v="#ND178,11"/>
    <e v="#N/A"/>
    <x v="0"/>
    <m/>
    <n v="0"/>
    <m/>
  </r>
  <r>
    <x v="1"/>
    <s v="10/109074-5"/>
    <s v="67 91751433"/>
    <n v="62955505000167"/>
    <s v="energisa_ms"/>
    <s v="Igreja do Evangelho Quadrangular"/>
    <d v="2025-07-01T00:00:00"/>
    <s v="10/129490-945931"/>
    <s v="SIM"/>
    <n v="227"/>
    <n v="277.87416666666667"/>
    <n v="225.49889683333333"/>
    <s v="Aprovado"/>
    <n v="230.33416666666665"/>
    <n v="177.96"/>
    <d v="2025-09-10T00:00:00"/>
    <d v="2025-09-20T00:00:00"/>
    <n v="177.96"/>
    <m/>
    <s v="62955505000167177,96"/>
    <s v="09/00012683517-0"/>
    <x v="1"/>
    <n v="177.96"/>
    <n v="0"/>
    <m/>
  </r>
  <r>
    <x v="0"/>
    <s v="10/489076-0"/>
    <n v="67996266684"/>
    <n v="62955505016080"/>
    <s v="energisa_ms"/>
    <s v="Igreja do Evangelho Quadrangular"/>
    <d v="2025-06-01T00:00:00"/>
    <s v="10/2794432-145748"/>
    <s v="SIM"/>
    <n v="237"/>
    <n v="576.48878787878789"/>
    <n v="520.35946354116936"/>
    <s v="Aprovado"/>
    <n v="236.57878787878786"/>
    <n v="177.43"/>
    <d v="2025-07-22T00:00:00"/>
    <d v="2025-08-02T00:00:00"/>
    <n v="177.43"/>
    <m/>
    <s v="62955505016080177,43"/>
    <s v="09/00012472774-2"/>
    <x v="1"/>
    <n v="177.43"/>
    <n v="0"/>
    <s v="01/08/2025"/>
  </r>
  <r>
    <x v="1"/>
    <s v="10/1081489-5"/>
    <n v="67996446178"/>
    <n v="62955505016918"/>
    <s v="energisa_ms"/>
    <s v="Igreja do Evangelho Quadrangular"/>
    <d v="2025-06-01T00:00:00"/>
    <s v="10/72605-945870"/>
    <s v="SIM"/>
    <n v="237"/>
    <n v="543.52815789473686"/>
    <n v="487.39898302351577"/>
    <s v="Aprovado"/>
    <n v="236.57815789473682"/>
    <n v="177.43"/>
    <d v="2025-07-22T00:00:00"/>
    <d v="2025-08-02T00:00:00"/>
    <n v="177.43"/>
    <m/>
    <s v="62955505016918177,43"/>
    <s v="09/00012472772-6"/>
    <x v="1"/>
    <n v="236.58"/>
    <n v="59.150000000000006"/>
    <d v="2025-09-29T00:00:00"/>
  </r>
  <r>
    <x v="0"/>
    <s v="10/3139326-7"/>
    <n v="67999361728"/>
    <n v="62955505182257"/>
    <s v="energisa_ms"/>
    <s v="Igreja do Evangelho Quadrangular"/>
    <d v="2025-06-01T00:00:00"/>
    <s v="10/1698130-045901"/>
    <s v="SIM"/>
    <n v="237"/>
    <n v="562.81016393442633"/>
    <n v="506.74219922834834"/>
    <s v="Aprovado"/>
    <n v="236.3201639344262"/>
    <n v="177.24"/>
    <d v="2025-07-22T00:00:00"/>
    <d v="2025-08-02T00:00:00"/>
    <n v="177.24"/>
    <m/>
    <s v="62955505182257177,24"/>
    <s v="09/00012472777-5"/>
    <x v="1"/>
    <n v="177.24"/>
    <n v="0"/>
    <s v="06/08/2025"/>
  </r>
  <r>
    <x v="0"/>
    <s v="10/532723-4"/>
    <n v="67996446178"/>
    <n v="62955505359360"/>
    <s v="energisa_ms"/>
    <s v="Igreja do Evangelho Quadrangular"/>
    <d v="2025-06-01T00:00:00"/>
    <s v="10/2794432-145717"/>
    <s v="SIM"/>
    <n v="221"/>
    <n v="409.99797297297306"/>
    <n v="354.01593961403671"/>
    <s v="Aprovado"/>
    <n v="235.95797297297298"/>
    <n v="176.97"/>
    <d v="2025-07-22T00:00:00"/>
    <d v="2025-08-02T00:00:00"/>
    <n v="176.97"/>
    <m/>
    <s v="62955505359360176,97"/>
    <s v="09/00012472746-0"/>
    <x v="2"/>
    <n v="0"/>
    <n v="-176.97"/>
    <m/>
  </r>
  <r>
    <x v="0"/>
    <s v="10/78338-1"/>
    <s v="67 984742936"/>
    <n v="62955505016837"/>
    <s v="energisa_ms"/>
    <s v="Igreja do Evangelho Quadrangular"/>
    <d v="2025-05-01T00:00:00"/>
    <s v="10/1674177-945658"/>
    <s v="SIM"/>
    <n v="242"/>
    <n v="394.76866666666672"/>
    <n v="335.8415"/>
    <s v="Aprovado"/>
    <n v="235.70866666666669"/>
    <n v="176.78"/>
    <m/>
    <m/>
    <n v="176.78"/>
    <m/>
    <s v="62955505016837176,78"/>
    <m/>
    <x v="1"/>
    <n v="176.78"/>
    <n v="0"/>
    <d v="2025-09-02T00:00:00"/>
  </r>
  <r>
    <x v="1"/>
    <s v="10/40190-1"/>
    <n v="67996859014"/>
    <n v="62955505177504"/>
    <s v="energisa_ms"/>
    <s v="Igreja do Evangelho Quadrangular"/>
    <d v="2025-04-01T00:00:00"/>
    <s v="10/1674177-945778"/>
    <s v="SIM"/>
    <n v="240"/>
    <n v="434.76"/>
    <n v="376.31500000000005"/>
    <s v="Aprovado"/>
    <n v="233.77999999999997"/>
    <n v="175.34"/>
    <m/>
    <m/>
    <n v="175.34"/>
    <m/>
    <s v="62955505177504175,34"/>
    <e v="#N/A"/>
    <x v="2"/>
    <n v="0"/>
    <n v="-175.34"/>
    <m/>
  </r>
  <r>
    <x v="1"/>
    <s v="10/41548-9"/>
    <n v="67996687077"/>
    <n v="62955505269026"/>
    <s v="energisa_ms"/>
    <s v="Igreja do Evangelho Quadrangular"/>
    <d v="2025-04-01T00:00:00"/>
    <s v="10/280638-845901"/>
    <s v="SIM"/>
    <n v="240"/>
    <n v="391.84000000000003"/>
    <n v="333.39500000000004"/>
    <s v="Aprovado"/>
    <n v="233.77999999999997"/>
    <n v="175.34"/>
    <m/>
    <m/>
    <n v="175.34"/>
    <m/>
    <s v="62955505269026175,34"/>
    <m/>
    <x v="1"/>
    <n v="233.77999999999997"/>
    <n v="58.439999999999969"/>
    <d v="2025-11-12T00:00:00"/>
  </r>
  <r>
    <x v="0"/>
    <s v="10/3123706-8"/>
    <n v="67999516782"/>
    <n v="62955505375721"/>
    <s v="energisa_ms"/>
    <s v="Igreja do Evangelho Quadrangular"/>
    <d v="2025-03-01T00:00:00"/>
    <s v="10/260761-245658"/>
    <s v="SIM"/>
    <n v="240"/>
    <n v="505.81"/>
    <n v="447.36500000000001"/>
    <s v="Aprovado"/>
    <n v="233.78"/>
    <n v="175.34"/>
    <m/>
    <m/>
    <n v="175.34"/>
    <m/>
    <s v="62955505375721175,34"/>
    <m/>
    <x v="1"/>
    <n v="175.34"/>
    <n v="0"/>
    <m/>
  </r>
  <r>
    <x v="1"/>
    <s v="10/129490-9"/>
    <s v=","/>
    <n v="62955505405140"/>
    <s v="energisa_ms"/>
    <s v="Igreja do Evangelho Quadrangular"/>
    <d v="2025-03-01T00:00:00"/>
    <s v="10/69319-245931"/>
    <s v="SIM"/>
    <n v="240"/>
    <n v="392.86"/>
    <n v="334.41500000000002"/>
    <s v="Aprovado"/>
    <n v="233.78"/>
    <n v="175.34"/>
    <m/>
    <m/>
    <n v="175.34"/>
    <m/>
    <s v="62955505405140175,34"/>
    <m/>
    <x v="1"/>
    <n v="175.34"/>
    <n v="0"/>
    <m/>
  </r>
  <r>
    <x v="1"/>
    <s v="10/109074-5"/>
    <s v="67 91751433"/>
    <n v="62955505000167"/>
    <s v="energisa_ms"/>
    <s v="Igreja do Evangelho Quadrangular"/>
    <d v="2025-04-01T00:00:00"/>
    <s v="10/1266128-645901"/>
    <s v="SIM"/>
    <n v="240"/>
    <n v="396.18"/>
    <n v="337.73500200000001"/>
    <s v="Aprovado"/>
    <n v="233.77999199999999"/>
    <n v="175.33"/>
    <m/>
    <m/>
    <n v="175.33"/>
    <m/>
    <s v="62955505000167175,33"/>
    <e v="#N/A"/>
    <x v="2"/>
    <m/>
    <n v="-175.33"/>
    <m/>
  </r>
  <r>
    <x v="0"/>
    <s v="10/76927-3"/>
    <s v="67 999373813"/>
    <n v="62955505058599"/>
    <s v="energisa_ms"/>
    <s v="Igreja do Evangelho Quadrangular"/>
    <d v="2025-04-01T00:00:00"/>
    <s v="10/239312-245901"/>
    <s v="SIM"/>
    <n v="240"/>
    <n v="542.41999999999996"/>
    <n v="483.995"/>
    <s v="Aprovado"/>
    <n v="233.7"/>
    <n v="175.28"/>
    <m/>
    <m/>
    <n v="175.28"/>
    <m/>
    <s v="62955505058599175,28"/>
    <e v="#N/A"/>
    <x v="2"/>
    <n v="0"/>
    <n v="-175.28"/>
    <m/>
  </r>
  <r>
    <x v="0"/>
    <s v="10/1674177-9"/>
    <s v="67 993047635"/>
    <n v="62955505016160"/>
    <s v="energisa_ms"/>
    <s v="Igreja do Evangelho Quadrangular"/>
    <d v="2025-04-01T00:00:00"/>
    <s v="10/280638-845748"/>
    <s v="SIM"/>
    <n v="240"/>
    <n v="712.28"/>
    <n v="653.85500000000002"/>
    <s v="Aprovado"/>
    <n v="233.70000000000002"/>
    <n v="175.28"/>
    <m/>
    <m/>
    <n v="175.28"/>
    <m/>
    <s v="62955505016160175,28"/>
    <e v="#N/A"/>
    <x v="1"/>
    <n v="175.28"/>
    <n v="0"/>
    <d v="2025-06-30T00:00:00"/>
  </r>
  <r>
    <x v="0"/>
    <s v="10/480529-7"/>
    <n v="6796411024"/>
    <n v="62955505182257"/>
    <s v="energisa_ms"/>
    <s v="Igreja do Evangelho Quadrangular"/>
    <d v="2025-04-01T00:00:00"/>
    <s v="10/78338-145901"/>
    <s v="SIM"/>
    <n v="240"/>
    <n v="523.89"/>
    <n v="465.47749999999996"/>
    <s v="Aprovado"/>
    <n v="233.65"/>
    <n v="175.24"/>
    <m/>
    <m/>
    <n v="175.24"/>
    <m/>
    <s v="62955505182257175,24"/>
    <m/>
    <x v="1"/>
    <n v="175.24"/>
    <n v="0"/>
    <m/>
  </r>
  <r>
    <x v="0"/>
    <s v="10/63920-3"/>
    <n v="67981263396"/>
    <n v="62955505135500"/>
    <s v="energisa_ms"/>
    <s v="Igreja do Evangelho Quadrangular"/>
    <d v="2025-04-01T00:00:00"/>
    <s v="10/113971-645931"/>
    <s v="SIM"/>
    <n v="240"/>
    <n v="508.71"/>
    <n v="450.2974999999999"/>
    <s v="Aprovado"/>
    <n v="233.65"/>
    <n v="175.24"/>
    <m/>
    <m/>
    <n v="175.24"/>
    <m/>
    <s v="62955505135500175,24"/>
    <m/>
    <x v="1"/>
    <n v="175.24"/>
    <n v="0"/>
    <m/>
  </r>
  <r>
    <x v="1"/>
    <s v="10/239312-2"/>
    <n v="67996711972"/>
    <n v="62955505016594"/>
    <s v="energisa_ms"/>
    <s v="Igreja do Evangelho Quadrangular"/>
    <d v="2025-04-01T00:00:00"/>
    <s v="10/10232-745931"/>
    <s v="SIM"/>
    <n v="240"/>
    <n v="355.68"/>
    <n v="297.26750400000003"/>
    <s v="Aprovado"/>
    <n v="233.64998399999999"/>
    <n v="175.24"/>
    <m/>
    <m/>
    <n v="175.24"/>
    <m/>
    <s v="62955505016594175,24"/>
    <m/>
    <x v="1"/>
    <n v="175.24"/>
    <n v="0"/>
    <m/>
  </r>
  <r>
    <x v="2"/>
    <s v="10/3005226-0"/>
    <e v="#N/A"/>
    <n v="62955505057789"/>
    <s v="energisa_ms"/>
    <s v="Igreja do Evangelho Quadrangular"/>
    <d v="2025-05-01T00:00:00"/>
    <s v="10/109074-545809"/>
    <s v="SIM"/>
    <n v="206"/>
    <n v="336.60559999999998"/>
    <n v="278.19420000000002"/>
    <s v="Aprovado"/>
    <n v="233.6456"/>
    <n v="175.23"/>
    <m/>
    <m/>
    <n v="175.23"/>
    <m/>
    <s v="62955505057789175,23"/>
    <m/>
    <x v="1"/>
    <n v="233.65"/>
    <n v="58.420000000000016"/>
    <d v="2025-11-05T00:00:00"/>
  </r>
  <r>
    <x v="1"/>
    <s v="10/341308-5"/>
    <n v="67993249456"/>
    <n v="62955505239119"/>
    <s v="energisa_ms"/>
    <s v="Igreja do Evangelho Quadrangular"/>
    <d v="2025-04-01T00:00:00"/>
    <s v="10/78338-145748"/>
    <s v="SIM"/>
    <n v="240"/>
    <n v="376.61"/>
    <n v="318.20500040000002"/>
    <s v="Aprovado"/>
    <n v="233.61999840000001"/>
    <n v="175.21"/>
    <m/>
    <m/>
    <n v="175.21"/>
    <m/>
    <s v="62955505239119175,21"/>
    <e v="#N/A"/>
    <x v="4"/>
    <n v="0"/>
    <n v="-175.21"/>
    <m/>
  </r>
  <r>
    <x v="0"/>
    <s v="10/435964-2"/>
    <n v="67992021114"/>
    <n v="62955505357405"/>
    <s v="energisa_ms"/>
    <s v="Igreja do Evangelho Quadrangular"/>
    <d v="2025-04-01T00:00:00"/>
    <s v="10/10232-745717"/>
    <s v="SIM"/>
    <n v="240"/>
    <n v="490.76"/>
    <n v="432.36499999999995"/>
    <s v="Aprovado"/>
    <n v="233.58"/>
    <n v="175.19"/>
    <m/>
    <m/>
    <n v="175.19"/>
    <m/>
    <s v="62955505357405175,19"/>
    <m/>
    <x v="1"/>
    <n v="175.19"/>
    <n v="0"/>
    <m/>
  </r>
  <r>
    <x v="0"/>
    <s v="10/504844-2"/>
    <n v="67992637973"/>
    <n v="62955505354481"/>
    <s v="energisa_ms"/>
    <s v="Igreja do Evangelho Quadrangular"/>
    <d v="2025-04-01T00:00:00"/>
    <s v="10/156956-545778"/>
    <s v="SIM"/>
    <n v="240"/>
    <n v="765.53"/>
    <n v="707.13499999999999"/>
    <s v="Aprovado"/>
    <n v="233.58"/>
    <n v="175.19"/>
    <m/>
    <m/>
    <n v="175.19"/>
    <m/>
    <s v="62955505354481175,19"/>
    <m/>
    <x v="1"/>
    <n v="175.19"/>
    <n v="0"/>
    <m/>
  </r>
  <r>
    <x v="0"/>
    <s v="10/69319-2"/>
    <n v="67998363594"/>
    <n v="62955505182257"/>
    <s v="energisa_ms"/>
    <s v="Igreja do Evangelho Quadrangular"/>
    <d v="2025-04-01T00:00:00"/>
    <s v="10/435964-245689"/>
    <s v="SIM"/>
    <n v="240"/>
    <n v="419.26"/>
    <n v="360.88499999999999"/>
    <s v="Aprovado"/>
    <n v="233.5"/>
    <n v="175.13"/>
    <m/>
    <m/>
    <n v="175.13"/>
    <m/>
    <s v="62955505182257175,13"/>
    <m/>
    <x v="1"/>
    <n v="233.5"/>
    <n v="58.370000000000005"/>
    <d v="2025-09-19T00:00:00"/>
  </r>
  <r>
    <x v="1"/>
    <s v="10/13786-9"/>
    <n v="67996266684"/>
    <n v="62955505197521"/>
    <s v="energisa_ms"/>
    <s v="Igreja do Evangelho Quadrangular"/>
    <d v="2025-04-01T00:00:00"/>
    <s v="10/40190-145778"/>
    <s v="SIM"/>
    <n v="240"/>
    <n v="323.52"/>
    <n v="265.15749999999997"/>
    <s v="Aprovado"/>
    <n v="233.45"/>
    <n v="175.09"/>
    <m/>
    <m/>
    <n v="175.09"/>
    <m/>
    <s v="62955505197521175,09"/>
    <e v="#N/A"/>
    <x v="2"/>
    <n v="0"/>
    <n v="-175.09"/>
    <m/>
  </r>
  <r>
    <x v="0"/>
    <s v="10/8777-5"/>
    <s v="67 992319530"/>
    <n v="62955505122432"/>
    <s v="energisa_ms"/>
    <s v="Igreja do Evangelho Quadrangular"/>
    <d v="2025-04-01T00:00:00"/>
    <s v="10/13786-945870"/>
    <s v="SIM"/>
    <n v="240"/>
    <n v="818.53"/>
    <n v="760.1674999999999"/>
    <s v="Aprovado"/>
    <n v="233.45"/>
    <n v="175.09"/>
    <m/>
    <m/>
    <n v="175.09"/>
    <m/>
    <s v="62955505122432175,09"/>
    <m/>
    <x v="1"/>
    <n v="175.09"/>
    <n v="0"/>
    <m/>
  </r>
  <r>
    <x v="0"/>
    <s v="10/395471-6"/>
    <n v="67992876000"/>
    <n v="62955505248886"/>
    <s v="energisa_ms"/>
    <s v="Igreja do Evangelho Quadrangular"/>
    <d v="2025-04-01T00:00:00"/>
    <s v="10/2247256-745870"/>
    <s v="SIM"/>
    <n v="240"/>
    <n v="342.43"/>
    <n v="284.0675"/>
    <s v="Aprovado"/>
    <n v="233.45"/>
    <n v="175.09"/>
    <m/>
    <m/>
    <n v="175.09"/>
    <m/>
    <s v="62955505248886175,09"/>
    <e v="#N/A"/>
    <x v="1"/>
    <n v="233.45"/>
    <n v="0"/>
    <d v="2025-09-29T00:00:00"/>
  </r>
  <r>
    <x v="1"/>
    <s v="10/511753-6"/>
    <n v="67996266684"/>
    <n v="62955505016080"/>
    <s v="energisa_ms"/>
    <s v="Igreja do Evangelho Quadrangular"/>
    <d v="2025-06-01T00:00:00"/>
    <s v="10/512142-145658"/>
    <s v="SIM"/>
    <n v="210"/>
    <n v="347.17648648648651"/>
    <n v="292.5305472648862"/>
    <s v="Aprovado"/>
    <n v="230.32648648648649"/>
    <n v="172.74"/>
    <d v="2025-07-22T00:00:00"/>
    <d v="2025-08-02T00:00:00"/>
    <n v="172.74"/>
    <m/>
    <s v="62955505016080172,74"/>
    <s v="09/00012472750-2"/>
    <x v="1"/>
    <n v="172.74"/>
    <n v="0"/>
    <s v="02/08/2025"/>
  </r>
  <r>
    <x v="0"/>
    <s v="10/532723-4"/>
    <n v="67996446178"/>
    <n v="62955505359360"/>
    <s v="energisa_ms"/>
    <s v="Igreja do Evangelho Quadrangular"/>
    <d v="2025-07-01T00:00:00"/>
    <s v="10/1130988-745778"/>
    <s v="SIM"/>
    <n v="209"/>
    <n v="392.80759999999992"/>
    <n v="342.32868055999995"/>
    <s v="Aprovado"/>
    <n v="223.05760000000001"/>
    <n v="172.58"/>
    <d v="2025-09-10T00:00:00"/>
    <d v="2025-09-20T00:00:00"/>
    <n v="172.58"/>
    <m/>
    <s v="62955505359360172,58"/>
    <s v="09/00012683531-1"/>
    <x v="2"/>
    <m/>
    <n v="0"/>
    <m/>
  </r>
  <r>
    <x v="0"/>
    <s v="10/489076-0"/>
    <n v="67996266684"/>
    <n v="62955505016080"/>
    <s v="energisa_ms"/>
    <s v="Igreja do Evangelho Quadrangular"/>
    <d v="2025-07-01T00:00:00"/>
    <s v="10/3125732-245809"/>
    <s v="SIM"/>
    <n v="218"/>
    <n v="388.47952380952376"/>
    <n v="338.16303704761901"/>
    <s v="Aprovado"/>
    <n v="222.35952380952372"/>
    <n v="172.04"/>
    <d v="2025-09-10T00:00:00"/>
    <d v="2025-09-20T00:00:00"/>
    <n v="172.04"/>
    <m/>
    <s v="62955505016080172,04"/>
    <s v="09/00012683499-1"/>
    <x v="1"/>
    <n v="172.04"/>
    <n v="0"/>
    <m/>
  </r>
  <r>
    <x v="1"/>
    <s v="10/341308-5"/>
    <n v="0"/>
    <n v="62955505239119"/>
    <s v="energisa_ms"/>
    <s v="Igreja do Evangelho Quadrangular"/>
    <d v="2025-08-01T00:00:00"/>
    <s v="10/530195-745870"/>
    <s v="SIM"/>
    <n v="219"/>
    <n v="276.94928571428568"/>
    <n v="226.72960753506365"/>
    <s v="Aprovado"/>
    <n v="222.24928571428569"/>
    <n v="172.03"/>
    <d v="2025-09-10T00:00:00"/>
    <d v="2025-09-20T00:00:00"/>
    <n v="172.03"/>
    <m/>
    <s v="62955505239119172,03"/>
    <s v="09/00012749694-9"/>
    <x v="4"/>
    <n v="0"/>
    <n v="-172.03"/>
    <m/>
  </r>
  <r>
    <x v="0"/>
    <s v="10/931327-1"/>
    <n v="0"/>
    <n v="62955505402710"/>
    <s v="energisa_ms"/>
    <s v="Igreja do Evangelho Quadrangular"/>
    <d v="2025-08-01T00:00:00"/>
    <s v="10/10232-745870"/>
    <s v="SIM"/>
    <n v="188"/>
    <n v="399.8304"/>
    <n v="349.68729678684036"/>
    <s v="Aprovado"/>
    <n v="221.91039999999998"/>
    <n v="171.77"/>
    <d v="2025-09-10T00:00:00"/>
    <d v="2025-09-20T00:00:00"/>
    <n v="171.77"/>
    <m/>
    <s v="62955505402710171,77"/>
    <s v="09/00012749649-3"/>
    <x v="1"/>
    <n v="171.77"/>
    <n v="0"/>
    <m/>
  </r>
  <r>
    <x v="0"/>
    <s v="10/480529-7"/>
    <n v="0"/>
    <n v="62955505182257"/>
    <s v="energisa_ms"/>
    <s v="Igreja do Evangelho Quadrangular"/>
    <d v="2025-09-01T00:00:00"/>
    <s v="10/24514-245689"/>
    <s v="SIM"/>
    <n v="223"/>
    <n v="408.35546875000006"/>
    <n v="345.39097242315347"/>
    <s v="Aprovado"/>
    <n v="234.43546874999998"/>
    <n v="171.47"/>
    <d v="2025-10-03T00:00:00"/>
    <d v="2025-10-13T00:00:00"/>
    <n v="171.47"/>
    <m/>
    <s v="62955505182257171,47"/>
    <s v="09/00012851449-2"/>
    <x v="1"/>
    <n v="171.47"/>
    <n v="0"/>
    <m/>
  </r>
  <r>
    <x v="0"/>
    <s v="10/1266128-6"/>
    <n v="67991306665"/>
    <n v="62955505379395"/>
    <s v="energisa_ms"/>
    <s v="Igreja do Evangelho Quadrangular"/>
    <d v="2025-05-01T00:00:00"/>
    <s v="10/435964-245839"/>
    <s v="SIM"/>
    <n v="230"/>
    <n v="330.39333333333332"/>
    <n v="273.90499999999997"/>
    <s v="Aprovado"/>
    <n v="225.95333333333338"/>
    <n v="169.47"/>
    <m/>
    <m/>
    <n v="169.47"/>
    <m/>
    <s v="62955505379395169,47"/>
    <m/>
    <x v="1"/>
    <n v="169.47"/>
    <n v="0"/>
    <m/>
  </r>
  <r>
    <x v="1"/>
    <s v="10/257864-9"/>
    <n v="67981311823"/>
    <n v="62955505182176"/>
    <s v="energisa_ms"/>
    <s v="Igreja do Evangelho Quadrangular"/>
    <d v="2025-03-01T00:00:00"/>
    <s v="10/435964-245778"/>
    <s v="SIM"/>
    <n v="212"/>
    <n v="299.44"/>
    <n v="243.05499999999998"/>
    <s v="Aprovado"/>
    <n v="225.54"/>
    <n v="169.16"/>
    <m/>
    <m/>
    <n v="169.16"/>
    <m/>
    <s v="62955505182176169,16"/>
    <m/>
    <x v="2"/>
    <m/>
    <n v="0"/>
    <m/>
  </r>
  <r>
    <x v="0"/>
    <s v="10/510330-4"/>
    <n v="67992637973"/>
    <n v="62955505367117"/>
    <s v="energisa_ms"/>
    <s v="Igreja do Evangelho Quadrangular"/>
    <d v="2025-07-01T00:00:00"/>
    <s v="10/226667-445901"/>
    <s v="SIM"/>
    <n v="187"/>
    <n v="393.7081"/>
    <n v="343.81174185999998"/>
    <s v="Aprovado"/>
    <n v="218.2081"/>
    <n v="168.31"/>
    <d v="2025-09-10T00:00:00"/>
    <d v="2025-09-20T00:00:00"/>
    <n v="168.31"/>
    <m/>
    <s v="62955505367117168,31"/>
    <s v="09/00012683475-1"/>
    <x v="1"/>
    <n v="218.21"/>
    <n v="0"/>
    <d v="2025-09-11T00:00:00"/>
  </r>
  <r>
    <x v="1"/>
    <s v="10/511753-6"/>
    <n v="67996266684"/>
    <n v="62955505016080"/>
    <s v="energisa_ms"/>
    <s v="Igreja do Evangelho Quadrangular"/>
    <d v="2025-01-01T00:00:00"/>
    <s v="10/1081489-545901"/>
    <s v="SIM"/>
    <n v="201"/>
    <n v="341.47"/>
    <n v="285.38"/>
    <s v="Aprovado"/>
    <n v="224.35999999999999"/>
    <n v="168.27"/>
    <m/>
    <m/>
    <n v="168.27"/>
    <m/>
    <s v="62955505016080168,27"/>
    <m/>
    <x v="1"/>
    <n v="168.27"/>
    <n v="0"/>
    <m/>
  </r>
  <r>
    <x v="1"/>
    <s v="10/129490-9"/>
    <m/>
    <n v="62955505405140"/>
    <s v="energisa_ms"/>
    <s v="Igreja do Evangelho Quadrangular"/>
    <d v="2025-08-01T00:00:00"/>
    <s v="10/452884-045931"/>
    <s v="SIM"/>
    <n v="209"/>
    <n v="291.21624999999995"/>
    <n v="242.62417721137479"/>
    <s v="Aprovado"/>
    <n v="215.04624999999999"/>
    <n v="166.45"/>
    <d v="2025-09-10T00:00:00"/>
    <d v="2025-09-20T00:00:00"/>
    <n v="166.45"/>
    <m/>
    <s v="62955505405140166,45"/>
    <s v="09/00012749692-3"/>
    <x v="1"/>
    <n v="166.45"/>
    <n v="0"/>
    <d v="2025-10-01T00:00:00"/>
  </r>
  <r>
    <x v="0"/>
    <s v="10/252817-2"/>
    <n v="67992637973"/>
    <n v="62955505274020"/>
    <s v="energisa_ms"/>
    <s v="Igreja do Evangelho Quadrangular"/>
    <d v="2025-10-01T00:00:00"/>
    <s v="10/104720-845778"/>
    <s v="SIM"/>
    <n v="218"/>
    <n v="389.18718749999999"/>
    <n v="324.60724268942704"/>
    <s v="Aprovado"/>
    <n v="230.90718749999999"/>
    <n v="166.33"/>
    <d v="2025-11-06T00:00:00"/>
    <d v="2025-11-13T00:00:00"/>
    <n v="166.33"/>
    <m/>
    <s v="62955505274020166,33"/>
    <s v="09/00013026913-5"/>
    <x v="1"/>
    <n v="166.33"/>
    <n v="0"/>
    <m/>
  </r>
  <r>
    <x v="0"/>
    <s v="10/1184751-4"/>
    <s v="67 96034976"/>
    <n v="62955505149047"/>
    <s v="energisa_ms"/>
    <s v="Igreja do Evangelho Quadrangular"/>
    <d v="2025-05-01T00:00:00"/>
    <s v="10/3030784-745870"/>
    <s v="SIM"/>
    <n v="208"/>
    <n v="390.31164705882355"/>
    <n v="335.01623529411768"/>
    <s v="Aprovado"/>
    <n v="221.18164705882353"/>
    <n v="165.89"/>
    <m/>
    <m/>
    <n v="165.89"/>
    <m/>
    <s v="62955505149047165,89"/>
    <m/>
    <x v="1"/>
    <n v="221.18"/>
    <n v="55.29000000000002"/>
    <d v="2025-09-22T00:00:00"/>
  </r>
  <r>
    <x v="1"/>
    <s v="10/257864-9"/>
    <n v="67981311823"/>
    <n v="62955505182176"/>
    <s v="energisa_ms"/>
    <s v="Igreja do Evangelho Quadrangular"/>
    <d v="2025-01-01T00:00:00"/>
    <s v="10/2599101-945778"/>
    <s v="SIM"/>
    <n v="198"/>
    <n v="298.09999999999997"/>
    <n v="242.8475"/>
    <s v="Aprovado"/>
    <n v="221.01"/>
    <n v="165.76"/>
    <m/>
    <m/>
    <n v="165.76"/>
    <m/>
    <s v="62955505182176165,76"/>
    <m/>
    <x v="2"/>
    <n v="0"/>
    <n v="-165.76"/>
    <m/>
  </r>
  <r>
    <x v="1"/>
    <s v="10/142353-2"/>
    <n v="67992899434"/>
    <n v="62955505113875"/>
    <s v="energisa_ms"/>
    <s v="Igreja do Evangelho Quadrangular"/>
    <d v="2025-06-01T00:00:00"/>
    <s v="10/532081-745778"/>
    <s v="SIM"/>
    <n v="217"/>
    <n v="441.53801886792451"/>
    <n v="389.48016001683652"/>
    <s v="Aprovado"/>
    <n v="219.41801886792456"/>
    <n v="164.56"/>
    <d v="2025-07-22T00:00:00"/>
    <d v="2025-08-02T00:00:00"/>
    <n v="164.56"/>
    <m/>
    <s v="62955505113875164,56"/>
    <s v="09/00012472770-0"/>
    <x v="1"/>
    <n v="164.56"/>
    <n v="0"/>
    <m/>
  </r>
  <r>
    <x v="0"/>
    <s v="10/81222-2"/>
    <n v="0"/>
    <n v="62955505015946"/>
    <s v="energisa_ms"/>
    <s v="Igreja do Evangelho Quadrangular"/>
    <d v="2025-08-01T00:00:00"/>
    <s v="10/3030784-745839"/>
    <s v="SIM"/>
    <n v="207"/>
    <n v="352.28090909090906"/>
    <n v="304.54643545461596"/>
    <s v="Aprovado"/>
    <n v="211.25090909090912"/>
    <n v="163.52000000000001"/>
    <d v="2025-09-10T00:00:00"/>
    <d v="2025-09-20T00:00:00"/>
    <n v="163.52000000000001"/>
    <m/>
    <s v="62955505015946163,52"/>
    <s v="09/00012749689-9"/>
    <x v="1"/>
    <n v="163.52000000000001"/>
    <n v="0"/>
    <m/>
  </r>
  <r>
    <x v="0"/>
    <s v="10/1698130-0"/>
    <n v="67991767866"/>
    <n v="62955505461210"/>
    <s v="energisa_ms"/>
    <s v="Igreja do Evangelho Quadrangular"/>
    <d v="2025-10-01T00:00:00"/>
    <s v="10/162736-345839"/>
    <s v="SIM"/>
    <n v="184"/>
    <n v="421.93799999999999"/>
    <n v="358.89326693247807"/>
    <s v="Aprovado"/>
    <n v="225.41800000000001"/>
    <n v="162.31"/>
    <d v="2025-11-06T00:00:00"/>
    <d v="2025-11-13T00:00:00"/>
    <n v="162.31"/>
    <m/>
    <s v="62955505461210162,31"/>
    <s v="09/00013026969-7"/>
    <x v="1"/>
    <n v="162.31"/>
    <n v="0"/>
    <m/>
  </r>
  <r>
    <x v="1"/>
    <s v="10/452884-0"/>
    <s v="67 996469842"/>
    <n v="62955505000167"/>
    <s v="energisa_ms"/>
    <s v="Igreja do Evangelho Quadrangular"/>
    <d v="2025-02-01T00:00:00"/>
    <s v="10/504844-245901"/>
    <s v="SIM"/>
    <n v="203"/>
    <n v="271.96999999999997"/>
    <n v="217.88"/>
    <s v="Aprovado"/>
    <n v="216.36"/>
    <n v="162.27000000000001"/>
    <m/>
    <m/>
    <n v="162.27000000000001"/>
    <m/>
    <s v="62955505000167162,27"/>
    <m/>
    <x v="1"/>
    <n v="162.27000000000001"/>
    <n v="0"/>
    <m/>
  </r>
  <r>
    <x v="0"/>
    <s v="10/532723-4"/>
    <n v="67996446178"/>
    <n v="62955505359360"/>
    <s v="energisa_ms"/>
    <s v="Igreja do Evangelho Quadrangular"/>
    <d v="2025-10-01T00:00:00"/>
    <s v="10/61344-845809"/>
    <s v="SIM"/>
    <n v="329"/>
    <n v="581.92768292682922"/>
    <n v="475.80124967596942"/>
    <s v="Aprovado"/>
    <n v="379.45768292682931"/>
    <n v="273.33"/>
    <d v="2025-11-06T00:00:00"/>
    <d v="2025-11-13T00:00:00"/>
    <n v="273.33"/>
    <m/>
    <s v="62955505359360273,33"/>
    <s v="09/00013026951-5"/>
    <x v="2"/>
    <m/>
    <n v="0"/>
    <m/>
  </r>
  <r>
    <x v="0"/>
    <s v="10/480529-7"/>
    <n v="0"/>
    <n v="62955505182257"/>
    <s v="energisa_ms"/>
    <s v="Igreja do Evangelho Quadrangular"/>
    <d v="2025-08-01T00:00:00"/>
    <s v="10/908866-745778"/>
    <s v="SIM"/>
    <n v="206"/>
    <n v="362.82848484848489"/>
    <n v="315.64138469632741"/>
    <s v="Aprovado"/>
    <n v="208.82848484848483"/>
    <n v="161.63999999999999"/>
    <d v="2025-09-10T00:00:00"/>
    <d v="2025-09-20T00:00:00"/>
    <n v="161.63999999999999"/>
    <m/>
    <s v="62955505182257161,64"/>
    <s v="09/00012749679-0"/>
    <x v="1"/>
    <n v="161.63999999999999"/>
    <n v="0"/>
    <m/>
  </r>
  <r>
    <x v="1"/>
    <s v="10/341308-5"/>
    <n v="67993249456"/>
    <n v="62955505239119"/>
    <s v="energisa_ms"/>
    <s v="Igreja do Evangelho Quadrangular"/>
    <d v="2025-07-01T00:00:00"/>
    <s v="10/76927-345839"/>
    <s v="SIM"/>
    <n v="207"/>
    <n v="264.59200000000004"/>
    <n v="216.82357920000004"/>
    <s v="Aprovado"/>
    <n v="209.33200000000005"/>
    <n v="161.56"/>
    <d v="2025-09-10T00:00:00"/>
    <d v="2025-09-20T00:00:00"/>
    <n v="161.56"/>
    <m/>
    <s v="62955505239119161,56"/>
    <s v="09/00012683513-9"/>
    <x v="4"/>
    <m/>
    <n v="0"/>
    <m/>
  </r>
  <r>
    <x v="0"/>
    <s v="10/8777-5"/>
    <s v="67 992319530"/>
    <n v="62955505122432"/>
    <s v="energisa_ms"/>
    <s v="Igreja do Evangelho Quadrangular"/>
    <d v="2025-07-01T00:00:00"/>
    <s v="10/24514-245748"/>
    <s v="SIM"/>
    <n v="208"/>
    <n v="373.73000000000008"/>
    <n v="325.72346200000004"/>
    <s v="Aprovado"/>
    <n v="209.27"/>
    <n v="161.26"/>
    <d v="2025-09-10T00:00:00"/>
    <d v="2025-09-20T00:00:00"/>
    <n v="161.26"/>
    <m/>
    <s v="62955505122432161,26"/>
    <s v="09/00012683501-4"/>
    <x v="1"/>
    <n v="161.26"/>
    <n v="0"/>
    <m/>
  </r>
  <r>
    <x v="1"/>
    <s v="10/1130988-7"/>
    <n v="0"/>
    <n v="62955505040894"/>
    <s v="energisa_ms"/>
    <s v="Igreja do Evangelho Quadrangular"/>
    <d v="2025-09-01T00:00:00"/>
    <s v="10/395471-645689"/>
    <s v="SIM"/>
    <n v="209"/>
    <n v="289.76"/>
    <n v="230.7262865161444"/>
    <s v="Aprovado"/>
    <n v="219.80000000000004"/>
    <n v="160.77000000000001"/>
    <d v="2025-10-03T00:00:00"/>
    <d v="2025-10-13T00:00:00"/>
    <n v="160.77000000000001"/>
    <m/>
    <s v="62955505040894160,77"/>
    <s v="09/00012851535-8"/>
    <x v="1"/>
    <n v="160.77000000000001"/>
    <n v="0"/>
    <m/>
  </r>
  <r>
    <x v="0"/>
    <s v="10/1672452-8"/>
    <n v="67992637973"/>
    <n v="62955505017213"/>
    <s v="energisa_ms"/>
    <s v="Igreja do Evangelho Quadrangular"/>
    <d v="2025-06-01T00:00:00"/>
    <s v="10/52987-545658"/>
    <s v="SIM"/>
    <n v="183"/>
    <n v="356.33439999999996"/>
    <n v="305.83141511847236"/>
    <s v="Aprovado"/>
    <n v="212.86439999999996"/>
    <n v="159.65"/>
    <d v="2025-07-22T00:00:00"/>
    <d v="2025-08-02T00:00:00"/>
    <n v="159.65"/>
    <m/>
    <s v="62955505017213159,65"/>
    <s v="09/00012472739-5"/>
    <x v="1"/>
    <n v="159.65"/>
    <n v="0"/>
    <s v="05/08/2025"/>
  </r>
  <r>
    <x v="1"/>
    <s v="10/1939035-0"/>
    <n v="0"/>
    <n v="62955505419443"/>
    <s v="energisa_ms"/>
    <s v="Igreja do Evangelho Quadrangular"/>
    <d v="2025-08-01T00:00:00"/>
    <s v="10/226667-445778"/>
    <s v="SIM"/>
    <n v="175"/>
    <n v="267.01500000000004"/>
    <n v="220.4591185698221"/>
    <s v="Aprovado"/>
    <n v="206.03500000000003"/>
    <n v="159.47999999999999"/>
    <d v="2025-09-10T00:00:00"/>
    <d v="2025-09-20T00:00:00"/>
    <n v="159.47999999999999"/>
    <m/>
    <s v="62955505419443159,48"/>
    <s v="09/00012749655-0"/>
    <x v="1"/>
    <n v="159.47999999999999"/>
    <n v="0"/>
    <m/>
  </r>
  <r>
    <x v="0"/>
    <s v="10/510330-4"/>
    <n v="0"/>
    <n v="62955505367117"/>
    <s v="energisa_ms"/>
    <s v="Igreja do Evangelho Quadrangular"/>
    <d v="2025-08-01T00:00:00"/>
    <s v="10/218777-145901"/>
    <s v="SIM"/>
    <n v="175"/>
    <n v="380.77"/>
    <n v="334.26721941257256"/>
    <s v="Aprovado"/>
    <n v="205.80000000000004"/>
    <n v="159.30000000000001"/>
    <d v="2025-09-10T00:00:00"/>
    <d v="2025-09-20T00:00:00"/>
    <n v="159.30000000000001"/>
    <m/>
    <s v="62955505367117159,3"/>
    <s v="09/00012749639-4"/>
    <x v="1"/>
    <n v="159.30000000000001"/>
    <n v="0"/>
    <m/>
  </r>
  <r>
    <x v="0"/>
    <s v="10/276283-9"/>
    <s v="46 999066691"/>
    <n v="62955505177504"/>
    <s v="energisa_ms"/>
    <s v="Igreja do Evangelho Quadrangular"/>
    <d v="2025-05-01T00:00:00"/>
    <s v="10/399338-345870"/>
    <s v="SIM"/>
    <n v="186"/>
    <n v="369.52699999999999"/>
    <n v="316.46524999999997"/>
    <s v="Aprovado"/>
    <n v="212.24700000000001"/>
    <n v="159.19"/>
    <m/>
    <m/>
    <n v="159.19"/>
    <m/>
    <s v="62955505177504159,19"/>
    <m/>
    <x v="1"/>
    <n v="159.19"/>
    <n v="0"/>
    <m/>
  </r>
  <r>
    <x v="0"/>
    <s v="10/162736-3"/>
    <n v="67996150274"/>
    <n v="62955505197360"/>
    <s v="energisa_ms"/>
    <s v="Igreja do Evangelho Quadrangular"/>
    <d v="2025-05-01T00:00:00"/>
    <s v="10/1548741-645901"/>
    <s v="SIM"/>
    <n v="186"/>
    <n v="433.51499999999999"/>
    <n v="380.78125"/>
    <s v="Aprovado"/>
    <n v="210.935"/>
    <n v="158.19999999999999"/>
    <m/>
    <m/>
    <n v="158.19999999999999"/>
    <m/>
    <s v="62955505197360158,2"/>
    <m/>
    <x v="2"/>
    <n v="0"/>
    <n v="-158.19999999999999"/>
    <m/>
  </r>
  <r>
    <x v="0"/>
    <s v="10/1698130-0"/>
    <n v="67991767866"/>
    <n v="62955505461210"/>
    <s v="energisa_ms"/>
    <s v="Igreja do Evangelho Quadrangular"/>
    <d v="2025-04-01T00:00:00"/>
    <s v="10/341308-545870"/>
    <s v="SIM"/>
    <n v="192"/>
    <n v="460.03000000000003"/>
    <n v="407.77000000000004"/>
    <s v="Aprovado"/>
    <n v="209.04000000000002"/>
    <n v="156.78"/>
    <m/>
    <m/>
    <n v="156.78"/>
    <m/>
    <s v="62955505461210156,78"/>
    <m/>
    <x v="1"/>
    <n v="156.78"/>
    <n v="0"/>
    <m/>
  </r>
  <r>
    <x v="1"/>
    <s v="10/129490-9"/>
    <s v=","/>
    <n v="62955505405140"/>
    <s v="energisa_ms"/>
    <s v="Igreja do Evangelho Quadrangular"/>
    <d v="2025-07-01T00:00:00"/>
    <s v="10/530195-745931"/>
    <s v="SIM"/>
    <n v="202"/>
    <n v="276.86249999999995"/>
    <n v="230.23637649999995"/>
    <s v="Aprovado"/>
    <n v="203.2525"/>
    <n v="156.63"/>
    <d v="2025-09-10T00:00:00"/>
    <d v="2025-09-20T00:00:00"/>
    <n v="156.63"/>
    <m/>
    <s v="62955505405140156,63"/>
    <s v="09/00012683508-9"/>
    <x v="1"/>
    <n v="203.25"/>
    <n v="46.620000000000005"/>
    <d v="2025-10-01T00:00:00"/>
  </r>
  <r>
    <x v="0"/>
    <s v="10/931327-1"/>
    <s v="67 992158055"/>
    <n v="62955505402710"/>
    <s v="energisa_ms"/>
    <s v="Igreja do Evangelho Quadrangular"/>
    <d v="2025-07-01T00:00:00"/>
    <s v="10/987178-145901"/>
    <s v="SIM"/>
    <n v="174"/>
    <n v="373.93562499999996"/>
    <n v="328.51542862499991"/>
    <s v="Aprovado"/>
    <n v="201.77562499999999"/>
    <n v="156.36000000000001"/>
    <d v="2025-09-10T00:00:00"/>
    <d v="2025-09-20T00:00:00"/>
    <n v="156.36000000000001"/>
    <m/>
    <s v="62955505402710156,36"/>
    <s v="09/00012683533-7"/>
    <x v="1"/>
    <n v="156.36000000000001"/>
    <n v="0"/>
    <m/>
  </r>
  <r>
    <x v="0"/>
    <s v="10/1035655-8"/>
    <n v="67996135721"/>
    <n v="62955505182257"/>
    <s v="energisa_ms"/>
    <s v="Igreja do Evangelho Quadrangular"/>
    <d v="2025-06-01T00:00:00"/>
    <s v="10/3123706-845658"/>
    <s v="SIM"/>
    <n v="198"/>
    <n v="382.78945945945941"/>
    <n v="333.3339380117975"/>
    <s v="Aprovado"/>
    <n v="208.44945945945943"/>
    <n v="156.34"/>
    <d v="2025-07-22T00:00:00"/>
    <d v="2025-08-02T00:00:00"/>
    <n v="156.34"/>
    <m/>
    <s v="62955505182257156,34"/>
    <s v="09/00012472747-8"/>
    <x v="1"/>
    <n v="156.34"/>
    <n v="0"/>
    <s v="06/08/2025"/>
  </r>
  <r>
    <x v="1"/>
    <s v="10/239312-2"/>
    <n v="0"/>
    <n v="62955505016594"/>
    <s v="energisa_ms"/>
    <s v="Igreja do Evangelho Quadrangular"/>
    <d v="2025-09-01T00:00:00"/>
    <s v="10/239312-245689"/>
    <s v="SIM"/>
    <n v="202"/>
    <n v="323.49266666666665"/>
    <n v="266.45378060751119"/>
    <s v="Aprovado"/>
    <n v="212.37266666666665"/>
    <n v="155.33000000000001"/>
    <d v="2025-10-03T00:00:00"/>
    <d v="2025-10-13T00:00:00"/>
    <n v="155.33000000000001"/>
    <m/>
    <s v="62955505016594155,33"/>
    <s v="09/00012851530-9"/>
    <x v="1"/>
    <n v="155.33000000000001"/>
    <n v="0"/>
    <m/>
  </r>
  <r>
    <x v="0"/>
    <s v="10/1117293-9"/>
    <n v="67999516782"/>
    <n v="62955505892114"/>
    <s v="energisa_ms"/>
    <s v="Igreja do Evangelho Quadrangular"/>
    <d v="2025-01-01T00:00:00"/>
    <s v="10/29964-445931"/>
    <s v="SIM"/>
    <n v="193"/>
    <n v="359.96999999999997"/>
    <n v="308.52249999999998"/>
    <s v="Aprovado"/>
    <n v="205.79"/>
    <n v="154.34"/>
    <m/>
    <m/>
    <n v="154.34"/>
    <m/>
    <s v="62955505892114154,34"/>
    <m/>
    <x v="1"/>
    <n v="154.34"/>
    <n v="0"/>
    <d v="2025-09-01T00:00:00"/>
  </r>
  <r>
    <x v="1"/>
    <s v="10/10232-7"/>
    <s v="67 996415566"/>
    <n v="62955505393207"/>
    <s v="energisa_ms"/>
    <s v="Igreja do Evangelho Quadrangular"/>
    <d v="2025-03-01T00:00:00"/>
    <s v="10/3005226-045748"/>
    <s v="SIM"/>
    <n v="184"/>
    <n v="304.09999999999997"/>
    <n v="252.75749999999999"/>
    <s v="Aprovado"/>
    <n v="205.37"/>
    <n v="154.03"/>
    <m/>
    <m/>
    <n v="154.03"/>
    <m/>
    <s v="62955505393207154,03"/>
    <m/>
    <x v="1"/>
    <n v="154.03"/>
    <n v="0"/>
    <m/>
  </r>
  <r>
    <x v="1"/>
    <s v="10/952579-1"/>
    <n v="0"/>
    <n v="62955505897930"/>
    <s v="energisa_ms"/>
    <s v="Igreja do Evangelho Quadrangular"/>
    <d v="2025-09-01T00:00:00"/>
    <s v="10/489076-045717"/>
    <s v="SIM"/>
    <n v="200"/>
    <n v="667.30221556886227"/>
    <n v="610.83821020503888"/>
    <s v="Aprovado"/>
    <n v="210.2322155688623"/>
    <n v="153.77000000000001"/>
    <d v="2025-10-03T00:00:00"/>
    <d v="2025-10-13T00:00:00"/>
    <n v="153.77000000000001"/>
    <m/>
    <s v="62955505897930153,77"/>
    <s v="09/00012851544-0"/>
    <x v="1"/>
    <n v="153.77000000000001"/>
    <n v="0"/>
    <m/>
  </r>
  <r>
    <x v="1"/>
    <s v="10/466560-0"/>
    <n v="67998302932"/>
    <n v="62955505015512"/>
    <s v="energisa_ms"/>
    <s v="Igreja do Evangelho Quadrangular"/>
    <d v="2025-07-01T00:00:00"/>
    <s v="10/384823-145658"/>
    <s v="SIM"/>
    <n v="197"/>
    <n v="306.1488235294118"/>
    <n v="260.69348341176476"/>
    <s v="Aprovado"/>
    <n v="199.14882352941174"/>
    <n v="153.69"/>
    <d v="2025-09-10T00:00:00"/>
    <d v="2025-09-20T00:00:00"/>
    <n v="153.69"/>
    <m/>
    <s v="62955505015512153,69"/>
    <s v="09/00012683526-1"/>
    <x v="1"/>
    <n v="153.69"/>
    <n v="0"/>
    <m/>
  </r>
  <r>
    <x v="1"/>
    <s v="10/13786-9"/>
    <n v="0"/>
    <n v="62955505197521"/>
    <s v="energisa_ms"/>
    <s v="Igreja do Evangelho Quadrangular"/>
    <d v="2025-08-01T00:00:00"/>
    <s v="10/41548-945839"/>
    <s v="SIM"/>
    <n v="194"/>
    <n v="250.18777777777777"/>
    <n v="205.33049564607865"/>
    <s v="Aprovado"/>
    <n v="198.51777777777778"/>
    <n v="153.66"/>
    <d v="2025-09-10T00:00:00"/>
    <d v="2025-09-20T00:00:00"/>
    <n v="153.66"/>
    <m/>
    <s v="62955505197521153,66"/>
    <s v="09/00012749690-7"/>
    <x v="1"/>
    <n v="153.66"/>
    <n v="0"/>
    <m/>
  </r>
  <r>
    <x v="0"/>
    <s v="10/3030784-7"/>
    <n v="67996266684"/>
    <n v="62955505016080"/>
    <s v="energisa_ms"/>
    <s v="Igreja do Evangelho Quadrangular"/>
    <d v="2025-06-01T00:00:00"/>
    <s v="10/987178-145870"/>
    <s v="SIM"/>
    <n v="176"/>
    <n v="472.0942222222223"/>
    <n v="423.95670445298424"/>
    <s v="Aprovado"/>
    <n v="202.89422222222225"/>
    <n v="152.16999999999999"/>
    <d v="2025-07-22T00:00:00"/>
    <d v="2025-08-02T00:00:00"/>
    <n v="152.16999999999999"/>
    <m/>
    <s v="62955505016080152,17"/>
    <s v="09/00012472743-7"/>
    <x v="1"/>
    <n v="152.16999999999999"/>
    <n v="0"/>
    <s v="05/08/2025"/>
  </r>
  <r>
    <x v="0"/>
    <s v="10/156956-5"/>
    <s v="67 998338301"/>
    <n v="62955505015350"/>
    <s v="energisa_ms"/>
    <s v="Igreja do Evangelho Quadrangular"/>
    <d v="2025-05-01T00:00:00"/>
    <s v="10/2599101-945839"/>
    <s v="SIM"/>
    <n v="192"/>
    <n v="376.30571428571432"/>
    <n v="325.6267857142858"/>
    <s v="Aprovado"/>
    <n v="202.71571428571428"/>
    <n v="152.04"/>
    <m/>
    <m/>
    <n v="152.04"/>
    <m/>
    <s v="62955505015350152,04"/>
    <m/>
    <x v="1"/>
    <n v="202.72"/>
    <n v="50.680000000000007"/>
    <d v="2025-10-07T00:00:00"/>
  </r>
  <r>
    <x v="0"/>
    <s v="10/435964-2"/>
    <n v="67992021114"/>
    <n v="62955505357405"/>
    <s v="energisa_ms"/>
    <s v="Igreja do Evangelho Quadrangular"/>
    <d v="2025-03-01T00:00:00"/>
    <s v="10/239312-245931"/>
    <s v="SIM"/>
    <n v="0"/>
    <m/>
    <m/>
    <s v="Aprovado"/>
    <n v="0"/>
    <n v="151.96"/>
    <m/>
    <m/>
    <m/>
    <s v="não emitido pela EGS"/>
    <s v="62955505357405"/>
    <m/>
    <x v="0"/>
    <n v="0"/>
    <n v="0"/>
    <m/>
  </r>
  <r>
    <x v="0"/>
    <s v="10/435964-2"/>
    <n v="67992021114"/>
    <n v="62955505357405"/>
    <s v="energisa_ms"/>
    <s v="Igreja do Evangelho Quadrangular"/>
    <d v="2025-02-01T00:00:00"/>
    <s v="10/489076-045748"/>
    <s v="SIM"/>
    <n v="208"/>
    <n v="465.47999999999996"/>
    <n v="414.82749999999999"/>
    <s v="Aprovado"/>
    <n v="202.61"/>
    <n v="151.96"/>
    <m/>
    <m/>
    <n v="151.96"/>
    <m/>
    <s v="62955505357405151,96"/>
    <m/>
    <x v="1"/>
    <n v="151.96"/>
    <n v="0"/>
    <m/>
  </r>
  <r>
    <x v="0"/>
    <s v="10/78338-1"/>
    <n v="0"/>
    <n v="62955505016837"/>
    <s v="energisa_ms"/>
    <s v="Igreja do Evangelho Quadrangular"/>
    <d v="2025-09-01T00:00:00"/>
    <s v="10/1130988-745689"/>
    <s v="SIM"/>
    <n v="197"/>
    <n v="365.36308823529407"/>
    <n v="309.73950146321033"/>
    <s v="Aprovado"/>
    <n v="207.10308823529408"/>
    <n v="151.47999999999999"/>
    <d v="2025-10-03T00:00:00"/>
    <d v="2025-10-13T00:00:00"/>
    <n v="151.47999999999999"/>
    <m/>
    <s v="62955505016837151,48"/>
    <s v="09/00012851532-5"/>
    <x v="1"/>
    <n v="151.47999999999999"/>
    <n v="0"/>
    <m/>
  </r>
  <r>
    <x v="1"/>
    <s v="10/1939035-0"/>
    <s v=" 67 91285460"/>
    <n v="62955505419443"/>
    <s v="energisa_ms"/>
    <s v="Igreja do Evangelho Quadrangular"/>
    <d v="2025-05-01T00:00:00"/>
    <s v="10/78338-145809"/>
    <s v="SIM"/>
    <n v="180"/>
    <n v="284.34999999999997"/>
    <n v="233.86249999999995"/>
    <s v="Aprovado"/>
    <n v="201.95000000000005"/>
    <n v="151.46"/>
    <m/>
    <m/>
    <n v="151.46"/>
    <m/>
    <s v="62955505419443151,46"/>
    <m/>
    <x v="1"/>
    <n v="151.46"/>
    <n v="0"/>
    <m/>
  </r>
  <r>
    <x v="1"/>
    <s v="10/511753-6"/>
    <n v="67996266684"/>
    <n v="62955505016080"/>
    <s v="energisa_ms"/>
    <s v="Igreja do Evangelho Quadrangular"/>
    <d v="2025-04-01T00:00:00"/>
    <s v="10/532723-445839"/>
    <s v="SIM"/>
    <n v="198"/>
    <n v="314.66000000000003"/>
    <n v="264.31250000000006"/>
    <s v="Aprovado"/>
    <n v="201.39"/>
    <n v="151.04"/>
    <m/>
    <m/>
    <n v="151.04"/>
    <m/>
    <s v="62955505016080151,04"/>
    <m/>
    <x v="1"/>
    <n v="151.04"/>
    <n v="0"/>
    <m/>
  </r>
  <r>
    <x v="0"/>
    <s v="10/260761-2"/>
    <n v="0"/>
    <n v="62955505000167"/>
    <s v="energisa_ms"/>
    <s v="Igreja do Evangelho Quadrangular"/>
    <d v="2025-09-01T00:00:00"/>
    <s v="10/40190-145689"/>
    <s v="SIM"/>
    <n v="196"/>
    <n v="376.58470588235298"/>
    <n v="321.25075020603612"/>
    <s v="Aprovado"/>
    <n v="206.02470588235295"/>
    <n v="150.69"/>
    <d v="2025-10-03T00:00:00"/>
    <d v="2025-10-13T00:00:00"/>
    <n v="150.69"/>
    <m/>
    <s v="62955505000167150,69"/>
    <s v="09/00012851446-8"/>
    <x v="1"/>
    <n v="150.69"/>
    <n v="0"/>
    <m/>
  </r>
  <r>
    <x v="0"/>
    <s v="10/480529-7"/>
    <n v="6796411024"/>
    <n v="62955505182257"/>
    <s v="energisa_ms"/>
    <s v="Igreja do Evangelho Quadrangular"/>
    <d v="2025-05-01T00:00:00"/>
    <s v="10/113971-645689"/>
    <s v="SIM"/>
    <n v="206"/>
    <n v="436.06975206611571"/>
    <n v="385.91481404958677"/>
    <s v="Aprovado"/>
    <n v="200.61975206611572"/>
    <n v="150.46"/>
    <m/>
    <m/>
    <n v="150.46"/>
    <m/>
    <s v="62955505182257150,46"/>
    <m/>
    <x v="1"/>
    <n v="150.46"/>
    <n v="0"/>
    <m/>
  </r>
  <r>
    <x v="1"/>
    <s v="10/239312-2"/>
    <n v="67996711972"/>
    <n v="62955505016594"/>
    <s v="energisa_ms"/>
    <s v="Igreja do Evangelho Quadrangular"/>
    <d v="2025-05-01T00:00:00"/>
    <s v="10/384823-145778"/>
    <s v="SIM"/>
    <n v="206"/>
    <n v="374.05746835443034"/>
    <n v="323.90560126582272"/>
    <s v="Aprovado"/>
    <n v="200.60746835443038"/>
    <n v="150.46"/>
    <m/>
    <m/>
    <n v="150.46"/>
    <m/>
    <s v="62955505016594150,46"/>
    <m/>
    <x v="1"/>
    <n v="150.46"/>
    <n v="0"/>
    <m/>
  </r>
  <r>
    <x v="0"/>
    <s v="10/63920-3"/>
    <n v="67981263396"/>
    <n v="62955505135500"/>
    <s v="energisa_ms"/>
    <s v="Igreja do Evangelho Quadrangular"/>
    <d v="2025-05-01T00:00:00"/>
    <s v="10/218777-145689"/>
    <s v="SIM"/>
    <n v="206"/>
    <n v="548.31902439024384"/>
    <n v="498.17176829268294"/>
    <s v="Aprovado"/>
    <n v="200.58902439024394"/>
    <n v="150.44"/>
    <m/>
    <m/>
    <n v="150.44"/>
    <m/>
    <s v="62955505135500150,44"/>
    <m/>
    <x v="1"/>
    <n v="200.59"/>
    <n v="50.150000000000006"/>
    <d v="2025-09-17T00:00:00"/>
  </r>
  <r>
    <x v="0"/>
    <s v="10/280638-8"/>
    <s v="67 81355403"/>
    <n v="62955505843253"/>
    <s v="energisa_ms"/>
    <s v="Igreja do Evangelho Quadrangular"/>
    <d v="2025-04-01T00:00:00"/>
    <s v="10/435964-245717"/>
    <s v="SIM"/>
    <n v="206"/>
    <n v="399.84000000000003"/>
    <n v="349.76"/>
    <s v="Aprovado"/>
    <n v="200.32"/>
    <n v="150.24"/>
    <m/>
    <m/>
    <n v="150.24"/>
    <m/>
    <s v="62955505843253150,24"/>
    <m/>
    <x v="1"/>
    <n v="150.24"/>
    <n v="0"/>
    <m/>
  </r>
  <r>
    <x v="1"/>
    <s v="10/129490-9"/>
    <s v=","/>
    <n v="62955505405140"/>
    <s v="energisa_ms"/>
    <s v="Igreja do Evangelho Quadrangular"/>
    <d v="2025-04-01T00:00:00"/>
    <s v="10/1674177-945870"/>
    <s v="SIM"/>
    <n v="206"/>
    <n v="351.25"/>
    <n v="301.19499999999994"/>
    <s v="Aprovado"/>
    <n v="200.22"/>
    <n v="150.16999999999999"/>
    <m/>
    <m/>
    <n v="150.16999999999999"/>
    <m/>
    <s v="62955505405140150,17"/>
    <e v="#N/A"/>
    <x v="1"/>
    <n v="200.22"/>
    <n v="50.050000000000011"/>
    <d v="2025-09-30T00:00:00"/>
  </r>
  <r>
    <x v="0"/>
    <s v="10/1674177-9"/>
    <s v="67 993047635"/>
    <n v="62955505016160"/>
    <s v="energisa_ms"/>
    <s v="Igreja do Evangelho Quadrangular"/>
    <d v="2025-05-01T00:00:00"/>
    <s v="10/513413-545870"/>
    <s v="SIM"/>
    <n v="206"/>
    <n v="511.67175438596496"/>
    <n v="461.61881578947373"/>
    <s v="Aprovado"/>
    <n v="200.21175438596492"/>
    <n v="150.16"/>
    <m/>
    <m/>
    <n v="150.16"/>
    <m/>
    <s v="62955505016160150,16"/>
    <m/>
    <x v="1"/>
    <n v="150.16"/>
    <n v="0"/>
    <d v="2025-07-20T00:00:00"/>
  </r>
  <r>
    <x v="0"/>
    <s v="10/76927-3"/>
    <s v="67 999373813"/>
    <n v="62955505058599"/>
    <s v="energisa_ms"/>
    <s v="Igreja do Evangelho Quadrangular"/>
    <d v="2025-05-01T00:00:00"/>
    <s v="10/3092868-345839"/>
    <s v="SIM"/>
    <n v="206"/>
    <n v="383.51142857142855"/>
    <n v="333.46107142857147"/>
    <s v="Aprovado"/>
    <n v="200.20142857142858"/>
    <n v="150.15"/>
    <m/>
    <m/>
    <n v="150.15"/>
    <m/>
    <s v="62955505058599150,15"/>
    <m/>
    <x v="1"/>
    <n v="150.15"/>
    <n v="0"/>
    <m/>
  </r>
  <r>
    <x v="1"/>
    <s v="10/3040565-8"/>
    <n v="67996135721"/>
    <n v="62955505015431"/>
    <s v="energisa_ms"/>
    <s v="Igreja do Evangelho Quadrangular"/>
    <d v="2025-04-01T00:00:00"/>
    <s v="10/150263-245717"/>
    <s v="SIM"/>
    <n v="206"/>
    <n v="459.94000000000005"/>
    <n v="409.90250000000003"/>
    <s v="Aprovado"/>
    <n v="200.14999999999998"/>
    <n v="150.11000000000001"/>
    <m/>
    <m/>
    <n v="150.11000000000001"/>
    <m/>
    <s v="62955505015431150,11"/>
    <m/>
    <x v="1"/>
    <n v="150.11000000000001"/>
    <n v="0"/>
    <m/>
  </r>
  <r>
    <x v="0"/>
    <s v="10/3123706-8"/>
    <n v="67999516782"/>
    <n v="62955505375721"/>
    <s v="energisa_ms"/>
    <s v="Igreja do Evangelho Quadrangular"/>
    <d v="2025-04-01T00:00:00"/>
    <s v="10/41548-945778"/>
    <s v="SIM"/>
    <n v="206"/>
    <n v="423.61"/>
    <n v="373.58000000000004"/>
    <s v="Aprovado"/>
    <n v="200.12"/>
    <n v="150.09"/>
    <m/>
    <m/>
    <n v="150.09"/>
    <m/>
    <s v="62955505375721150,09"/>
    <s v="Pix"/>
    <x v="1"/>
    <n v="150.09"/>
    <n v="0"/>
    <d v="2025-08-28T00:00:00"/>
  </r>
  <r>
    <x v="1"/>
    <s v="10/1939035-0"/>
    <s v=" 67 91285460"/>
    <n v="62955505419443"/>
    <s v="energisa_ms"/>
    <s v="Igreja do Evangelho Quadrangular"/>
    <d v="2025-07-01T00:00:00"/>
    <s v="10/191945-545778"/>
    <s v="SIM"/>
    <n v="164"/>
    <n v="274.92680000000001"/>
    <n v="231.17177808000002"/>
    <s v="Aprovado"/>
    <n v="193.80680000000001"/>
    <n v="150.05000000000001"/>
    <d v="2025-09-10T00:00:00"/>
    <d v="2025-09-20T00:00:00"/>
    <n v="150.05000000000001"/>
    <m/>
    <s v="62955505419443150,05"/>
    <s v="09/00012683482-7"/>
    <x v="1"/>
    <n v="150.05000000000001"/>
    <n v="0"/>
    <m/>
  </r>
  <r>
    <x v="1"/>
    <s v="10/109074-5"/>
    <s v="67 91751433"/>
    <n v="62955505000167"/>
    <s v="energisa_ms"/>
    <s v="Igreja do Evangelho Quadrangular"/>
    <d v="2025-05-01T00:00:00"/>
    <s v="10/1548741-645717"/>
    <s v="SIM"/>
    <n v="206"/>
    <n v="373.24105263157901"/>
    <n v="323.23328947368429"/>
    <s v="Aprovado"/>
    <n v="200.03105263157897"/>
    <n v="150.02000000000001"/>
    <m/>
    <m/>
    <n v="150.02000000000001"/>
    <m/>
    <s v="62955505000167150,02"/>
    <m/>
    <x v="2"/>
    <n v="0"/>
    <n v="0"/>
    <m/>
  </r>
  <r>
    <x v="0"/>
    <s v="10/1433087-2"/>
    <s v=" 67 91285460"/>
    <n v="62955505419443"/>
    <s v="energisa_ms"/>
    <s v="Igreja do Evangelho Quadrangular"/>
    <d v="2025-02-01T00:00:00"/>
    <s v="10/3139326-745870"/>
    <s v="SIM"/>
    <n v="179"/>
    <n v="347.44"/>
    <n v="297.49"/>
    <s v="Aprovado"/>
    <n v="199.79999999999998"/>
    <n v="149.85"/>
    <m/>
    <m/>
    <n v="149.85"/>
    <m/>
    <s v="62955505419443149,85"/>
    <m/>
    <x v="1"/>
    <n v="149.85"/>
    <n v="0"/>
    <m/>
  </r>
  <r>
    <x v="1"/>
    <s v="10/40190-1"/>
    <n v="67996859014"/>
    <n v="62955505177504"/>
    <s v="energisa_ms"/>
    <s v="Igreja do Evangelho Quadrangular"/>
    <d v="2025-05-01T00:00:00"/>
    <s v="10/276283-945809"/>
    <s v="SIM"/>
    <n v="206"/>
    <n v="468.22920863309355"/>
    <n v="418.29690647482016"/>
    <s v="Aprovado"/>
    <n v="199.72920863309349"/>
    <n v="149.80000000000001"/>
    <m/>
    <m/>
    <n v="149.80000000000001"/>
    <m/>
    <s v="62955505177504149,8"/>
    <m/>
    <x v="2"/>
    <n v="0"/>
    <n v="-149.80000000000001"/>
    <m/>
  </r>
  <r>
    <x v="0"/>
    <s v="10/113971-6"/>
    <n v="67996575782"/>
    <n v="62955505015601"/>
    <s v="energisa_ms"/>
    <s v="Igreja do Evangelho Quadrangular"/>
    <d v="2025-10-01T00:00:00"/>
    <s v="10/1130988-745809"/>
    <s v="SIM"/>
    <n v="169"/>
    <n v="358.4776"/>
    <n v="300.41406592202549"/>
    <s v="Aprovado"/>
    <n v="207.60759999999999"/>
    <n v="149.54"/>
    <d v="2025-11-06T00:00:00"/>
    <d v="2025-11-13T00:00:00"/>
    <n v="149.54"/>
    <m/>
    <s v="62955505015601149,54"/>
    <s v="09/00013026960-6"/>
    <x v="1"/>
    <n v="149.54"/>
    <n v="0"/>
    <m/>
  </r>
  <r>
    <x v="1"/>
    <s v="10/41548-9"/>
    <n v="67996687077"/>
    <n v="62955505269026"/>
    <s v="energisa_ms"/>
    <s v="Igreja do Evangelho Quadrangular"/>
    <d v="2025-05-01T00:00:00"/>
    <s v="10/113971-645717"/>
    <s v="SIM"/>
    <n v="206"/>
    <n v="380.13900000000001"/>
    <n v="330.33425"/>
    <s v="Aprovado"/>
    <n v="199.21899999999999"/>
    <n v="149.41"/>
    <m/>
    <m/>
    <n v="149.41"/>
    <m/>
    <s v="62955505269026149,41"/>
    <m/>
    <x v="1"/>
    <n v="199.21899999999999"/>
    <n v="49.808999999999997"/>
    <d v="2025-11-12T00:00:00"/>
  </r>
  <r>
    <x v="0"/>
    <s v="10/1674177-9"/>
    <n v="0"/>
    <n v="62955505016160"/>
    <s v="energisa_ms"/>
    <s v="Igreja do Evangelho Quadrangular"/>
    <d v="2025-08-01T00:00:00"/>
    <s v="10/987178-145689"/>
    <s v="SIM"/>
    <n v="191"/>
    <n v="353.70823529411774"/>
    <n v="310.12752961789477"/>
    <s v="Aprovado"/>
    <n v="192.86823529411765"/>
    <n v="149.29"/>
    <d v="2025-09-10T00:00:00"/>
    <d v="2025-09-20T00:00:00"/>
    <n v="149.29"/>
    <m/>
    <s v="62955505016160149,29"/>
    <s v="09/00012749681-6"/>
    <x v="1"/>
    <n v="149.29"/>
    <n v="0"/>
    <m/>
  </r>
  <r>
    <x v="0"/>
    <s v="10/69319-2"/>
    <n v="0"/>
    <n v="62955505182257"/>
    <s v="energisa_ms"/>
    <s v="Igreja do Evangelho Quadrangular"/>
    <d v="2025-09-01T00:00:00"/>
    <s v="10/52987-545689"/>
    <s v="SIM"/>
    <n v="194"/>
    <n v="379.98753623188401"/>
    <n v="325.21683675335066"/>
    <s v="Aprovado"/>
    <n v="203.92753623188406"/>
    <n v="149.16"/>
    <d v="2025-10-03T00:00:00"/>
    <d v="2025-10-13T00:00:00"/>
    <n v="149.16"/>
    <m/>
    <s v="62955505182257149,16"/>
    <s v="09/00012851456-7"/>
    <x v="1"/>
    <n v="149.16"/>
    <n v="0"/>
    <m/>
  </r>
  <r>
    <x v="0"/>
    <s v="10/280638-8"/>
    <n v="0"/>
    <n v="62955505843253"/>
    <s v="energisa_ms"/>
    <s v="Igreja do Evangelho Quadrangular"/>
    <d v="2025-09-01T00:00:00"/>
    <s v="10/3125732-245689"/>
    <s v="SIM"/>
    <n v="194"/>
    <n v="363.57753623188404"/>
    <n v="308.80952254559293"/>
    <s v="Aprovado"/>
    <n v="203.91753623188407"/>
    <n v="149.15"/>
    <d v="2025-10-03T00:00:00"/>
    <d v="2025-10-13T00:00:00"/>
    <n v="149.15"/>
    <m/>
    <s v="62955505843253149,15"/>
    <s v="09/00012851536-6"/>
    <x v="1"/>
    <n v="149.15"/>
    <n v="0"/>
    <m/>
  </r>
  <r>
    <x v="0"/>
    <s v="10/72605-9"/>
    <n v="67996071169"/>
    <n v="62955505136492"/>
    <s v="energisa_ms"/>
    <s v="Igreja do Evangelho Quadrangular"/>
    <d v="2025-05-01T00:00:00"/>
    <s v="10/513413-545901"/>
    <s v="SIM"/>
    <n v="204"/>
    <n v="362.73812499999997"/>
    <n v="313.03359374999997"/>
    <s v="Aprovado"/>
    <n v="198.81812499999998"/>
    <n v="149.11000000000001"/>
    <m/>
    <m/>
    <n v="149.11000000000001"/>
    <m/>
    <s v="62955505136492149,11"/>
    <m/>
    <x v="1"/>
    <n v="149.11000000000001"/>
    <n v="0"/>
    <m/>
  </r>
  <r>
    <x v="0"/>
    <s v="10/78338-1"/>
    <s v="67 984742936"/>
    <n v="62955505016837"/>
    <s v="energisa_ms"/>
    <s v="Igreja do Evangelho Quadrangular"/>
    <d v="2025-04-01T00:00:00"/>
    <s v="10/41548-945901"/>
    <s v="SIM"/>
    <n v="204"/>
    <n v="356.2"/>
    <n v="306.54999999999995"/>
    <s v="Aprovado"/>
    <n v="198.6"/>
    <n v="148.94999999999999"/>
    <m/>
    <m/>
    <n v="148.94999999999999"/>
    <m/>
    <s v="62955505016837148,95"/>
    <m/>
    <x v="1"/>
    <n v="148.94999999999999"/>
    <n v="0"/>
    <m/>
  </r>
  <r>
    <x v="1"/>
    <s v="10/109074-5"/>
    <s v="67 91751433"/>
    <n v="62955505000167"/>
    <s v="energisa_ms"/>
    <s v="Igreja do Evangelho Quadrangular"/>
    <d v="2025-10-01T00:00:00"/>
    <s v="10/239312-245717"/>
    <s v="SIM"/>
    <n v="315"/>
    <n v="431.48999999999995"/>
    <n v="337.14021116180379"/>
    <s v="Aprovado"/>
    <n v="337.34999999999997"/>
    <n v="243"/>
    <d v="2025-11-06T00:00:00"/>
    <d v="2025-11-13T00:00:00"/>
    <n v="243"/>
    <m/>
    <s v="62955505000167243"/>
    <s v="09/00013026885-5"/>
    <x v="2"/>
    <m/>
    <n v="0"/>
    <m/>
  </r>
  <r>
    <x v="0"/>
    <s v="10/480529-7"/>
    <n v="6796411024"/>
    <n v="62955505182257"/>
    <s v="energisa_ms"/>
    <s v="Igreja do Evangelho Quadrangular"/>
    <d v="2025-07-01T00:00:00"/>
    <s v="10/1695011-545778"/>
    <s v="SIM"/>
    <n v="189"/>
    <n v="361.50735294117646"/>
    <n v="317.88525617647059"/>
    <s v="Aprovado"/>
    <n v="192.17735294117642"/>
    <n v="148.56"/>
    <d v="2025-09-10T00:00:00"/>
    <d v="2025-09-20T00:00:00"/>
    <n v="148.56"/>
    <m/>
    <s v="62955505182257148,56"/>
    <s v="09/00012683510-5"/>
    <x v="1"/>
    <n v="148.56"/>
    <n v="0"/>
    <m/>
  </r>
  <r>
    <x v="1"/>
    <s v="10/10232-7"/>
    <s v="67 996415566"/>
    <n v="62955505393207"/>
    <s v="energisa_ms"/>
    <s v="Igreja do Evangelho Quadrangular"/>
    <d v="2025-10-01T00:00:00"/>
    <s v="10/3054052-045839"/>
    <s v="SIM"/>
    <n v="171"/>
    <n v="308.6357142857143"/>
    <n v="251.19639228971351"/>
    <s v="Aprovado"/>
    <n v="205.37571428571425"/>
    <n v="147.94"/>
    <d v="2025-11-06T00:00:00"/>
    <d v="2025-11-13T00:00:00"/>
    <n v="147.94"/>
    <m/>
    <s v="62955505393207147,94"/>
    <s v="09/00013026982-0"/>
    <x v="1"/>
    <n v="147.94"/>
    <n v="0"/>
    <m/>
  </r>
  <r>
    <x v="2"/>
    <s v="10/2247256-7"/>
    <e v="#N/A"/>
    <n v="62955505015199"/>
    <s v="energisa_ms"/>
    <s v="Igreja do Evangelho Quadrangular"/>
    <d v="2025-04-01T00:00:00"/>
    <s v="10/129490-945839"/>
    <s v="SIM"/>
    <n v="193"/>
    <n v="871.15000000000009"/>
    <n v="821.89143990000002"/>
    <s v="Aprovado"/>
    <n v="197.03424039999999"/>
    <n v="147.78"/>
    <m/>
    <m/>
    <n v="147.78"/>
    <m/>
    <s v="62955505015199147,78"/>
    <e v="#N/A"/>
    <x v="2"/>
    <n v="0"/>
    <n v="-147.78"/>
    <m/>
  </r>
  <r>
    <x v="0"/>
    <s v="10/1266128-6"/>
    <n v="0"/>
    <n v="62955505379395"/>
    <s v="energisa_ms"/>
    <s v="Igreja do Evangelho Quadrangular"/>
    <d v="2025-09-01T00:00:00"/>
    <s v="10/1266128-645689"/>
    <s v="SIM"/>
    <n v="191"/>
    <n v="314.0892753623188"/>
    <n v="260.16413334577976"/>
    <s v="Aprovado"/>
    <n v="200.77927536231883"/>
    <n v="146.85"/>
    <d v="2025-10-03T00:00:00"/>
    <d v="2025-10-13T00:00:00"/>
    <n v="146.85"/>
    <m/>
    <s v="62955505379395146,85"/>
    <s v="09/00012851447-6"/>
    <x v="1"/>
    <n v="146.85"/>
    <n v="0"/>
    <m/>
  </r>
  <r>
    <x v="0"/>
    <s v="10/72605-9"/>
    <n v="67996071169"/>
    <n v="62955505136492"/>
    <s v="energisa_ms"/>
    <s v="Igreja do Evangelho Quadrangular"/>
    <d v="2025-04-01T00:00:00"/>
    <s v="10/129490-945748"/>
    <s v="SIM"/>
    <n v="201"/>
    <n v="359.02"/>
    <n v="310.10749999999996"/>
    <s v="Aprovado"/>
    <n v="195.65"/>
    <n v="146.74"/>
    <m/>
    <m/>
    <n v="146.74"/>
    <m/>
    <s v="62955505136492146,74"/>
    <m/>
    <x v="1"/>
    <n v="146.74"/>
    <n v="0"/>
    <m/>
  </r>
  <r>
    <x v="1"/>
    <s v="10/41548-9"/>
    <s v="Solicitação de distrato"/>
    <n v="62955505269026"/>
    <s v="energisa_ms"/>
    <s v="Igreja do Evangelho Quadrangular"/>
    <d v="2025-09-01T00:00:00"/>
    <s v="10/341308-545689"/>
    <s v="SIM"/>
    <n v="189"/>
    <n v="301.79052631578946"/>
    <n v="248.42906469000263"/>
    <s v="Aprovado"/>
    <n v="198.68052631578951"/>
    <n v="145.32"/>
    <d v="2025-10-03T00:00:00"/>
    <d v="2025-10-13T00:00:00"/>
    <n v="145.32"/>
    <m/>
    <s v="62955505269026145,32"/>
    <s v="09/00012851528-3"/>
    <x v="1"/>
    <n v="198.68052631578951"/>
    <n v="0"/>
    <d v="2025-11-12T00:00:00"/>
  </r>
  <r>
    <x v="0"/>
    <s v="10/504844-2"/>
    <n v="67992637973"/>
    <n v="62955505354481"/>
    <s v="energisa_ms"/>
    <s v="Igreja do Evangelho Quadrangular"/>
    <d v="2025-07-01T00:00:00"/>
    <s v="10/435964-245809"/>
    <s v="SIM"/>
    <n v="186"/>
    <n v="332.61913043478262"/>
    <n v="289.68711991304349"/>
    <s v="Aprovado"/>
    <n v="187.14913043478259"/>
    <n v="144.22"/>
    <d v="2025-09-10T00:00:00"/>
    <d v="2025-09-20T00:00:00"/>
    <n v="144.22"/>
    <m/>
    <s v="62955505354481144,22"/>
    <s v="09/00012683503-0"/>
    <x v="1"/>
    <n v="144.22"/>
    <n v="0"/>
    <m/>
  </r>
  <r>
    <x v="3"/>
    <s v="10/150263-2"/>
    <n v="67992337953"/>
    <n v="62955505091456"/>
    <s v="energisa_ms"/>
    <s v="Igreja do Evangelho Quadrangular"/>
    <d v="2025-03-01T00:00:00"/>
    <s v="10/931327-145689"/>
    <s v="SIM"/>
    <n v="172"/>
    <n v="279.75"/>
    <n v="231.75250000000003"/>
    <s v="Aprovado"/>
    <n v="326.54999999999995"/>
    <n v="143.99"/>
    <m/>
    <m/>
    <n v="143.99"/>
    <m/>
    <s v="62955505091456143,99"/>
    <m/>
    <x v="3"/>
    <n v="0"/>
    <n v="-143.99"/>
    <m/>
  </r>
  <r>
    <x v="2"/>
    <s v="10/2247256-7"/>
    <e v="#N/A"/>
    <s v="#ND"/>
    <s v="energisa_ms"/>
    <s v="Igreja do Evangelho Quadrangular"/>
    <d v="2025-08-01T00:00:00"/>
    <s v="10/191945-545627"/>
    <s v="SIM"/>
    <n v="0"/>
    <m/>
    <m/>
    <s v="Não emitido"/>
    <n v="142.66999999999999"/>
    <n v="142.66999999999999"/>
    <m/>
    <m/>
    <m/>
    <s v="Pendente dado cadastral"/>
    <s v="#ND142,67"/>
    <e v="#N/A"/>
    <x v="0"/>
    <m/>
    <n v="0"/>
    <m/>
  </r>
  <r>
    <x v="0"/>
    <s v="10/501586-2"/>
    <s v="67 92480766"/>
    <n v="62955505273058"/>
    <s v="energisa_ms"/>
    <s v="Igreja do Evangelho Quadrangular"/>
    <d v="2025-03-01T00:00:00"/>
    <s v="10/513413-545717"/>
    <s v="SIM"/>
    <n v="170"/>
    <n v="301.39"/>
    <n v="253.95249999999999"/>
    <s v="Aprovado"/>
    <n v="189.75"/>
    <n v="142.31"/>
    <m/>
    <m/>
    <n v="142.31"/>
    <m/>
    <s v="62955505273058142,31"/>
    <m/>
    <x v="1"/>
    <n v="142.31"/>
    <n v="0"/>
    <m/>
  </r>
  <r>
    <x v="0"/>
    <s v="10/931327-1"/>
    <n v="0"/>
    <n v="62955505402710"/>
    <s v="energisa_ms"/>
    <s v="Igreja do Evangelho Quadrangular"/>
    <d v="2025-09-01T00:00:00"/>
    <s v="10/931327-145627"/>
    <s v="SIM"/>
    <n v="161"/>
    <n v="375.17340000000002"/>
    <n v="322.93651351182484"/>
    <s v="Aprovado"/>
    <n v="194.49339999999998"/>
    <n v="142.26"/>
    <d v="2025-10-03T00:00:00"/>
    <d v="2025-10-13T00:00:00"/>
    <n v="142.26"/>
    <m/>
    <s v="62955505402710142,26"/>
    <s v="09/00012851414-6"/>
    <x v="1"/>
    <n v="142.26"/>
    <n v="0"/>
    <m/>
  </r>
  <r>
    <x v="0"/>
    <s v="10/237441-1"/>
    <n v="67992637973"/>
    <n v="62955505017213"/>
    <s v="energisa_ms"/>
    <s v="Igreja do Evangelho Quadrangular"/>
    <d v="2025-01-01T00:00:00"/>
    <s v="10/2247256-745931"/>
    <s v="SIM"/>
    <n v="169"/>
    <n v="330.03999999999996"/>
    <n v="282.88"/>
    <s v="Aprovado"/>
    <n v="188.64000000000001"/>
    <n v="141.47999999999999"/>
    <m/>
    <m/>
    <n v="141.47999999999999"/>
    <m/>
    <s v="62955505017213141,48"/>
    <m/>
    <x v="1"/>
    <n v="141.47999999999999"/>
    <n v="0"/>
    <m/>
  </r>
  <r>
    <x v="1"/>
    <s v="10/239312-2"/>
    <n v="67996711972"/>
    <n v="62955505016594"/>
    <s v="energisa_ms"/>
    <s v="Igreja do Evangelho Quadrangular"/>
    <d v="2025-07-01T00:00:00"/>
    <s v="10/237441-145689"/>
    <s v="SIM"/>
    <n v="178"/>
    <n v="260.45800000000003"/>
    <n v="219.3820948"/>
    <s v="Aprovado"/>
    <n v="181.08799999999999"/>
    <n v="140.01"/>
    <d v="2025-09-10T00:00:00"/>
    <d v="2025-09-20T00:00:00"/>
    <n v="140.01"/>
    <m/>
    <s v="62955505016594140,01"/>
    <s v="09/00012683520-4"/>
    <x v="1"/>
    <n v="140.01"/>
    <n v="0"/>
    <m/>
  </r>
  <r>
    <x v="0"/>
    <s v="10/395471-6"/>
    <n v="0"/>
    <n v="62955505248886"/>
    <s v="energisa_ms"/>
    <s v="Igreja do Evangelho Quadrangular"/>
    <d v="2025-09-01T00:00:00"/>
    <s v="10/78338-145689"/>
    <s v="SIM"/>
    <n v="178"/>
    <n v="300.80971830985919"/>
    <n v="250.55593532191946"/>
    <s v="Aprovado"/>
    <n v="187.1097183098592"/>
    <n v="136.86000000000001"/>
    <d v="2025-10-03T00:00:00"/>
    <d v="2025-10-13T00:00:00"/>
    <n v="136.86000000000001"/>
    <m/>
    <s v="62955505248886136,86"/>
    <s v="09/00012851533-3"/>
    <x v="1"/>
    <n v="136.86000000000001"/>
    <n v="0"/>
    <m/>
  </r>
  <r>
    <x v="0"/>
    <s v="10/276283-9"/>
    <n v="0"/>
    <n v="62955505088404"/>
    <s v="energisa_ms"/>
    <s v="Igreja do Evangelho Quadrangular"/>
    <d v="2025-08-01T00:00:00"/>
    <s v="10/1117293-945901"/>
    <s v="SIM"/>
    <n v="148"/>
    <n v="337.79320000000001"/>
    <n v="298.06400810602833"/>
    <s v="Aprovado"/>
    <n v="175.82320000000001"/>
    <n v="136.09"/>
    <d v="2025-09-10T00:00:00"/>
    <d v="2025-09-20T00:00:00"/>
    <n v="136.09"/>
    <m/>
    <s v="62955505088404136,09"/>
    <s v="09/00012749641-0"/>
    <x v="1"/>
    <n v="136.09"/>
    <n v="0"/>
    <m/>
  </r>
  <r>
    <x v="0"/>
    <s v="10/1035655-8"/>
    <n v="67996135721"/>
    <n v="62955505182257"/>
    <s v="energisa_ms"/>
    <s v="Igreja do Evangelho Quadrangular"/>
    <d v="2025-05-01T00:00:00"/>
    <s v="10/10232-745689"/>
    <s v="SIM"/>
    <n v="159"/>
    <n v="354.82740000000001"/>
    <n v="309.50554999999997"/>
    <s v="Aprovado"/>
    <n v="181.28739999999999"/>
    <n v="135.97"/>
    <m/>
    <m/>
    <n v="135.97"/>
    <m/>
    <s v="62955505182257135,97"/>
    <m/>
    <x v="1"/>
    <n v="181.29"/>
    <n v="45.319999999999993"/>
    <d v="2025-11-07T00:00:00"/>
  </r>
  <r>
    <x v="0"/>
    <s v="10/162736-3"/>
    <n v="67996150274"/>
    <n v="62955505197360"/>
    <s v="energisa_ms"/>
    <s v="Igreja do Evangelho Quadrangular"/>
    <d v="2025-04-01T00:00:00"/>
    <s v="10/257864-945658"/>
    <s v="SIM"/>
    <n v="165"/>
    <n v="457.84999999999997"/>
    <n v="412.57"/>
    <s v="Aprovado"/>
    <n v="181.11999999999998"/>
    <n v="135.84"/>
    <m/>
    <m/>
    <n v="135.84"/>
    <m/>
    <s v="62955505197360135,84"/>
    <e v="#N/A"/>
    <x v="2"/>
    <n v="0"/>
    <n v="-135.84"/>
    <m/>
  </r>
  <r>
    <x v="1"/>
    <s v="10/13786-9"/>
    <n v="67996266684"/>
    <n v="62955505197521"/>
    <s v="energisa_ms"/>
    <s v="Igreja do Evangelho Quadrangular"/>
    <d v="2025-07-01T00:00:00"/>
    <s v="10/530195-745809"/>
    <s v="SIM"/>
    <n v="174"/>
    <n v="226.78714285714284"/>
    <n v="186.62674028571428"/>
    <s v="Aprovado"/>
    <n v="175.97714285714284"/>
    <n v="135.82"/>
    <d v="2025-09-10T00:00:00"/>
    <d v="2025-09-20T00:00:00"/>
    <n v="135.82"/>
    <m/>
    <s v="62955505197521135,82"/>
    <s v="09/00012683521-2"/>
    <x v="1"/>
    <n v="135.82"/>
    <n v="0"/>
    <m/>
  </r>
  <r>
    <x v="1"/>
    <s v="10/3125732-2"/>
    <n v="65999839279"/>
    <n v="62955505015512"/>
    <s v="energisa_ms"/>
    <s v="Igreja do Evangelho Quadrangular"/>
    <d v="2025-10-01T00:00:00"/>
    <s v="10/3054052-045748"/>
    <s v="SIM"/>
    <n v="176"/>
    <n v="323.32434782608692"/>
    <n v="270.74343625634009"/>
    <s v="Aprovado"/>
    <n v="188.00434782608693"/>
    <n v="135.41999999999999"/>
    <d v="2025-11-06T00:00:00"/>
    <d v="2025-11-13T00:00:00"/>
    <n v="135.41999999999999"/>
    <m/>
    <s v="62955505015512135,42"/>
    <s v="09/00013026908-5"/>
    <x v="1"/>
    <n v="135.41999999999999"/>
    <n v="0"/>
    <m/>
  </r>
  <r>
    <x v="0"/>
    <s v="10/399338-3"/>
    <n v="67991060202"/>
    <n v="62955505213233"/>
    <s v="energisa_ms"/>
    <s v="Igreja do Evangelho Quadrangular"/>
    <d v="2025-07-01T00:00:00"/>
    <s v="10/530195-745658"/>
    <s v="SIM"/>
    <n v="169"/>
    <n v="282.51624999999996"/>
    <n v="243.50764024999995"/>
    <s v="Aprovado"/>
    <n v="173.34625"/>
    <n v="134.34"/>
    <d v="2025-09-10T00:00:00"/>
    <d v="2025-09-20T00:00:00"/>
    <n v="134.34"/>
    <m/>
    <s v="62955505213233134,34"/>
    <s v="09/00012683495-9"/>
    <x v="1"/>
    <n v="134.34"/>
    <n v="0"/>
    <m/>
  </r>
  <r>
    <x v="1"/>
    <s v="10/1017804-4"/>
    <n v="6792157907"/>
    <n v="62955505878987"/>
    <s v="energisa_ms"/>
    <s v="Igreja do Evangelho Quadrangular"/>
    <d v="2025-10-01T00:00:00"/>
    <s v="10/504844-245809"/>
    <s v="SIM"/>
    <n v="254"/>
    <n v="505.87439999999998"/>
    <n v="418.37552175159158"/>
    <s v="Aprovado"/>
    <n v="312.8544"/>
    <n v="225.36"/>
    <d v="2025-11-06T00:00:00"/>
    <d v="2025-11-13T00:00:00"/>
    <n v="225.36"/>
    <m/>
    <s v="62955505878987225,36"/>
    <s v="09/00013026948-1"/>
    <x v="2"/>
    <m/>
    <n v="0"/>
    <m/>
  </r>
  <r>
    <x v="0"/>
    <s v="10/18015-8"/>
    <n v="67996266684"/>
    <n v="62955505016080"/>
    <s v="energisa_ms"/>
    <s v="Igreja do Evangelho Quadrangular"/>
    <d v="2025-05-01T00:00:00"/>
    <s v="10/3125732-245931"/>
    <s v="SIM"/>
    <n v="155"/>
    <n v="1060.2699999999998"/>
    <n v="1016.0924999999997"/>
    <s v="Aprovado"/>
    <n v="176.70999999999998"/>
    <n v="132.53"/>
    <m/>
    <m/>
    <n v="132.53"/>
    <m/>
    <s v="62955505016080132,53"/>
    <m/>
    <x v="2"/>
    <n v="0"/>
    <n v="-132.53"/>
    <m/>
  </r>
  <r>
    <x v="0"/>
    <s v="10/532081-7"/>
    <s v="67 992321318"/>
    <n v="62955505193534"/>
    <s v="energisa_ms"/>
    <s v="Igreja do Evangelho Quadrangular"/>
    <d v="2025-04-01T00:00:00"/>
    <s v="10/8777-545748"/>
    <s v="SIM"/>
    <n v="160"/>
    <n v="453.76000000000005"/>
    <n v="409.62250000000006"/>
    <s v="Aprovado"/>
    <n v="176.55"/>
    <n v="132.41"/>
    <m/>
    <m/>
    <n v="132.41"/>
    <m/>
    <s v="62955505193534132,41"/>
    <e v="#N/A"/>
    <x v="1"/>
    <n v="176.55"/>
    <n v="44.140000000000015"/>
    <d v="2025-10-08T00:00:00"/>
  </r>
  <r>
    <x v="3"/>
    <s v="10/150263-2"/>
    <n v="67992337953"/>
    <n v="62955505091456"/>
    <s v="energisa_ms"/>
    <s v="Igreja do Evangelho Quadrangular"/>
    <d v="2025-10-01T00:00:00"/>
    <s v="10/2794432-145839"/>
    <s v="SIM"/>
    <n v="101"/>
    <n v="195.59631578947366"/>
    <n v="164.51659315984998"/>
    <s v="Aprovado"/>
    <n v="193.31631577947368"/>
    <n v="162.24"/>
    <d v="2025-11-06T00:00:00"/>
    <d v="2025-11-13T00:00:00"/>
    <n v="162.24"/>
    <m/>
    <s v="62955505091456162,24"/>
    <s v="09/00013026966-3"/>
    <x v="2"/>
    <m/>
    <n v="0"/>
    <m/>
  </r>
  <r>
    <x v="0"/>
    <s v="10/931327-1"/>
    <s v="67 992158055"/>
    <n v="62955505402710"/>
    <s v="energisa_ms"/>
    <s v="Igreja do Evangelho Quadrangular"/>
    <d v="2025-10-01T00:00:00"/>
    <s v="10/3123706-845809"/>
    <s v="SIM"/>
    <n v="149"/>
    <n v="350.25890000000004"/>
    <n v="299.66243782732965"/>
    <s v="Aprovado"/>
    <n v="180.90890000000002"/>
    <n v="130.31"/>
    <d v="2025-11-06T00:00:00"/>
    <d v="2025-11-13T00:00:00"/>
    <n v="130.31"/>
    <m/>
    <s v="62955505402710130,31"/>
    <s v="09/00013026955-6"/>
    <x v="1"/>
    <n v="130.31"/>
    <n v="0"/>
    <m/>
  </r>
  <r>
    <x v="0"/>
    <s v="10/399338-3"/>
    <n v="0"/>
    <n v="62955505213233"/>
    <s v="energisa_ms"/>
    <s v="Igreja do Evangelho Quadrangular"/>
    <d v="2025-08-01T00:00:00"/>
    <s v="10/72605-945839"/>
    <s v="SIM"/>
    <n v="165"/>
    <n v="281.86589041095891"/>
    <n v="243.9392596321338"/>
    <s v="Aprovado"/>
    <n v="167.84589041095893"/>
    <n v="129.91999999999999"/>
    <d v="2025-09-10T00:00:00"/>
    <d v="2025-09-20T00:00:00"/>
    <n v="129.91999999999999"/>
    <m/>
    <s v="62955505213233129,92"/>
    <s v="09/00012749673-3"/>
    <x v="1"/>
    <n v="129.91999999999999"/>
    <n v="0"/>
    <m/>
  </r>
  <r>
    <x v="1"/>
    <s v="10/952579-1"/>
    <n v="67996150274"/>
    <n v="62955505897930"/>
    <s v="energisa_ms"/>
    <s v="Igreja do Evangelho Quadrangular"/>
    <d v="2025-10-01T00:00:00"/>
    <s v="10/3170252-545778"/>
    <s v="SIM"/>
    <n v="170"/>
    <n v="654.87552706552697"/>
    <n v="604.59604576448089"/>
    <s v="Aprovado"/>
    <n v="179.77552706552706"/>
    <n v="129.5"/>
    <d v="2025-11-06T00:00:00"/>
    <d v="2025-11-13T00:00:00"/>
    <n v="129.5"/>
    <m/>
    <s v="62955505897930129,5"/>
    <s v="09/00013026917-6"/>
    <x v="1"/>
    <n v="129.5"/>
    <n v="0"/>
    <m/>
  </r>
  <r>
    <x v="1"/>
    <s v="10/10232-7"/>
    <s v="67 996415566"/>
    <n v="62955505393207"/>
    <s v="energisa_ms"/>
    <s v="Igreja do Evangelho Quadrangular"/>
    <d v="2025-02-01T00:00:00"/>
    <s v="10/142353-245658"/>
    <s v="SIM"/>
    <n v="162"/>
    <n v="269.5"/>
    <n v="226.39250000000001"/>
    <s v="Aprovado"/>
    <n v="172.42999999999998"/>
    <n v="129.32"/>
    <m/>
    <m/>
    <n v="129.32"/>
    <m/>
    <s v="62955505393207129,32"/>
    <m/>
    <x v="1"/>
    <n v="129.32"/>
    <n v="0"/>
    <m/>
  </r>
  <r>
    <x v="0"/>
    <s v="10/395471-6"/>
    <n v="67992876000"/>
    <n v="62955505248886"/>
    <s v="energisa_ms"/>
    <s v="Igreja do Evangelho Quadrangular"/>
    <d v="2025-05-01T00:00:00"/>
    <s v="10/3125732-245658"/>
    <s v="SIM"/>
    <n v="176"/>
    <n v="294.14913043478259"/>
    <n v="251.14934782608697"/>
    <s v="Aprovado"/>
    <n v="171.99913043478261"/>
    <n v="129"/>
    <m/>
    <m/>
    <n v="129"/>
    <m/>
    <s v="62955505248886129"/>
    <m/>
    <x v="1"/>
    <n v="172"/>
    <n v="43"/>
    <d v="2025-09-29T00:00:00"/>
  </r>
  <r>
    <x v="0"/>
    <s v="10/2599101-9"/>
    <n v="67991120875"/>
    <n v="62955505379395"/>
    <s v="energisa_ms"/>
    <s v="Igreja do Evangelho Quadrangular"/>
    <d v="2025-07-01T00:00:00"/>
    <s v="10/1288241-145839"/>
    <s v="SIM"/>
    <n v="137"/>
    <n v="275.66310000000004"/>
    <n v="239.10979286000003"/>
    <s v="Aprovado"/>
    <n v="164.67310000000006"/>
    <n v="128.12"/>
    <d v="2025-09-10T00:00:00"/>
    <d v="2025-09-20T00:00:00"/>
    <n v="128.12"/>
    <m/>
    <s v="62955505379395128,12"/>
    <s v="09/00012683473-6"/>
    <x v="1"/>
    <n v="128.12"/>
    <n v="0"/>
    <m/>
  </r>
  <r>
    <x v="0"/>
    <s v="10/162736-3"/>
    <n v="67996150274"/>
    <n v="62955505197360"/>
    <s v="energisa_ms"/>
    <s v="Igreja do Evangelho Quadrangular"/>
    <d v="2025-10-01T00:00:00"/>
    <s v="10/3054052-045809"/>
    <s v="SIM"/>
    <n v="170"/>
    <n v="393.18600000000004"/>
    <n v="335.3774215097086"/>
    <s v="Aprovado"/>
    <n v="206.69600000000003"/>
    <n v="148.88999999999999"/>
    <d v="2025-11-06T00:00:00"/>
    <d v="2025-11-13T00:00:00"/>
    <n v="148.88999999999999"/>
    <m/>
    <s v="62955505197360148,89"/>
    <s v="09/00013026959-8"/>
    <x v="2"/>
    <m/>
    <n v="0"/>
    <m/>
  </r>
  <r>
    <x v="1"/>
    <s v="10/10232-7"/>
    <n v="0"/>
    <n v="62955505393207"/>
    <s v="energisa_ms"/>
    <s v="Igreja do Evangelho Quadrangular"/>
    <d v="2025-09-01T00:00:00"/>
    <s v="10/150263-245689"/>
    <s v="SIM"/>
    <n v="144"/>
    <n v="264.65120000000002"/>
    <n v="217.92077848265603"/>
    <s v="Aprovado"/>
    <n v="173.99120000000002"/>
    <n v="127.26"/>
    <d v="2025-10-03T00:00:00"/>
    <d v="2025-10-13T00:00:00"/>
    <n v="127.26"/>
    <m/>
    <s v="62955505393207127,26"/>
    <s v="09/00012851427-8"/>
    <x v="1"/>
    <n v="127.26"/>
    <n v="0"/>
    <m/>
  </r>
  <r>
    <x v="1"/>
    <s v="10/452884-0"/>
    <s v="67 996469842"/>
    <n v="62955505000167"/>
    <s v="energisa_ms"/>
    <s v="Igreja do Evangelho Quadrangular"/>
    <d v="2025-01-01T00:00:00"/>
    <s v="10/1672452-845931"/>
    <s v="SIM"/>
    <n v="159"/>
    <n v="223.25"/>
    <n v="180.88749999999999"/>
    <s v="Aprovado"/>
    <n v="169.45"/>
    <n v="127.09"/>
    <m/>
    <m/>
    <n v="127.09"/>
    <m/>
    <s v="62955505000167127,09"/>
    <m/>
    <x v="1"/>
    <n v="127.09"/>
    <n v="0"/>
    <m/>
  </r>
  <r>
    <x v="1"/>
    <s v="10/341308-5"/>
    <n v="0"/>
    <n v="62955505239119"/>
    <s v="energisa_ms"/>
    <s v="Igreja do Evangelho Quadrangular"/>
    <d v="2025-09-01T00:00:00"/>
    <s v="10/129490-945689"/>
    <s v="SIM"/>
    <n v="165"/>
    <n v="228.21826086956526"/>
    <n v="181.6282899381884"/>
    <s v="Aprovado"/>
    <n v="173.46826086956523"/>
    <n v="126.88"/>
    <d v="2025-10-03T00:00:00"/>
    <d v="2025-10-13T00:00:00"/>
    <n v="126.88"/>
    <m/>
    <s v="62955505239119126,88"/>
    <s v="09/00012851453-4"/>
    <x v="1"/>
    <n v="126.88"/>
    <n v="0"/>
    <m/>
  </r>
  <r>
    <x v="0"/>
    <s v="10/76927-3"/>
    <n v="0"/>
    <n v="62955505058599"/>
    <s v="energisa_ms"/>
    <s v="Igreja do Evangelho Quadrangular"/>
    <d v="2025-09-01T00:00:00"/>
    <s v="10/13786-945689"/>
    <s v="SIM"/>
    <n v="165"/>
    <n v="325.72958904109589"/>
    <n v="279.14463297492421"/>
    <s v="Aprovado"/>
    <n v="173.44958904109589"/>
    <n v="126.86"/>
    <d v="2025-10-03T00:00:00"/>
    <d v="2025-10-13T00:00:00"/>
    <n v="126.86"/>
    <m/>
    <s v="62955505058599126,86"/>
    <s v="09/00012851450-0"/>
    <x v="1"/>
    <n v="126.86"/>
    <n v="0"/>
    <m/>
  </r>
  <r>
    <x v="1"/>
    <s v="10/3556072-1"/>
    <e v="#N/A"/>
    <s v="#ND"/>
    <s v="energisa_ms"/>
    <s v="Igreja do Evangelho Quadrangular"/>
    <d v="2025-07-01T00:00:00"/>
    <s v="10/72605-945901"/>
    <s v="SIM"/>
    <n v="141"/>
    <m/>
    <m/>
    <s v="Aprovado"/>
    <n v="163.98917647058826"/>
    <n v="126.37"/>
    <d v="2025-09-10T00:00:00"/>
    <d v="2025-09-20T00:00:00"/>
    <n v="0"/>
    <s v="sem informação de CNPJ"/>
    <s v="#ND0"/>
    <m/>
    <x v="0"/>
    <m/>
    <n v="0"/>
    <m/>
  </r>
  <r>
    <x v="0"/>
    <s v="10/3030784-7"/>
    <n v="0"/>
    <n v="62955505016080"/>
    <s v="energisa_ms"/>
    <s v="Igreja do Evangelho Quadrangular"/>
    <d v="2025-08-01T00:00:00"/>
    <s v="10/31292-645717"/>
    <s v="SIM"/>
    <n v="141"/>
    <n v="340.43110000000001"/>
    <n v="303.57886657404185"/>
    <s v="Aprovado"/>
    <n v="163.09109999999998"/>
    <n v="126.24"/>
    <d v="2025-09-10T00:00:00"/>
    <d v="2025-09-20T00:00:00"/>
    <n v="126.24"/>
    <m/>
    <s v="62955505016080126,24"/>
    <s v="09/00012749643-6"/>
    <x v="1"/>
    <n v="126.24"/>
    <n v="0"/>
    <d v="2025-09-24T00:00:00"/>
  </r>
  <r>
    <x v="0"/>
    <s v="10/276283-9"/>
    <s v="46 999066691"/>
    <n v="62955505088404"/>
    <s v="energisa_ms"/>
    <s v="Igreja do Evangelho Quadrangular"/>
    <d v="2025-07-01T00:00:00"/>
    <s v="10/532081-745870"/>
    <s v="SIM"/>
    <n v="138"/>
    <n v="319.99940000000004"/>
    <n v="283.18083763999999"/>
    <s v="Aprovado"/>
    <n v="162.39940000000001"/>
    <n v="125.58"/>
    <d v="2025-09-10T00:00:00"/>
    <d v="2025-09-20T00:00:00"/>
    <n v="125.58"/>
    <m/>
    <s v="62955505088404125,58"/>
    <s v="09/00012683491-8"/>
    <x v="1"/>
    <n v="125.58"/>
    <n v="0"/>
    <m/>
  </r>
  <r>
    <x v="0"/>
    <s v="10/1672452-8"/>
    <n v="0"/>
    <n v="62955505017213"/>
    <s v="energisa_ms"/>
    <s v="Igreja do Evangelho Quadrangular"/>
    <d v="2025-09-01T00:00:00"/>
    <s v="10/532723-445627"/>
    <s v="SIM"/>
    <n v="142"/>
    <n v="313.60479999999995"/>
    <n v="267.53411648903329"/>
    <s v="Aprovado"/>
    <n v="171.53479999999996"/>
    <n v="125.46"/>
    <d v="2025-10-03T00:00:00"/>
    <d v="2025-10-13T00:00:00"/>
    <n v="125.46"/>
    <m/>
    <s v="62955505017213125,46"/>
    <s v="09/00012851413-8"/>
    <x v="1"/>
    <n v="125.46"/>
    <n v="0"/>
    <m/>
  </r>
  <r>
    <x v="1"/>
    <s v="10/10232-7"/>
    <s v="67 996415566"/>
    <n v="62955505393207"/>
    <s v="energisa_ms"/>
    <s v="Igreja do Evangelho Quadrangular"/>
    <d v="2025-04-01T00:00:00"/>
    <s v="10/341308-545839"/>
    <s v="SIM"/>
    <n v="149"/>
    <n v="253.47999999999996"/>
    <n v="211.69249999999994"/>
    <s v="Aprovado"/>
    <n v="167.14999999999998"/>
    <n v="125.36"/>
    <m/>
    <m/>
    <n v="125.36"/>
    <m/>
    <s v="62955505393207125,36"/>
    <m/>
    <x v="1"/>
    <n v="125.36"/>
    <n v="0"/>
    <m/>
  </r>
  <r>
    <x v="3"/>
    <s v="10/1548741-6"/>
    <s v="67 81355403"/>
    <n v="62955505084751"/>
    <s v="energisa_ms"/>
    <s v="Igreja do Evangelho Quadrangular"/>
    <d v="2025-04-01T00:00:00"/>
    <s v="10/452884-045689"/>
    <s v="SIM"/>
    <n v="149"/>
    <n v="263.01"/>
    <n v="221.4075"/>
    <s v="Aprovado"/>
    <n v="166.41"/>
    <n v="124.81"/>
    <m/>
    <m/>
    <n v="124.81"/>
    <m/>
    <s v="62955505084751124,81"/>
    <m/>
    <x v="1"/>
    <n v="124.81"/>
    <n v="0"/>
    <m/>
  </r>
  <r>
    <x v="1"/>
    <s v="10/511753-6"/>
    <n v="67996266684"/>
    <n v="62955505016080"/>
    <s v="energisa_ms"/>
    <s v="Igreja do Evangelho Quadrangular"/>
    <d v="2025-05-01T00:00:00"/>
    <s v="10/10232-745901"/>
    <s v="SIM"/>
    <n v="163"/>
    <n v="267.45633333333336"/>
    <n v="226.04725000000002"/>
    <s v="Aprovado"/>
    <n v="165.63633333333334"/>
    <n v="124.23"/>
    <m/>
    <m/>
    <n v="124.23"/>
    <m/>
    <s v="62955505016080124,23"/>
    <m/>
    <x v="1"/>
    <n v="165.64"/>
    <n v="41.409999999999982"/>
    <d v="2025-10-03T00:00:00"/>
  </r>
  <r>
    <x v="0"/>
    <s v="10/69319-2"/>
    <n v="67998363594"/>
    <n v="62955505182257"/>
    <s v="energisa_ms"/>
    <s v="Igreja do Evangelho Quadrangular"/>
    <d v="2025-05-01T00:00:00"/>
    <s v="10/435964-245870"/>
    <s v="SIM"/>
    <n v="166"/>
    <n v="320.51718309859154"/>
    <n v="280.0028873239437"/>
    <s v="Aprovado"/>
    <n v="162.05718309859157"/>
    <n v="121.54"/>
    <m/>
    <m/>
    <n v="121.54"/>
    <m/>
    <s v="62955505182257121,54"/>
    <m/>
    <x v="1"/>
    <n v="121.54"/>
    <n v="0"/>
    <m/>
  </r>
  <r>
    <x v="3"/>
    <s v="10/1548741-6"/>
    <n v="0"/>
    <n v="62955505084751"/>
    <s v="energisa_ms"/>
    <s v="Igreja do Evangelho Quadrangular"/>
    <d v="2025-09-01T00:00:00"/>
    <s v="10/925970-645689"/>
    <s v="SIM"/>
    <n v="140"/>
    <n v="264.51"/>
    <n v="220.03865205342674"/>
    <s v="Aprovado"/>
    <n v="165.58000000000004"/>
    <n v="121.11"/>
    <d v="2025-10-03T00:00:00"/>
    <d v="2025-10-13T00:00:00"/>
    <n v="121.11"/>
    <m/>
    <s v="62955505084751121,11"/>
    <s v="09/00012851428-6"/>
    <x v="1"/>
    <n v="121.11"/>
    <n v="0"/>
    <d v="2025-10-23T00:00:00"/>
  </r>
  <r>
    <x v="3"/>
    <s v="10/1548741-6"/>
    <s v="67 81355403"/>
    <n v="62955505084751"/>
    <s v="energisa_ms"/>
    <s v="Igreja do Evangelho Quadrangular"/>
    <d v="2025-02-01T00:00:00"/>
    <s v="10/1672452-845778"/>
    <s v="SIM"/>
    <n v="155"/>
    <n v="254.02999999999997"/>
    <n v="213.72499999999999"/>
    <s v="Aprovado"/>
    <n v="161.22"/>
    <n v="120.92"/>
    <m/>
    <m/>
    <n v="120.92"/>
    <m/>
    <s v="62955505084751120,92"/>
    <m/>
    <x v="1"/>
    <n v="120.92"/>
    <n v="0"/>
    <m/>
  </r>
  <r>
    <x v="0"/>
    <s v="10/2794432-1"/>
    <n v="67991162146"/>
    <n v="62955505015199"/>
    <s v="energisa_ms"/>
    <s v="Igreja do Evangelho Quadrangular"/>
    <d v="2025-01-01T00:00:00"/>
    <s v="10/191945-545658"/>
    <s v="SIM"/>
    <n v="164"/>
    <n v="552.54999999999995"/>
    <n v="512.27749999999992"/>
    <s v="Aprovado"/>
    <n v="161.09"/>
    <n v="120.82"/>
    <m/>
    <m/>
    <n v="120.82"/>
    <m/>
    <s v="62955505015199120,82"/>
    <m/>
    <x v="1"/>
    <n v="120.82"/>
    <n v="0"/>
    <m/>
  </r>
  <r>
    <x v="0"/>
    <s v="10/395471-6"/>
    <n v="67992876000"/>
    <n v="62955505248886"/>
    <s v="energisa_ms"/>
    <s v="Igreja do Evangelho Quadrangular"/>
    <d v="2025-06-01T00:00:00"/>
    <s v="10/150263-245901"/>
    <s v="SIM"/>
    <n v="159"/>
    <n v="271.0549315068493"/>
    <n v="232.8985320127905"/>
    <s v="Aprovado"/>
    <n v="160.82493150684928"/>
    <n v="120.62"/>
    <d v="2025-07-22T00:00:00"/>
    <d v="2025-08-02T00:00:00"/>
    <n v="120.62"/>
    <m/>
    <s v="62955505248886120,62"/>
    <s v="09/00012472800-5"/>
    <x v="1"/>
    <n v="120.62"/>
    <n v="0"/>
    <m/>
  </r>
  <r>
    <x v="0"/>
    <s v="10/501586-2"/>
    <s v="67 92480766"/>
    <n v="62955505273058"/>
    <s v="energisa_ms"/>
    <s v="Igreja do Evangelho Quadrangular"/>
    <d v="2025-05-01T00:00:00"/>
    <s v="10/69319-245778"/>
    <s v="SIM"/>
    <n v="151"/>
    <n v="270.70011235955059"/>
    <n v="230.59258426966295"/>
    <s v="Aprovado"/>
    <n v="160.43011235955055"/>
    <n v="120.32"/>
    <m/>
    <m/>
    <n v="120.32"/>
    <m/>
    <s v="62955505273058120,32"/>
    <m/>
    <x v="1"/>
    <n v="120.32"/>
    <n v="0"/>
    <m/>
  </r>
  <r>
    <x v="0"/>
    <s v="10/532081-7"/>
    <n v="0"/>
    <n v="62955505193534"/>
    <s v="energisa_ms"/>
    <s v="Igreja do Evangelho Quadrangular"/>
    <d v="2025-09-01T00:00:00"/>
    <s v="10/135237-645658"/>
    <s v="SIM"/>
    <n v="136"/>
    <n v="338.12199999999996"/>
    <n v="293.99389630198164"/>
    <s v="Aprovado"/>
    <n v="164.30199999999999"/>
    <n v="120.17"/>
    <d v="2025-10-03T00:00:00"/>
    <d v="2025-10-13T00:00:00"/>
    <n v="120.17"/>
    <m/>
    <s v="62955505193534120,17"/>
    <s v="09/00012851418-7"/>
    <x v="1"/>
    <n v="120.17"/>
    <n v="0"/>
    <m/>
  </r>
  <r>
    <x v="0"/>
    <s v="10/1288241-1"/>
    <n v="0"/>
    <n v="62955505335851"/>
    <s v="energisa_ms"/>
    <s v="Igreja do Evangelho Quadrangular"/>
    <d v="2025-08-01T00:00:00"/>
    <s v="10/2794432-145627"/>
    <s v="SIM"/>
    <n v="154"/>
    <n v="266.97236842105264"/>
    <n v="232.04051716169911"/>
    <s v="Aprovado"/>
    <n v="154.59236842105261"/>
    <n v="119.66"/>
    <d v="2025-09-10T00:00:00"/>
    <d v="2025-09-20T00:00:00"/>
    <n v="119.66"/>
    <m/>
    <s v="62955505335851119,66"/>
    <s v="09/00012749704-6"/>
    <x v="1"/>
    <n v="119.66"/>
    <n v="0"/>
    <m/>
  </r>
  <r>
    <x v="3"/>
    <s v="10/1548741-6"/>
    <s v="67 81355403"/>
    <n v="62955505084751"/>
    <s v="energisa_ms"/>
    <s v="Igreja do Evangelho Quadrangular"/>
    <d v="2025-01-01T00:00:00"/>
    <s v="10/202838-945778"/>
    <s v="SIM"/>
    <n v="152"/>
    <n v="263.95"/>
    <n v="224.13249999999999"/>
    <s v="Aprovado"/>
    <n v="159.27000000000004"/>
    <n v="119.45"/>
    <m/>
    <m/>
    <n v="119.45"/>
    <m/>
    <s v="62955505084751119,45"/>
    <m/>
    <x v="1"/>
    <n v="119.45"/>
    <n v="0"/>
    <m/>
  </r>
  <r>
    <x v="0"/>
    <s v="10/480529-7"/>
    <n v="6796411024"/>
    <n v="62955505182257"/>
    <s v="energisa_ms"/>
    <s v="Igreja do Evangelho Quadrangular"/>
    <d v="2025-06-01T00:00:00"/>
    <s v="10/156956-545870"/>
    <s v="SIM"/>
    <n v="158"/>
    <n v="370.63433962264151"/>
    <n v="332.95496161047947"/>
    <s v="Aprovado"/>
    <n v="158.81433962264151"/>
    <n v="119.11"/>
    <d v="2025-07-22T00:00:00"/>
    <d v="2025-08-02T00:00:00"/>
    <n v="119.11"/>
    <m/>
    <s v="62955505182257119,11"/>
    <s v="09/00012472776-7"/>
    <x v="1"/>
    <n v="119.11"/>
    <n v="0"/>
    <s v="04/08/2025"/>
  </r>
  <r>
    <x v="0"/>
    <s v="10/63920-3"/>
    <n v="67981263396"/>
    <n v="62955505135500"/>
    <s v="energisa_ms"/>
    <s v="Igreja do Evangelho Quadrangular"/>
    <d v="2025-06-01T00:00:00"/>
    <s v="10/52987-545901"/>
    <s v="SIM"/>
    <n v="158"/>
    <n v="404.61525179856119"/>
    <n v="366.94040245390278"/>
    <s v="Aprovado"/>
    <n v="158.79525179856117"/>
    <n v="119.1"/>
    <d v="2025-07-22T00:00:00"/>
    <d v="2025-08-02T00:00:00"/>
    <n v="119.1"/>
    <m/>
    <s v="62955505135500119,1"/>
    <s v="09/00012472790-8"/>
    <x v="1"/>
    <n v="119.1"/>
    <n v="0"/>
    <s v="04/08/2025"/>
  </r>
  <r>
    <x v="1"/>
    <s v="10/239312-2"/>
    <n v="67996711972"/>
    <n v="62955505016594"/>
    <s v="energisa_ms"/>
    <s v="Igreja do Evangelho Quadrangular"/>
    <d v="2025-06-01T00:00:00"/>
    <s v="10/466560-045778"/>
    <s v="SIM"/>
    <n v="158"/>
    <n v="317.38102564102564"/>
    <n v="279.70717897022962"/>
    <s v="Aprovado"/>
    <n v="158.7910256410257"/>
    <n v="119.09"/>
    <d v="2025-07-22T00:00:00"/>
    <d v="2025-08-02T00:00:00"/>
    <n v="119.09"/>
    <m/>
    <s v="62955505016594119,09"/>
    <s v="09/00012472795-7"/>
    <x v="1"/>
    <n v="119.09"/>
    <n v="0"/>
    <s v="02/08/2025"/>
  </r>
  <r>
    <x v="0"/>
    <s v="10/78338-1"/>
    <s v="67 984742936"/>
    <n v="62955505016837"/>
    <s v="energisa_ms"/>
    <s v="Igreja do Evangelho Quadrangular"/>
    <d v="2025-06-01T00:00:00"/>
    <s v="10/226667-445689"/>
    <s v="SIM"/>
    <n v="158"/>
    <n v="322.46172413793107"/>
    <n v="284.78771174577133"/>
    <s v="Aprovado"/>
    <n v="158.79172413793108"/>
    <n v="119.09"/>
    <d v="2025-07-22T00:00:00"/>
    <d v="2025-08-02T00:00:00"/>
    <n v="119.09"/>
    <m/>
    <s v="62955505016837119,09"/>
    <s v="09/00012472797-3"/>
    <x v="1"/>
    <n v="119.09"/>
    <n v="0"/>
    <s v="02/08/2025"/>
  </r>
  <r>
    <x v="0"/>
    <s v="10/76927-3"/>
    <s v="67 999373813"/>
    <n v="62955505058599"/>
    <s v="energisa_ms"/>
    <s v="Igreja do Evangelho Quadrangular"/>
    <d v="2025-06-01T00:00:00"/>
    <s v="10/1698130-045778"/>
    <s v="SIM"/>
    <n v="158"/>
    <n v="363.26655172413791"/>
    <n v="325.65070753063969"/>
    <s v="Aprovado"/>
    <n v="158.54655172413794"/>
    <n v="118.91"/>
    <d v="2025-07-22T00:00:00"/>
    <d v="2025-08-02T00:00:00"/>
    <n v="118.91"/>
    <m/>
    <s v="62955505058599118,91"/>
    <s v="09/00012472769-2"/>
    <x v="1"/>
    <n v="118.91"/>
    <n v="0"/>
    <s v="01/08/2025"/>
  </r>
  <r>
    <x v="0"/>
    <s v="10/1674177-9"/>
    <s v="67 993047635"/>
    <n v="62955505016160"/>
    <s v="energisa_ms"/>
    <s v="Igreja do Evangelho Quadrangular"/>
    <d v="2025-06-01T00:00:00"/>
    <s v="10/1288241-145748"/>
    <s v="SIM"/>
    <n v="158"/>
    <n v="499.89433179723505"/>
    <n v="462.28375937596576"/>
    <s v="Aprovado"/>
    <n v="158.52433179723505"/>
    <n v="118.89"/>
    <d v="2025-07-22T00:00:00"/>
    <d v="2025-08-02T00:00:00"/>
    <n v="118.89"/>
    <m/>
    <s v="62955505016160118,89"/>
    <s v="09/00012472782-5"/>
    <x v="1"/>
    <n v="118.89"/>
    <n v="0"/>
    <s v="02/08/2025"/>
  </r>
  <r>
    <x v="1"/>
    <s v="10/109074-5"/>
    <s v="67 91751433"/>
    <n v="62955505000167"/>
    <s v="energisa_ms"/>
    <s v="Igreja do Evangelho Quadrangular"/>
    <d v="2025-06-01T00:00:00"/>
    <s v="10/150263-245809"/>
    <s v="SIM"/>
    <n v="158"/>
    <n v="320.38982300884959"/>
    <n v="282.88945727464102"/>
    <s v="Aprovado"/>
    <n v="158.05982300884955"/>
    <n v="118.54"/>
    <d v="2025-07-22T00:00:00"/>
    <d v="2025-08-02T00:00:00"/>
    <n v="118.54"/>
    <m/>
    <s v="62955505000167118,54"/>
    <s v="09/00012472796-5"/>
    <x v="2"/>
    <n v="0"/>
    <n v="-118.54"/>
    <m/>
  </r>
  <r>
    <x v="1"/>
    <s v="10/40190-1"/>
    <n v="67996859014"/>
    <n v="62955505177504"/>
    <s v="energisa_ms"/>
    <s v="Igreja do Evangelho Quadrangular"/>
    <d v="2025-06-01T00:00:00"/>
    <s v="10/530195-745748"/>
    <s v="SIM"/>
    <n v="158"/>
    <n v="390.94936507936507"/>
    <n v="353.52977443796465"/>
    <s v="Aprovado"/>
    <n v="157.7193650793651"/>
    <n v="118.29"/>
    <d v="2025-07-22T00:00:00"/>
    <d v="2025-08-02T00:00:00"/>
    <n v="118.29"/>
    <m/>
    <s v="62955505177504118,29"/>
    <s v="09/00012472784-1"/>
    <x v="2"/>
    <n v="0"/>
    <n v="-118.29"/>
    <m/>
  </r>
  <r>
    <x v="1"/>
    <s v="10/257864-9"/>
    <n v="67981311823"/>
    <n v="62955505182176"/>
    <s v="energisa_ms"/>
    <s v="Igreja do Evangelho Quadrangular"/>
    <d v="2025-04-01T00:00:00"/>
    <s v="10/480529-745870"/>
    <s v="SIM"/>
    <n v="145"/>
    <n v="271.08"/>
    <n v="231.69750000000002"/>
    <s v="Aprovado"/>
    <n v="157.53"/>
    <n v="118.15"/>
    <m/>
    <m/>
    <n v="118.15"/>
    <m/>
    <s v="62955505182176118,15"/>
    <e v="#N/A"/>
    <x v="2"/>
    <n v="0"/>
    <n v="-118.15"/>
    <m/>
  </r>
  <r>
    <x v="1"/>
    <s v="10/41548-9"/>
    <n v="67996687077"/>
    <n v="62955505269026"/>
    <s v="energisa_ms"/>
    <s v="Igreja do Evangelho Quadrangular"/>
    <d v="2025-06-01T00:00:00"/>
    <s v="10/1266128-645870"/>
    <s v="SIM"/>
    <n v="158"/>
    <n v="266.93333333333334"/>
    <n v="229.591095111317"/>
    <s v="Aprovado"/>
    <n v="157.39333333333335"/>
    <n v="118.05"/>
    <d v="2025-07-22T00:00:00"/>
    <d v="2025-08-02T00:00:00"/>
    <n v="118.05"/>
    <m/>
    <s v="62955505269026118,05"/>
    <s v="09/00012472791-6"/>
    <x v="1"/>
    <n v="157.39333333333335"/>
    <n v="39.343333333333348"/>
    <d v="2025-11-12T00:00:00"/>
  </r>
  <r>
    <x v="3"/>
    <s v="10/384823-1"/>
    <n v="67999159477"/>
    <n v="62955505000167"/>
    <s v="energisa_ms"/>
    <s v="Igreja do Evangelho Quadrangular"/>
    <d v="2025-03-01T00:00:00"/>
    <s v="10/3123706-845870"/>
    <s v="SIM"/>
    <n v="141"/>
    <n v="191.59"/>
    <n v="152.24250000000001"/>
    <s v="Aprovado"/>
    <n v="157.38999999999999"/>
    <n v="118.04"/>
    <m/>
    <m/>
    <n v="118.04"/>
    <m/>
    <s v="62955505000167118,04"/>
    <m/>
    <x v="1"/>
    <n v="118.04"/>
    <n v="0"/>
    <m/>
  </r>
  <r>
    <x v="0"/>
    <s v="10/3092868-3"/>
    <s v=" 67 91285460"/>
    <n v="62955505419443"/>
    <s v="energisa_ms"/>
    <s v="Igreja do Evangelho Quadrangular"/>
    <d v="2025-07-01T00:00:00"/>
    <s v="10/69319-245870"/>
    <s v="SIM"/>
    <n v="130"/>
    <n v="267.49599999999998"/>
    <n v="232.81163759999998"/>
    <s v="Aprovado"/>
    <n v="152.14600000000002"/>
    <n v="117.46"/>
    <d v="2025-09-10T00:00:00"/>
    <d v="2025-09-20T00:00:00"/>
    <n v="117.46"/>
    <m/>
    <s v="62955505419443117,46"/>
    <s v="09/00012683480-1"/>
    <x v="1"/>
    <n v="117.46"/>
    <n v="0"/>
    <m/>
  </r>
  <r>
    <x v="0"/>
    <s v="10/1288241-1"/>
    <n v="67991133770"/>
    <n v="62955505335851"/>
    <s v="energisa_ms"/>
    <s v="Igreja do Evangelho Quadrangular"/>
    <d v="2025-10-01T00:00:00"/>
    <s v="10/113971-645778"/>
    <s v="SIM"/>
    <n v="151"/>
    <n v="334.66572649572646"/>
    <n v="289.10997164282008"/>
    <s v="Aprovado"/>
    <n v="162.88572649572649"/>
    <n v="117.33"/>
    <d v="2025-11-06T00:00:00"/>
    <d v="2025-11-13T00:00:00"/>
    <n v="117.33"/>
    <m/>
    <s v="62955505335851117,33"/>
    <s v="09/00013026914-3"/>
    <x v="1"/>
    <n v="117.33"/>
    <n v="0"/>
    <m/>
  </r>
  <r>
    <x v="0"/>
    <s v="10/501586-2"/>
    <s v="67 92480766"/>
    <n v="62955505273058"/>
    <s v="energisa_ms"/>
    <s v="Igreja do Evangelho Quadrangular"/>
    <d v="2025-04-01T00:00:00"/>
    <s v="10/1184751-445778"/>
    <s v="SIM"/>
    <n v="142"/>
    <n v="267.89999999999998"/>
    <n v="228.84249999999997"/>
    <s v="Aprovado"/>
    <n v="156.22999999999999"/>
    <n v="117.17"/>
    <m/>
    <m/>
    <n v="117.17"/>
    <m/>
    <s v="62955505273058117,17"/>
    <m/>
    <x v="1"/>
    <n v="117.17"/>
    <n v="0"/>
    <m/>
  </r>
  <r>
    <x v="0"/>
    <s v="10/260761-2"/>
    <n v="67996150274"/>
    <n v="62955505000167"/>
    <s v="energisa_ms"/>
    <s v="Igreja do Evangelho Quadrangular"/>
    <d v="2025-10-01T00:00:00"/>
    <s v="10/1674177-945717"/>
    <s v="SIM"/>
    <n v="153"/>
    <n v="616.46570909090906"/>
    <n v="571.02462759079503"/>
    <s v="Aprovado"/>
    <n v="162.47570909090911"/>
    <n v="117.03"/>
    <d v="2025-11-06T00:00:00"/>
    <d v="2025-11-13T00:00:00"/>
    <n v="117.03"/>
    <m/>
    <s v="62955505000167117,03"/>
    <s v="09/00013026866-5"/>
    <x v="1"/>
    <n v="117.03"/>
    <n v="0"/>
    <m/>
  </r>
  <r>
    <x v="0"/>
    <s v="10/3123706-8"/>
    <n v="67999516782"/>
    <n v="62955505375721"/>
    <s v="energisa_ms"/>
    <s v="Igreja do Evangelho Quadrangular"/>
    <d v="2025-05-01T00:00:00"/>
    <s v="10/29964-445839"/>
    <s v="SIM"/>
    <n v="158"/>
    <n v="465.41781725888325"/>
    <n v="426.54086294416243"/>
    <s v="Aprovado"/>
    <n v="155.50781725888328"/>
    <n v="116.63"/>
    <m/>
    <m/>
    <n v="116.63"/>
    <m/>
    <s v="62955505375721116,63"/>
    <m/>
    <x v="1"/>
    <n v="116.63"/>
    <n v="0"/>
    <d v="2025-08-28T00:00:00"/>
  </r>
  <r>
    <x v="1"/>
    <s v="10/3040565-8"/>
    <n v="67996135721"/>
    <n v="62955505015431"/>
    <s v="energisa_ms"/>
    <s v="Igreja do Evangelho Quadrangular"/>
    <d v="2025-05-01T00:00:00"/>
    <s v="10/24514-245658"/>
    <s v="SIM"/>
    <n v="158"/>
    <n v="414.06215686274504"/>
    <n v="375.22911764705879"/>
    <s v="Aprovado"/>
    <n v="155.33215686274511"/>
    <n v="116.5"/>
    <m/>
    <m/>
    <n v="116.5"/>
    <m/>
    <s v="62955505015431116,5"/>
    <m/>
    <x v="1"/>
    <n v="155.33000000000001"/>
    <n v="0"/>
    <d v="2025-11-07T00:00:00"/>
  </r>
  <r>
    <x v="1"/>
    <s v="10/129490-9"/>
    <s v=","/>
    <n v="62955505405140"/>
    <s v="energisa_ms"/>
    <s v="Igreja do Evangelho Quadrangular"/>
    <d v="2025-05-01T00:00:00"/>
    <s v="10/280638-845658"/>
    <s v="SIM"/>
    <n v="158"/>
    <n v="316.41021276595745"/>
    <n v="277.60765957446807"/>
    <s v="Aprovado"/>
    <n v="155.21021276595749"/>
    <n v="116.41"/>
    <m/>
    <m/>
    <n v="116.41"/>
    <m/>
    <s v="62955505405140116,41"/>
    <m/>
    <x v="1"/>
    <n v="116.41"/>
    <n v="0"/>
    <m/>
  </r>
  <r>
    <x v="0"/>
    <s v="10/280638-8"/>
    <s v="67 81355403"/>
    <n v="62955505843253"/>
    <s v="energisa_ms"/>
    <s v="Igreja do Evangelho Quadrangular"/>
    <d v="2025-05-01T00:00:00"/>
    <s v="10/3092868-345870"/>
    <s v="SIM"/>
    <n v="158"/>
    <n v="411.62679999999995"/>
    <n v="372.94509999999991"/>
    <s v="Aprovado"/>
    <n v="154.72680000000003"/>
    <n v="116.05"/>
    <m/>
    <m/>
    <n v="116.05"/>
    <m/>
    <s v="62955505843253116,05"/>
    <m/>
    <x v="1"/>
    <n v="116.05"/>
    <n v="0"/>
    <m/>
  </r>
  <r>
    <x v="0"/>
    <s v="10/3092868-3"/>
    <n v="0"/>
    <n v="62955505419443"/>
    <s v="energisa_ms"/>
    <s v="Igreja do Evangelho Quadrangular"/>
    <d v="2025-08-01T00:00:00"/>
    <s v="10/987178-145717"/>
    <s v="SIM"/>
    <n v="127"/>
    <n v="267.9289"/>
    <n v="234.05984932365962"/>
    <s v="Aprovado"/>
    <n v="149.88889999999998"/>
    <n v="116.02"/>
    <d v="2025-09-10T00:00:00"/>
    <d v="2025-09-20T00:00:00"/>
    <n v="116.02"/>
    <m/>
    <s v="62955505419443116,02"/>
    <s v="09/00012749646-9"/>
    <x v="1"/>
    <n v="116.02"/>
    <n v="0"/>
    <m/>
  </r>
  <r>
    <x v="0"/>
    <s v="10/435964-2"/>
    <n v="0"/>
    <n v="62955505357405"/>
    <s v="energisa_ms"/>
    <s v="Igreja do Evangelho Quadrangular"/>
    <d v="2025-08-01T00:00:00"/>
    <s v="10/1266128-645809"/>
    <s v="SIM"/>
    <n v="147"/>
    <n v="261.81763157894733"/>
    <n v="228.0302134882113"/>
    <s v="Aprovado"/>
    <n v="149.52763157894734"/>
    <n v="115.74"/>
    <d v="2025-09-10T00:00:00"/>
    <d v="2025-09-20T00:00:00"/>
    <n v="115.74"/>
    <m/>
    <s v="62955505357405115,74"/>
    <s v="09/00012749685-7"/>
    <x v="1"/>
    <n v="115.74"/>
    <n v="0"/>
    <m/>
  </r>
  <r>
    <x v="0"/>
    <s v="10/113971-6"/>
    <n v="67996575782"/>
    <n v="62955505015601"/>
    <s v="energisa_ms"/>
    <s v="Igreja do Evangelho Quadrangular"/>
    <d v="2025-02-01T00:00:00"/>
    <s v="10/61344-845870"/>
    <s v="SIM"/>
    <n v="138"/>
    <n v="394.65000000000003"/>
    <n v="356.14000000000004"/>
    <s v="Aprovado"/>
    <n v="154.04"/>
    <n v="115.53"/>
    <m/>
    <m/>
    <n v="115.53"/>
    <m/>
    <s v="62955505015601115,53"/>
    <m/>
    <x v="1"/>
    <n v="115.53"/>
    <n v="0"/>
    <m/>
  </r>
  <r>
    <x v="0"/>
    <s v="10/252817-2"/>
    <n v="0"/>
    <n v="62955505274020"/>
    <s v="energisa_ms"/>
    <s v="Igreja do Evangelho Quadrangular"/>
    <d v="2025-09-01T00:00:00"/>
    <s v="10/3040565-845689"/>
    <s v="SIM"/>
    <n v="149"/>
    <n v="317.80157894736845"/>
    <n v="275.73359098511708"/>
    <s v="Aprovado"/>
    <n v="156.63157894736841"/>
    <n v="114.56"/>
    <d v="2025-10-03T00:00:00"/>
    <d v="2025-10-13T00:00:00"/>
    <n v="114.56"/>
    <m/>
    <s v="62955505274020114,56"/>
    <s v="09/00012851534-1"/>
    <x v="1"/>
    <n v="114.56"/>
    <n v="0"/>
    <m/>
  </r>
  <r>
    <x v="0"/>
    <s v="10/1184751-4"/>
    <s v="67 96034976"/>
    <n v="62955505149047"/>
    <s v="energisa_ms"/>
    <s v="Igreja do Evangelho Quadrangular"/>
    <d v="2025-07-01T00:00:00"/>
    <s v="10/162736-345901"/>
    <s v="SIM"/>
    <n v="124"/>
    <n v="399.12499999999994"/>
    <n v="366.04207899999994"/>
    <s v="Aprovado"/>
    <n v="147.51500000000001"/>
    <n v="114.43"/>
    <d v="2025-09-10T00:00:00"/>
    <d v="2025-09-20T00:00:00"/>
    <n v="114.43"/>
    <m/>
    <s v="62955505149047114,43"/>
    <s v="09/00012683489-2"/>
    <x v="1"/>
    <n v="114.43"/>
    <n v="0"/>
    <m/>
  </r>
  <r>
    <x v="1"/>
    <s v="10/109074-5"/>
    <s v="67 91751433"/>
    <n v="62955505000167"/>
    <s v="energisa_ms"/>
    <s v="Igreja do Evangelho Quadrangular"/>
    <d v="2025-01-01T00:00:00"/>
    <s v="10/2605731-545778"/>
    <s v="SIM"/>
    <n v="136"/>
    <n v="261.89999999999998"/>
    <n v="223.94749999999996"/>
    <s v="Aprovado"/>
    <n v="151.81"/>
    <n v="113.86"/>
    <m/>
    <m/>
    <n v="113.86"/>
    <m/>
    <s v="62955505000167113,86"/>
    <m/>
    <x v="1"/>
    <n v="113.86"/>
    <n v="0"/>
    <m/>
  </r>
  <r>
    <x v="1"/>
    <s v="10/41548-9"/>
    <n v="67996687077"/>
    <n v="62955505269026"/>
    <s v="energisa_ms"/>
    <s v="Igreja do Evangelho Quadrangular"/>
    <d v="2025-01-01T00:00:00"/>
    <s v="10/489076-045931"/>
    <s v="SIM"/>
    <n v="136"/>
    <n v="429.28"/>
    <n v="391.32749999999999"/>
    <s v="Aprovado"/>
    <n v="151.81"/>
    <n v="113.86"/>
    <m/>
    <m/>
    <n v="113.86"/>
    <m/>
    <s v="62955505269026113,86"/>
    <m/>
    <x v="1"/>
    <n v="113.86"/>
    <n v="0"/>
    <m/>
  </r>
  <r>
    <x v="0"/>
    <s v="10/395471-6"/>
    <n v="67992876000"/>
    <n v="62955505248886"/>
    <s v="energisa_ms"/>
    <s v="Igreja do Evangelho Quadrangular"/>
    <d v="2025-07-01T00:00:00"/>
    <s v="10/1266128-645839"/>
    <s v="SIM"/>
    <n v="144"/>
    <n v="261.27947368421059"/>
    <n v="228.04182842105266"/>
    <s v="Aprovado"/>
    <n v="146.93947368421055"/>
    <n v="113.7"/>
    <d v="2025-09-10T00:00:00"/>
    <d v="2025-09-20T00:00:00"/>
    <n v="113.7"/>
    <m/>
    <s v="62955505248886113,7"/>
    <s v="09/00012683525-3"/>
    <x v="1"/>
    <n v="113.7"/>
    <n v="0"/>
    <m/>
  </r>
  <r>
    <x v="1"/>
    <s v="10/226667-4"/>
    <n v="67992637973"/>
    <n v="62955505040894"/>
    <s v="energisa_ms"/>
    <s v="Igreja do Evangelho Quadrangular"/>
    <d v="2025-01-01T00:00:00"/>
    <s v="10/61344-845717"/>
    <s v="SIM"/>
    <n v="135"/>
    <n v="249.4"/>
    <n v="211.72750000000002"/>
    <s v="Aprovado"/>
    <n v="150.69"/>
    <n v="113.02"/>
    <m/>
    <m/>
    <n v="113.02"/>
    <m/>
    <s v="62955505040894113,02"/>
    <m/>
    <x v="1"/>
    <n v="113.02"/>
    <n v="0"/>
    <m/>
  </r>
  <r>
    <x v="0"/>
    <s v="10/513413-5"/>
    <s v="Solicitação de distrato"/>
    <n v="62955505321630"/>
    <s v="energisa_ms"/>
    <s v="Igreja do Evangelho Quadrangular"/>
    <d v="2025-08-01T00:00:00"/>
    <s v="10/31292-645689"/>
    <s v="SIM"/>
    <n v="124"/>
    <n v="303.54720000000003"/>
    <n v="270.97780939705473"/>
    <s v="Aprovado"/>
    <n v="144.13720000000001"/>
    <n v="111.57"/>
    <d v="2025-09-10T00:00:00"/>
    <d v="2025-09-20T00:00:00"/>
    <n v="111.57"/>
    <m/>
    <s v="62955505321630111,57"/>
    <s v="09/00012749644-4"/>
    <x v="1"/>
    <n v="111.57"/>
    <n v="0"/>
    <m/>
  </r>
  <r>
    <x v="0"/>
    <s v="10/513413-5"/>
    <s v="Solicitação de distrato"/>
    <n v="62955505321630"/>
    <s v="energisa_ms"/>
    <s v="Igreja do Evangelho Quadrangular"/>
    <d v="2025-09-01T00:00:00"/>
    <s v="10/452884-045627"/>
    <s v="SIM"/>
    <n v="126"/>
    <n v="316.18440000000004"/>
    <n v="275.30546032492202"/>
    <s v="Aprovado"/>
    <n v="152.20439999999999"/>
    <n v="111.33"/>
    <d v="2025-10-03T00:00:00"/>
    <d v="2025-10-13T00:00:00"/>
    <n v="111.33"/>
    <m/>
    <s v="62955505321630111,33"/>
    <s v="09/00012851406-2"/>
    <x v="1"/>
    <n v="111.33"/>
    <n v="0"/>
    <m/>
  </r>
  <r>
    <x v="0"/>
    <s v="10/276283-9"/>
    <s v="46 999066691"/>
    <n v="62955505088404"/>
    <s v="energisa_ms"/>
    <s v="Igreja do Evangelho Quadrangular"/>
    <d v="2025-06-01T00:00:00"/>
    <s v="10/191945-545717"/>
    <s v="SIM"/>
    <n v="126"/>
    <n v="309.40160000000003"/>
    <n v="274.18557115374409"/>
    <s v="Aprovado"/>
    <n v="148.43160000000003"/>
    <n v="111.32"/>
    <d v="2025-07-22T00:00:00"/>
    <d v="2025-08-02T00:00:00"/>
    <n v="111.32"/>
    <m/>
    <s v="62955505088404111,32"/>
    <s v="09/00012472745-2"/>
    <x v="1"/>
    <n v="148.43"/>
    <n v="37.110000000000014"/>
    <d v="2025-10-07T00:00:00"/>
  </r>
  <r>
    <x v="0"/>
    <s v="10/435964-2"/>
    <n v="67992021114"/>
    <n v="62955505357405"/>
    <s v="energisa_ms"/>
    <s v="Igreja do Evangelho Quadrangular"/>
    <d v="2025-07-01T00:00:00"/>
    <s v="10/13786-945809"/>
    <s v="SIM"/>
    <n v="142"/>
    <n v="253.56684210526316"/>
    <n v="220.7863065263158"/>
    <s v="Aprovado"/>
    <n v="143.89684210526315"/>
    <n v="111.12"/>
    <d v="2025-09-10T00:00:00"/>
    <d v="2025-09-20T00:00:00"/>
    <n v="111.12"/>
    <m/>
    <s v="62955505357405111,12"/>
    <s v="09/00012683512-1"/>
    <x v="1"/>
    <n v="143.9"/>
    <n v="0"/>
    <d v="2025-11-06T00:00:00"/>
  </r>
  <r>
    <x v="3"/>
    <s v="10/384823-1"/>
    <n v="67999159477"/>
    <n v="62955505000167"/>
    <s v="energisa_ms"/>
    <s v="Igreja do Evangelho Quadrangular"/>
    <d v="2025-06-01T00:00:00"/>
    <s v="10/513413-545839"/>
    <s v="SIM"/>
    <n v="135"/>
    <n v="180.72499999999999"/>
    <n v="145.79998722433024"/>
    <s v="Aprovado"/>
    <n v="147.20499999999998"/>
    <n v="110.4"/>
    <d v="2025-07-22T00:00:00"/>
    <d v="2025-08-02T00:00:00"/>
    <n v="110.4"/>
    <m/>
    <s v="62955505000167110,4"/>
    <s v="09/00012472763-5"/>
    <x v="1"/>
    <n v="110.4"/>
    <n v="0"/>
    <s v="04/08/2025"/>
  </r>
  <r>
    <x v="0"/>
    <s v="10/532081-7"/>
    <s v="67 992321318"/>
    <n v="62955505193534"/>
    <s v="energisa_ms"/>
    <s v="Igreja do Evangelho Quadrangular"/>
    <d v="2025-10-01T00:00:00"/>
    <s v="10/3040565-845809"/>
    <s v="SIM"/>
    <n v="153"/>
    <n v="372.65989999999999"/>
    <n v="320.18091691827402"/>
    <s v="Aprovado"/>
    <n v="187.63990000000001"/>
    <n v="134.26"/>
    <d v="2025-11-06T00:00:00"/>
    <d v="2025-11-13T00:00:00"/>
    <n v="134.26"/>
    <m/>
    <s v="62955505193534134,26"/>
    <s v="09/00013026962-2"/>
    <x v="2"/>
    <m/>
    <n v="0"/>
    <m/>
  </r>
  <r>
    <x v="0"/>
    <s v="10/532081-7"/>
    <s v="67 992321318"/>
    <n v="62955505193534"/>
    <s v="energisa_ms"/>
    <s v="Igreja do Evangelho Quadrangular"/>
    <d v="2025-06-01T00:00:00"/>
    <s v="10/466560-045748"/>
    <s v="SIM"/>
    <n v="125"/>
    <n v="308.94250000000005"/>
    <n v="274.53766718092584"/>
    <s v="Aprovado"/>
    <n v="145.01250000000002"/>
    <n v="108.76"/>
    <d v="2025-07-22T00:00:00"/>
    <d v="2025-08-02T00:00:00"/>
    <n v="108.76"/>
    <m/>
    <s v="62955505193534108,76"/>
    <s v="09/00012472748-6"/>
    <x v="1"/>
    <n v="108.76"/>
    <n v="0"/>
    <s v="31/07/2025"/>
  </r>
  <r>
    <x v="0"/>
    <s v="10/1433087-2"/>
    <s v=" 67 91285460"/>
    <n v="62955505419443"/>
    <s v="energisa_ms"/>
    <s v="Igreja do Evangelho Quadrangular"/>
    <d v="2025-04-01T00:00:00"/>
    <s v="10/511753-645658"/>
    <s v="SIM"/>
    <n v="129"/>
    <n v="354.24"/>
    <n v="318.15250000000003"/>
    <s v="Aprovado"/>
    <n v="144.35"/>
    <n v="108.26"/>
    <m/>
    <m/>
    <n v="108.26"/>
    <m/>
    <s v="62955505419443108,26"/>
    <m/>
    <x v="1"/>
    <n v="108.26"/>
    <n v="0"/>
    <m/>
  </r>
  <r>
    <x v="1"/>
    <s v="10/466560-0"/>
    <n v="67998302932"/>
    <n v="62955505015512"/>
    <s v="energisa_ms"/>
    <s v="Igreja do Evangelho Quadrangular"/>
    <d v="2025-01-01T00:00:00"/>
    <s v="10/18015-845717"/>
    <s v="SIM"/>
    <n v="129"/>
    <n v="251.48999999999998"/>
    <n v="215.49250000000001"/>
    <s v="Aprovado"/>
    <n v="143.99"/>
    <n v="107.99"/>
    <m/>
    <m/>
    <n v="107.99"/>
    <m/>
    <s v="62955505015512107,99"/>
    <m/>
    <x v="1"/>
    <n v="107.99"/>
    <n v="0"/>
    <m/>
  </r>
  <r>
    <x v="1"/>
    <s v="10/466560-0"/>
    <n v="67998302932"/>
    <n v="62955505015512"/>
    <s v="energisa_ms"/>
    <s v="Igreja do Evangelho Quadrangular"/>
    <d v="2025-10-01T00:00:00"/>
    <s v="10/2344751-945748"/>
    <s v="SIM"/>
    <n v="171"/>
    <n v="329.94940000000003"/>
    <n v="278.65080311596671"/>
    <s v="Aprovado"/>
    <n v="183.41939999999997"/>
    <n v="132.12"/>
    <d v="2025-11-06T00:00:00"/>
    <d v="2025-11-13T00:00:00"/>
    <n v="132.12"/>
    <m/>
    <s v="62955505015512132,12"/>
    <s v="09/00013026910-1"/>
    <x v="1"/>
    <n v="183.42"/>
    <n v="0"/>
    <d v="2025-12-08T00:00:00"/>
  </r>
  <r>
    <x v="1"/>
    <s v="10/218777-1"/>
    <n v="67999031330"/>
    <n v="62955505017051"/>
    <s v="energisa_ms"/>
    <s v="Igreja do Evangelho Quadrangular"/>
    <d v="2025-02-01T00:00:00"/>
    <s v="10/191945-545809"/>
    <s v="SIM"/>
    <n v="129"/>
    <n v="221.25999999999996"/>
    <n v="185.43973790322579"/>
    <s v="Aprovado"/>
    <n v="143.28104838709677"/>
    <n v="107.46"/>
    <m/>
    <m/>
    <n v="107.46"/>
    <m/>
    <s v="62955505017051107,46"/>
    <m/>
    <x v="1"/>
    <n v="107.46"/>
    <n v="0"/>
    <m/>
  </r>
  <r>
    <x v="0"/>
    <s v="10/29964-4"/>
    <n v="67996266684"/>
    <n v="62955505067660"/>
    <s v="energisa_ms"/>
    <s v="Igreja do Evangelho Quadrangular"/>
    <d v="2025-07-01T00:00:00"/>
    <s v="10/1698130-045870"/>
    <s v="SIM"/>
    <n v="115"/>
    <n v="252.67449999999999"/>
    <n v="221.99121769999999"/>
    <s v="Aprovado"/>
    <n v="138.02450000000002"/>
    <n v="107.34"/>
    <d v="2025-09-10T00:00:00"/>
    <d v="2025-09-20T00:00:00"/>
    <n v="107.34"/>
    <m/>
    <s v="62955505067660107,34"/>
    <s v="09/00012683477-7"/>
    <x v="1"/>
    <n v="107.34"/>
    <n v="0"/>
    <m/>
  </r>
  <r>
    <x v="0"/>
    <s v="10/280638-8"/>
    <s v="67 81355403"/>
    <n v="62955505843253"/>
    <s v="energisa_ms"/>
    <s v="Igreja do Evangelho Quadrangular"/>
    <d v="2025-01-01T00:00:00"/>
    <s v="10/2605731-545809"/>
    <s v="SIM"/>
    <n v="143"/>
    <n v="468.79999999999995"/>
    <n v="433.27749999999992"/>
    <s v="Aprovado"/>
    <n v="142.09000000000003"/>
    <n v="106.57"/>
    <m/>
    <m/>
    <n v="106.57"/>
    <m/>
    <s v="62955505843253106,57"/>
    <m/>
    <x v="1"/>
    <n v="106.57"/>
    <n v="0"/>
    <m/>
  </r>
  <r>
    <x v="3"/>
    <s v="10/150263-2"/>
    <n v="67992337953"/>
    <n v="62955505091456"/>
    <s v="energisa_ms"/>
    <s v="Igreja do Evangelho Quadrangular"/>
    <d v="2025-04-01T00:00:00"/>
    <s v="10/931327-145870"/>
    <s v="SIM"/>
    <n v="126"/>
    <n v="228.12"/>
    <n v="192.79250000000002"/>
    <s v="Aprovado"/>
    <n v="141.31"/>
    <n v="105.98"/>
    <m/>
    <m/>
    <n v="105.98"/>
    <m/>
    <s v="62955505091456105,98"/>
    <m/>
    <x v="3"/>
    <n v="0"/>
    <n v="-105.98"/>
    <m/>
  </r>
  <r>
    <x v="0"/>
    <s v="10/113971-6"/>
    <n v="67996575782"/>
    <n v="62955505015601"/>
    <s v="energisa_ms"/>
    <s v="Igreja do Evangelho Quadrangular"/>
    <d v="2025-03-01T00:00:00"/>
    <s v="10/142353-245839"/>
    <s v="SIM"/>
    <n v="126"/>
    <n v="472.24"/>
    <n v="437.08000000000004"/>
    <s v="Aprovado"/>
    <n v="140.63999999999999"/>
    <n v="105.48"/>
    <m/>
    <m/>
    <n v="105.48"/>
    <m/>
    <s v="62955505015601105,48"/>
    <m/>
    <x v="1"/>
    <n v="105.48"/>
    <n v="0"/>
    <m/>
  </r>
  <r>
    <x v="0"/>
    <s v="10/81222-2"/>
    <s v="67 992491551"/>
    <n v="62955505015946"/>
    <s v="energisa_ms"/>
    <s v="Igreja do Evangelho Quadrangular"/>
    <d v="2025-07-01T00:00:00"/>
    <s v="10/1117293-945689"/>
    <s v="SIM"/>
    <n v="132"/>
    <n v="271.99923076923073"/>
    <n v="241.53049923076924"/>
    <s v="Aprovado"/>
    <n v="135.92923076923077"/>
    <n v="105.46"/>
    <d v="2025-09-10T00:00:00"/>
    <d v="2025-09-20T00:00:00"/>
    <n v="105.46"/>
    <m/>
    <s v="62955505015946105,46"/>
    <s v="09/00012683498-3"/>
    <x v="1"/>
    <n v="105.46"/>
    <n v="0"/>
    <m/>
  </r>
  <r>
    <x v="3"/>
    <s v="10/1548741-6"/>
    <s v="67 81355403"/>
    <n v="62955505084751"/>
    <s v="energisa_ms"/>
    <s v="Igreja do Evangelho Quadrangular"/>
    <d v="2025-05-01T00:00:00"/>
    <s v="10/501586-245778"/>
    <s v="SIM"/>
    <n v="127"/>
    <n v="236.03576923076923"/>
    <n v="200.91182692307694"/>
    <s v="Aprovado"/>
    <n v="140.49576923076924"/>
    <n v="105.37"/>
    <m/>
    <m/>
    <n v="105.37"/>
    <m/>
    <s v="62955505084751105,37"/>
    <m/>
    <x v="1"/>
    <n v="105.37"/>
    <n v="0"/>
    <m/>
  </r>
  <r>
    <x v="0"/>
    <s v="10/2794432-1"/>
    <n v="67991162146"/>
    <n v="62955505015199"/>
    <s v="energisa_ms"/>
    <s v="Igreja do Evangelho Quadrangular"/>
    <d v="2025-02-01T00:00:00"/>
    <s v="10/1081489-545870"/>
    <s v="SIM"/>
    <n v="144"/>
    <n v="542.72"/>
    <n v="507.65250000000003"/>
    <s v="Aprovado"/>
    <n v="140.26999999999998"/>
    <n v="105.2"/>
    <m/>
    <m/>
    <n v="105.2"/>
    <m/>
    <s v="62955505015199105,2"/>
    <m/>
    <x v="1"/>
    <n v="105.2"/>
    <n v="0"/>
    <m/>
  </r>
  <r>
    <x v="0"/>
    <s v="10/113971-6"/>
    <s v="Solicitação de distrato"/>
    <n v="62955505015601"/>
    <s v="energisa_ms"/>
    <s v="Igreja do Evangelho Quadrangular"/>
    <d v="2025-09-01T00:00:00"/>
    <s v="10/150263-245627"/>
    <s v="SIM"/>
    <n v="117"/>
    <n v="290.17149999999998"/>
    <n v="252.21010957971623"/>
    <s v="Aprovado"/>
    <n v="141.34149999999997"/>
    <n v="103.38"/>
    <d v="2025-10-03T00:00:00"/>
    <d v="2025-10-13T00:00:00"/>
    <n v="103.38"/>
    <m/>
    <s v="62955505015601103,38"/>
    <s v="09/00012851417-9"/>
    <x v="1"/>
    <n v="103.38"/>
    <n v="0"/>
    <m/>
  </r>
  <r>
    <x v="3"/>
    <s v="10/384823-1"/>
    <n v="67999159477"/>
    <n v="62955505000167"/>
    <s v="energisa_ms"/>
    <s v="Igreja do Evangelho Quadrangular"/>
    <d v="2025-05-01T00:00:00"/>
    <s v="10/480529-745809"/>
    <s v="SIM"/>
    <n v="130"/>
    <n v="169.36500000000004"/>
    <n v="134.98375000000004"/>
    <s v="Aprovado"/>
    <n v="137.52500000000001"/>
    <n v="103.14"/>
    <m/>
    <m/>
    <n v="103.14"/>
    <m/>
    <s v="62955505000167103,14"/>
    <m/>
    <x v="1"/>
    <n v="137.53"/>
    <n v="34.39"/>
    <d v="2025-09-17T00:00:00"/>
  </r>
  <r>
    <x v="0"/>
    <s v="10/113971-6"/>
    <n v="67996575782"/>
    <n v="62955505015601"/>
    <s v="energisa_ms"/>
    <s v="Igreja do Evangelho Quadrangular"/>
    <d v="2025-01-01T00:00:00"/>
    <s v="10/202838-945931"/>
    <s v="SIM"/>
    <n v="123"/>
    <n v="310.16000000000003"/>
    <n v="275.83500000000004"/>
    <s v="Aprovado"/>
    <n v="137.30000000000001"/>
    <n v="102.98"/>
    <m/>
    <m/>
    <n v="102.98"/>
    <m/>
    <s v="62955505015601102,98"/>
    <m/>
    <x v="1"/>
    <n v="102.98"/>
    <n v="0"/>
    <m/>
  </r>
  <r>
    <x v="3"/>
    <s v="10/1548741-6"/>
    <s v="67 81355403"/>
    <n v="62955505084751"/>
    <s v="energisa_ms"/>
    <s v="Igreja do Evangelho Quadrangular"/>
    <d v="2025-03-01T00:00:00"/>
    <s v="10/931327-145748"/>
    <s v="SIM"/>
    <n v="123"/>
    <n v="233.75"/>
    <n v="199.42750000000001"/>
    <s v="Aprovado"/>
    <n v="137.29"/>
    <n v="102.97"/>
    <m/>
    <m/>
    <n v="102.97"/>
    <m/>
    <s v="62955505084751102,97"/>
    <m/>
    <x v="1"/>
    <n v="102.97"/>
    <n v="0"/>
    <m/>
  </r>
  <r>
    <x v="1"/>
    <s v="10/218777-1"/>
    <n v="67999031330"/>
    <n v="62955505017051"/>
    <s v="energisa_ms"/>
    <s v="Igreja do Evangelho Quadrangular"/>
    <d v="2025-04-01T00:00:00"/>
    <s v="10/1698130-045931"/>
    <s v="SIM"/>
    <n v="132"/>
    <n v="212.32999999999998"/>
    <n v="178.01749999999998"/>
    <s v="Aprovado"/>
    <n v="137.25"/>
    <n v="102.94"/>
    <m/>
    <m/>
    <n v="102.94"/>
    <m/>
    <s v="62955505017051102,94"/>
    <m/>
    <x v="1"/>
    <n v="102.94"/>
    <n v="0"/>
    <m/>
  </r>
  <r>
    <x v="0"/>
    <s v="10/1674177-9"/>
    <s v="67 993047635"/>
    <n v="62955505016160"/>
    <s v="energisa_ms"/>
    <s v="Igreja do Evangelho Quadrangular"/>
    <d v="2025-01-01T00:00:00"/>
    <s v="10/925970-645748"/>
    <s v="SIM"/>
    <n v="136"/>
    <n v="622.14"/>
    <n v="587.85249999999996"/>
    <s v="Aprovado"/>
    <n v="137.14999999999998"/>
    <n v="102.86"/>
    <m/>
    <m/>
    <n v="102.86"/>
    <m/>
    <s v="62955505016160102,86"/>
    <m/>
    <x v="1"/>
    <n v="102.86"/>
    <n v="0"/>
    <m/>
  </r>
  <r>
    <x v="1"/>
    <s v="10/239312-2"/>
    <n v="67996711972"/>
    <n v="62955505016594"/>
    <s v="energisa_ms"/>
    <s v="Igreja do Evangelho Quadrangular"/>
    <d v="2025-01-01T00:00:00"/>
    <s v="10/3030784-745658"/>
    <s v="SIM"/>
    <n v="136"/>
    <n v="375.19"/>
    <n v="340.96"/>
    <s v="Aprovado"/>
    <n v="136.92000000000002"/>
    <n v="102.69"/>
    <m/>
    <m/>
    <n v="102.69"/>
    <m/>
    <s v="62955505016594102,69"/>
    <m/>
    <x v="1"/>
    <n v="102.69"/>
    <n v="0"/>
    <m/>
  </r>
  <r>
    <x v="0"/>
    <s v="10/24514-2"/>
    <n v="67996266684"/>
    <n v="62955505157066"/>
    <s v="energisa_ms"/>
    <s v="Igreja do Evangelho Quadrangular"/>
    <d v="2025-01-01T00:00:00"/>
    <s v="10/1081489-545931"/>
    <s v="SIM"/>
    <n v="136"/>
    <n v="344.10999999999996"/>
    <n v="309.88"/>
    <s v="Aprovado"/>
    <n v="136.92000000000002"/>
    <n v="102.69"/>
    <m/>
    <m/>
    <n v="102.69"/>
    <m/>
    <s v="62955505157066102,69"/>
    <m/>
    <x v="1"/>
    <n v="102.69"/>
    <n v="0"/>
    <m/>
  </r>
  <r>
    <x v="1"/>
    <s v="10/3125732-2"/>
    <n v="65999839279"/>
    <n v="62955505015512"/>
    <s v="energisa_ms"/>
    <s v="Igreja do Evangelho Quadrangular"/>
    <d v="2025-01-01T00:00:00"/>
    <s v="10/399338-345931"/>
    <s v="SIM"/>
    <n v="136"/>
    <n v="338.53000000000003"/>
    <n v="304.3"/>
    <s v="Aprovado"/>
    <n v="136.92000000000002"/>
    <n v="102.69"/>
    <m/>
    <m/>
    <n v="102.69"/>
    <m/>
    <s v="62955505015512102,69"/>
    <m/>
    <x v="1"/>
    <n v="102.69"/>
    <n v="0"/>
    <m/>
  </r>
  <r>
    <x v="0"/>
    <s v="10/480529-7"/>
    <n v="6796411024"/>
    <n v="62955505182257"/>
    <s v="energisa_ms"/>
    <s v="Igreja do Evangelho Quadrangular"/>
    <d v="2025-01-01T00:00:00"/>
    <s v="10/29964-445870"/>
    <s v="SIM"/>
    <n v="136"/>
    <n v="469.84"/>
    <n v="435.60999999999996"/>
    <s v="Aprovado"/>
    <n v="136.92000000000002"/>
    <n v="102.69"/>
    <m/>
    <m/>
    <n v="102.69"/>
    <m/>
    <s v="62955505182257102,69"/>
    <m/>
    <x v="1"/>
    <n v="102.69"/>
    <n v="0"/>
    <m/>
  </r>
  <r>
    <x v="0"/>
    <s v="10/63920-3"/>
    <n v="67981263396"/>
    <n v="62955505135500"/>
    <s v="energisa_ms"/>
    <s v="Igreja do Evangelho Quadrangular"/>
    <d v="2025-01-01T00:00:00"/>
    <s v="10/18015-845839"/>
    <s v="SIM"/>
    <n v="136"/>
    <n v="497.87000000000006"/>
    <n v="463.64000000000004"/>
    <s v="Aprovado"/>
    <n v="136.92000000000002"/>
    <n v="102.69"/>
    <m/>
    <m/>
    <n v="102.69"/>
    <m/>
    <s v="62955505135500102,69"/>
    <m/>
    <x v="1"/>
    <n v="102.69"/>
    <n v="0"/>
    <m/>
  </r>
  <r>
    <x v="0"/>
    <s v="10/78338-1"/>
    <s v="67 984742936"/>
    <n v="62955505016837"/>
    <s v="energisa_ms"/>
    <s v="Igreja do Evangelho Quadrangular"/>
    <d v="2025-01-01T00:00:00"/>
    <s v="10/2599101-945809"/>
    <s v="SIM"/>
    <n v="136"/>
    <n v="434.29"/>
    <n v="400.06"/>
    <s v="Aprovado"/>
    <n v="136.92000000000002"/>
    <n v="102.69"/>
    <m/>
    <m/>
    <n v="102.69"/>
    <m/>
    <s v="62955505016837102,69"/>
    <m/>
    <x v="1"/>
    <n v="102.69"/>
    <n v="0"/>
    <m/>
  </r>
  <r>
    <x v="1"/>
    <s v="10/341308-5"/>
    <n v="67993249456"/>
    <n v="62955505239119"/>
    <s v="energisa_ms"/>
    <s v="Igreja do Evangelho Quadrangular"/>
    <d v="2025-01-01T00:00:00"/>
    <s v="10/276283-945717"/>
    <s v="SIM"/>
    <n v="136"/>
    <n v="310.32"/>
    <n v="276.14499999999998"/>
    <s v="Aprovado"/>
    <n v="136.69999999999999"/>
    <n v="102.53"/>
    <m/>
    <m/>
    <n v="102.53"/>
    <m/>
    <s v="62955505239119102,53"/>
    <m/>
    <x v="1"/>
    <n v="102.53"/>
    <n v="0"/>
    <m/>
  </r>
  <r>
    <x v="0"/>
    <s v="10/72605-9"/>
    <n v="67996071169"/>
    <n v="62955505136492"/>
    <s v="energisa_ms"/>
    <s v="Igreja do Evangelho Quadrangular"/>
    <d v="2025-01-01T00:00:00"/>
    <s v="10/191945-545870"/>
    <s v="SIM"/>
    <n v="136"/>
    <n v="411.92"/>
    <n v="377.745"/>
    <s v="Aprovado"/>
    <n v="136.69999999999999"/>
    <n v="102.53"/>
    <m/>
    <m/>
    <n v="102.53"/>
    <m/>
    <s v="62955505136492102,53"/>
    <m/>
    <x v="1"/>
    <n v="102.53"/>
    <n v="0"/>
    <m/>
  </r>
  <r>
    <x v="1"/>
    <s v="10/13786-9"/>
    <n v="67996266684"/>
    <n v="62955505197521"/>
    <s v="energisa_ms"/>
    <s v="Igreja do Evangelho Quadrangular"/>
    <d v="2025-01-01T00:00:00"/>
    <s v="10/1695011-545870"/>
    <s v="SIM"/>
    <n v="136"/>
    <n v="351.62"/>
    <n v="317.72249999999997"/>
    <s v="Aprovado"/>
    <n v="135.59"/>
    <n v="101.69"/>
    <m/>
    <m/>
    <n v="101.69"/>
    <m/>
    <s v="62955505197521101,69"/>
    <m/>
    <x v="1"/>
    <n v="101.69"/>
    <n v="0"/>
    <m/>
  </r>
  <r>
    <x v="0"/>
    <s v="10/395471-6"/>
    <n v="67992876000"/>
    <n v="62955505248886"/>
    <s v="energisa_ms"/>
    <s v="Igreja do Evangelho Quadrangular"/>
    <d v="2025-01-01T00:00:00"/>
    <s v="10/399338-345748"/>
    <s v="SIM"/>
    <n v="136"/>
    <n v="504.55"/>
    <n v="470.65250000000003"/>
    <s v="Aprovado"/>
    <n v="135.59"/>
    <n v="101.69"/>
    <m/>
    <m/>
    <n v="101.69"/>
    <m/>
    <s v="62955505248886101,69"/>
    <m/>
    <x v="1"/>
    <n v="135.59"/>
    <n v="33.900000000000006"/>
    <d v="2025-09-29T00:00:00"/>
  </r>
  <r>
    <x v="0"/>
    <s v="10/156956-5"/>
    <n v="0"/>
    <n v="62955505015350"/>
    <s v="energisa_ms"/>
    <s v="Igreja do Evangelho Quadrangular"/>
    <d v="2025-09-01T00:00:00"/>
    <s v="10/3054052-045658"/>
    <s v="SIM"/>
    <n v="115"/>
    <n v="310.14249999999998"/>
    <n v="272.82811693086552"/>
    <s v="Aprovado"/>
    <n v="138.93249999999998"/>
    <n v="101.62"/>
    <d v="2025-10-03T00:00:00"/>
    <d v="2025-10-13T00:00:00"/>
    <n v="101.62"/>
    <m/>
    <s v="62955505015350101,62"/>
    <s v="09/00012851421-1"/>
    <x v="1"/>
    <n v="101.62"/>
    <n v="0"/>
    <m/>
  </r>
  <r>
    <x v="0"/>
    <s v="10/52987-5"/>
    <n v="67996983476"/>
    <n v="62955505182257"/>
    <s v="energisa_ms"/>
    <s v="Igreja do Evangelho Quadrangular"/>
    <d v="2025-01-01T00:00:00"/>
    <s v="10/532723-445717"/>
    <s v="SIM"/>
    <n v="136"/>
    <n v="469.41999999999996"/>
    <n v="435.57749999999999"/>
    <s v="Aprovado"/>
    <n v="135.37"/>
    <n v="101.53"/>
    <m/>
    <m/>
    <n v="101.53"/>
    <m/>
    <s v="62955505182257101,53"/>
    <m/>
    <x v="1"/>
    <n v="101.53"/>
    <n v="0"/>
    <m/>
  </r>
  <r>
    <x v="0"/>
    <s v="10/395471-6"/>
    <n v="0"/>
    <n v="62955505248886"/>
    <s v="energisa_ms"/>
    <s v="Igreja do Evangelho Quadrangular"/>
    <d v="2025-08-01T00:00:00"/>
    <s v="10/1672452-845627"/>
    <s v="SIM"/>
    <n v="128"/>
    <n v="246.12696202531649"/>
    <n v="216.6035799199563"/>
    <s v="Aprovado"/>
    <n v="130.65696202531649"/>
    <n v="101.13"/>
    <d v="2025-09-10T00:00:00"/>
    <d v="2025-09-20T00:00:00"/>
    <n v="101.13"/>
    <m/>
    <s v="62955505248886101,13"/>
    <s v="09/00012749706-1"/>
    <x v="1"/>
    <n v="130.66"/>
    <n v="29.53"/>
    <d v="2025-10-16T00:00:00"/>
  </r>
  <r>
    <x v="1"/>
    <s v="10/129490-9"/>
    <s v=","/>
    <n v="62955505405140"/>
    <s v="energisa_ms"/>
    <s v="Igreja do Evangelho Quadrangular"/>
    <d v="2025-01-01T00:00:00"/>
    <s v="10/202838-945870"/>
    <s v="SIM"/>
    <n v="136"/>
    <n v="345.72"/>
    <n v="312.02749999999997"/>
    <s v="Aprovado"/>
    <n v="134.77000000000001"/>
    <n v="101.08"/>
    <m/>
    <m/>
    <n v="101.08"/>
    <m/>
    <s v="62955505405140101,08"/>
    <m/>
    <x v="1"/>
    <n v="101.08"/>
    <n v="0"/>
    <m/>
  </r>
  <r>
    <x v="1"/>
    <s v="10/3040565-8"/>
    <n v="67996135721"/>
    <n v="62955505015431"/>
    <s v="energisa_ms"/>
    <s v="Igreja do Evangelho Quadrangular"/>
    <d v="2025-01-01T00:00:00"/>
    <s v="10/532081-745717"/>
    <s v="SIM"/>
    <n v="136"/>
    <n v="227.61999999999998"/>
    <n v="194.07"/>
    <s v="Aprovado"/>
    <n v="134.19999999999999"/>
    <n v="100.65"/>
    <m/>
    <m/>
    <n v="100.65"/>
    <m/>
    <s v="62955505015431100,65"/>
    <m/>
    <x v="1"/>
    <n v="100.65"/>
    <n v="0"/>
    <m/>
  </r>
  <r>
    <x v="0"/>
    <s v="10/987178-1"/>
    <n v="0"/>
    <n v="62955505015512"/>
    <s v="energisa_ms"/>
    <s v="Igreja do Evangelho Quadrangular"/>
    <d v="2025-08-01T00:00:00"/>
    <s v="10/1117293-945809"/>
    <s v="SIM"/>
    <n v="112"/>
    <n v="303.19319999999999"/>
    <n v="273.82206185786345"/>
    <s v="Aprovado"/>
    <n v="129.98320000000001"/>
    <n v="100.61"/>
    <d v="2025-09-10T00:00:00"/>
    <d v="2025-09-20T00:00:00"/>
    <n v="100.61"/>
    <m/>
    <s v="62955505015512100,61"/>
    <s v="09/00012749668-3"/>
    <x v="1"/>
    <n v="100.61"/>
    <n v="0"/>
    <m/>
  </r>
  <r>
    <x v="0"/>
    <s v="10/52987-5"/>
    <n v="67996983476"/>
    <n v="62955505182257"/>
    <s v="energisa_ms"/>
    <s v="Igreja do Evangelho Quadrangular"/>
    <d v="2025-05-01T00:00:00"/>
    <s v="10/81222-245839"/>
    <s v="SIM"/>
    <n v="137"/>
    <n v="313.29881578947374"/>
    <n v="279.77661184210535"/>
    <s v="Aprovado"/>
    <n v="134.08881578947364"/>
    <n v="100.57"/>
    <m/>
    <m/>
    <n v="100.57"/>
    <m/>
    <s v="62955505182257100,57"/>
    <m/>
    <x v="1"/>
    <n v="100.57"/>
    <n v="0"/>
    <m/>
  </r>
  <r>
    <x v="0"/>
    <s v="10/191945-5"/>
    <s v="67 81355403"/>
    <n v="62955505215791"/>
    <s v="energisa_ms"/>
    <s v="Igreja do Evangelho Quadrangular"/>
    <d v="2025-03-01T00:00:00"/>
    <s v="10/1266128-645748"/>
    <s v="SIM"/>
    <n v="120"/>
    <n v="1163.95"/>
    <n v="1130.4625000000001"/>
    <s v="Aprovado"/>
    <n v="133.94999999999999"/>
    <n v="100.46"/>
    <m/>
    <m/>
    <n v="100.46"/>
    <m/>
    <s v="62955505215791100,46"/>
    <m/>
    <x v="1"/>
    <n v="100.46"/>
    <n v="0"/>
    <m/>
  </r>
  <r>
    <x v="0"/>
    <s v="10/2794432-1"/>
    <n v="67991162146"/>
    <n v="62955505015199"/>
    <s v="energisa_ms"/>
    <s v="Igreja do Evangelho Quadrangular"/>
    <d v="2025-03-01T00:00:00"/>
    <s v="10/510330-445658"/>
    <s v="SIM"/>
    <n v="120"/>
    <n v="807.35000000000014"/>
    <n v="773.86250000000007"/>
    <s v="Aprovado"/>
    <n v="133.94999999999999"/>
    <n v="100.46"/>
    <m/>
    <m/>
    <n v="100.46"/>
    <m/>
    <s v="62955505015199100,46"/>
    <m/>
    <x v="1"/>
    <n v="100.46"/>
    <n v="0"/>
    <m/>
  </r>
  <r>
    <x v="0"/>
    <s v="10/3123706-8"/>
    <n v="67999516782"/>
    <n v="62955505375721"/>
    <s v="energisa_ms"/>
    <s v="Igreja do Evangelho Quadrangular"/>
    <d v="2025-01-01T00:00:00"/>
    <s v="10/61344-845901"/>
    <s v="SIM"/>
    <n v="136"/>
    <n v="412.54"/>
    <n v="379.14250000000004"/>
    <s v="Aprovado"/>
    <n v="133.58999999999997"/>
    <n v="100.19"/>
    <m/>
    <m/>
    <n v="100.19"/>
    <m/>
    <s v="62955505375721100,19"/>
    <m/>
    <x v="1"/>
    <n v="100.19"/>
    <n v="0"/>
    <m/>
  </r>
  <r>
    <x v="1"/>
    <s v="10/466560-0"/>
    <n v="67998302932"/>
    <n v="62955505015512"/>
    <s v="energisa_ms"/>
    <s v="Igreja do Evangelho Quadrangular"/>
    <d v="2025-04-01T00:00:00"/>
    <s v="10/239312-245839"/>
    <s v="SIM"/>
    <n v="137"/>
    <n v="235.86"/>
    <n v="202.5"/>
    <s v="Aprovado"/>
    <n v="133.44"/>
    <n v="100.08"/>
    <m/>
    <m/>
    <n v="100.08"/>
    <m/>
    <s v="62955505015512100,08"/>
    <m/>
    <x v="1"/>
    <n v="100.08"/>
    <n v="0"/>
    <m/>
  </r>
  <r>
    <x v="1"/>
    <s v="10/1130988-7"/>
    <n v="67992637973"/>
    <n v="62955505040894"/>
    <s v="energisa_ms"/>
    <s v="Igreja do Evangelho Quadrangular"/>
    <d v="2025-01-01T00:00:00"/>
    <s v="10/81222-245931"/>
    <s v="SIM"/>
    <n v="136"/>
    <n v="426.04"/>
    <n v="392.71249999999998"/>
    <s v="Aprovado"/>
    <n v="133.31"/>
    <n v="99.98"/>
    <m/>
    <m/>
    <n v="99.98"/>
    <m/>
    <s v="6295550504089499,98"/>
    <m/>
    <x v="1"/>
    <n v="99.98"/>
    <n v="0"/>
    <m/>
  </r>
  <r>
    <x v="0"/>
    <s v="10/512142-1"/>
    <s v="67 81355403"/>
    <n v="62955505189340"/>
    <s v="energisa_ms"/>
    <s v="Igreja do Evangelho Quadrangular"/>
    <d v="2025-01-01T00:00:00"/>
    <s v="10/127464-645778"/>
    <s v="SIM"/>
    <n v="136"/>
    <n v="332.09"/>
    <n v="298.76249999999993"/>
    <s v="Aprovado"/>
    <n v="133.31"/>
    <n v="99.98"/>
    <m/>
    <m/>
    <n v="99.98"/>
    <m/>
    <s v="6295550518934099,98"/>
    <m/>
    <x v="1"/>
    <n v="99.98"/>
    <n v="0"/>
    <m/>
  </r>
  <r>
    <x v="0"/>
    <s v="10/1035655-8"/>
    <n v="0"/>
    <n v="62955505182257"/>
    <s v="energisa_ms"/>
    <s v="Igreja do Evangelho Quadrangular"/>
    <d v="2025-08-01T00:00:00"/>
    <s v="10/1184751-445931"/>
    <s v="SIM"/>
    <n v="120"/>
    <n v="292.50058823529412"/>
    <n v="263.6700871190323"/>
    <s v="Aprovado"/>
    <n v="127.59058823529411"/>
    <n v="98.76"/>
    <d v="2025-09-10T00:00:00"/>
    <d v="2025-09-20T00:00:00"/>
    <n v="98.76"/>
    <m/>
    <s v="6295550518225798,76"/>
    <s v="09/00012749660-0"/>
    <x v="1"/>
    <n v="98.76"/>
    <n v="0"/>
    <m/>
  </r>
  <r>
    <x v="1"/>
    <s v="10/3125732-2"/>
    <s v="Solicitação de distrato"/>
    <n v="62955505015512"/>
    <s v="energisa_ms"/>
    <s v="Igreja do Evangelho Quadrangular"/>
    <d v="2025-08-01T00:00:00"/>
    <s v="10/1695011-545627"/>
    <s v="SIM"/>
    <n v="125"/>
    <n v="259.80931034482762"/>
    <n v="231.17794369103865"/>
    <s v="Aprovado"/>
    <n v="126.70931034482757"/>
    <n v="98.08"/>
    <d v="2025-09-10T00:00:00"/>
    <d v="2025-09-20T00:00:00"/>
    <n v="98.08"/>
    <m/>
    <s v="6295550501551298,08"/>
    <s v="09/00012749707-9"/>
    <x v="1"/>
    <n v="98.08"/>
    <n v="0"/>
    <d v="2025-09-24T00:00:00"/>
  </r>
  <r>
    <x v="3"/>
    <s v="10/384823-1"/>
    <n v="0"/>
    <n v="62955505000167"/>
    <s v="energisa_ms"/>
    <s v="Igreja do Evangelho Quadrangular"/>
    <d v="2025-08-01T00:00:00"/>
    <s v="10/505854-045717"/>
    <s v="SIM"/>
    <n v="113"/>
    <n v="159.00086956521741"/>
    <n v="130.67419798290248"/>
    <s v="Aprovado"/>
    <n v="125.36086956521741"/>
    <n v="97.03"/>
    <d v="2025-09-10T00:00:00"/>
    <d v="2025-09-20T00:00:00"/>
    <n v="97.03"/>
    <m/>
    <s v="6295550500016797,03"/>
    <s v="09/00012749665-9"/>
    <x v="1"/>
    <n v="97.03"/>
    <n v="0"/>
    <m/>
  </r>
  <r>
    <x v="0"/>
    <s v="10/1674177-9"/>
    <s v="67 993047635"/>
    <n v="62955505016160"/>
    <s v="energisa_ms"/>
    <s v="Igreja do Evangelho Quadrangular"/>
    <d v="2025-07-01T00:00:00"/>
    <s v="10/1184751-445658"/>
    <s v="SIM"/>
    <n v="122"/>
    <n v="277.6825"/>
    <n v="249.5230765"/>
    <s v="Aprovado"/>
    <n v="124.77250000000001"/>
    <n v="96.61"/>
    <d v="2025-09-10T00:00:00"/>
    <d v="2025-09-20T00:00:00"/>
    <n v="96.61"/>
    <m/>
    <s v="6295550501616096,61"/>
    <s v="09/00012683505-5"/>
    <x v="1"/>
    <n v="96.61"/>
    <n v="0"/>
    <m/>
  </r>
  <r>
    <x v="3"/>
    <s v="10/384823-1"/>
    <n v="0"/>
    <n v="62955505000167"/>
    <s v="energisa_ms"/>
    <s v="Igreja do Evangelho Quadrangular"/>
    <d v="2025-09-01T00:00:00"/>
    <s v="10/69319-245658"/>
    <s v="SIM"/>
    <n v="109"/>
    <n v="167.95366666666663"/>
    <n v="132.58348383846655"/>
    <s v="Aprovado"/>
    <n v="131.69366666666664"/>
    <n v="96.32"/>
    <d v="2025-10-03T00:00:00"/>
    <d v="2025-10-13T00:00:00"/>
    <n v="96.32"/>
    <m/>
    <s v="6295550500016796,32"/>
    <s v="09/00012851423-7"/>
    <x v="1"/>
    <n v="96.32"/>
    <n v="0"/>
    <m/>
  </r>
  <r>
    <x v="0"/>
    <s v="10/252817-2"/>
    <n v="67992637973"/>
    <n v="62955505274020"/>
    <s v="energisa_ms"/>
    <s v="Igreja do Evangelho Quadrangular"/>
    <d v="2025-05-01T00:00:00"/>
    <s v="10/41548-945658"/>
    <s v="SIM"/>
    <n v="131"/>
    <n v="278.99922077922076"/>
    <n v="247.00691558441554"/>
    <s v="Aprovado"/>
    <n v="127.96922077922078"/>
    <n v="95.98"/>
    <m/>
    <m/>
    <n v="95.98"/>
    <m/>
    <s v="6295550527402095,98"/>
    <m/>
    <x v="1"/>
    <n v="95.98"/>
    <n v="0"/>
    <m/>
  </r>
  <r>
    <x v="0"/>
    <s v="10/1698130-0"/>
    <n v="67991767866"/>
    <n v="62955505461210"/>
    <s v="energisa_ms"/>
    <s v="Igreja do Evangelho Quadrangular"/>
    <d v="2025-06-01T00:00:00"/>
    <s v="10/3125732-245870"/>
    <s v="SIM"/>
    <n v="110"/>
    <n v="311.82400000000007"/>
    <n v="281.50432959034049"/>
    <s v="Aprovado"/>
    <n v="127.79400000000003"/>
    <n v="95.85"/>
    <d v="2025-07-22T00:00:00"/>
    <d v="2025-08-02T00:00:00"/>
    <n v="95.85"/>
    <m/>
    <s v="6295550546121095,85"/>
    <s v="09/00012472752-8"/>
    <x v="1"/>
    <n v="95.85"/>
    <n v="0"/>
    <m/>
  </r>
  <r>
    <x v="1"/>
    <s v="10/1017804-4"/>
    <s v="Inadimplência"/>
    <n v="62955505878987"/>
    <s v="energisa_ms"/>
    <s v="Igreja do Evangelho Quadrangular"/>
    <d v="2025-08-01T00:00:00"/>
    <s v="10/511753-645839"/>
    <s v="SIM"/>
    <n v="106"/>
    <n v="257.68799999999999"/>
    <n v="229.84327382785472"/>
    <s v="Aprovado"/>
    <n v="123.22799999999999"/>
    <n v="95.38"/>
    <d v="2025-09-10T00:00:00"/>
    <d v="2025-09-20T00:00:00"/>
    <n v="95.38"/>
    <m/>
    <s v="6295550587898795,38"/>
    <s v="09/00012749645-1"/>
    <x v="1"/>
    <n v="95.38"/>
    <n v="0"/>
    <d v="2025-10-13T00:00:00"/>
  </r>
  <r>
    <x v="1"/>
    <s v="10/1130988-7"/>
    <n v="0"/>
    <n v="62955505040894"/>
    <s v="energisa_ms"/>
    <s v="Igreja do Evangelho Quadrangular"/>
    <d v="2025-08-01T00:00:00"/>
    <s v="10/10232-745627"/>
    <s v="SIM"/>
    <n v="119"/>
    <n v="178.58516129032259"/>
    <n v="150.79078798320404"/>
    <s v="Aprovado"/>
    <n v="123.00516129032258"/>
    <n v="95.21"/>
    <d v="2025-09-10T00:00:00"/>
    <d v="2025-09-20T00:00:00"/>
    <n v="95.21"/>
    <m/>
    <s v="6295550504089495,21"/>
    <s v="09/00012749697-2"/>
    <x v="1"/>
    <n v="95.21"/>
    <n v="0"/>
    <m/>
  </r>
  <r>
    <x v="0"/>
    <s v="10/24514-2"/>
    <n v="67996266684"/>
    <n v="62955505157066"/>
    <s v="energisa_ms"/>
    <s v="Igreja do Evangelho Quadrangular"/>
    <d v="2025-05-01T00:00:00"/>
    <s v="10/1433087-245748"/>
    <s v="SIM"/>
    <n v="130"/>
    <n v="234.05181818181813"/>
    <n v="202.40136363636358"/>
    <s v="Aprovado"/>
    <n v="126.60181818181819"/>
    <n v="94.95"/>
    <m/>
    <m/>
    <n v="94.95"/>
    <m/>
    <s v="6295550515706694,95"/>
    <m/>
    <x v="2"/>
    <n v="0"/>
    <n v="-94.95"/>
    <m/>
  </r>
  <r>
    <x v="3"/>
    <s v="10/384823-1"/>
    <n v="67999159477"/>
    <n v="62955505000167"/>
    <s v="energisa_ms"/>
    <s v="Igreja do Evangelho Quadrangular"/>
    <d v="2025-02-01T00:00:00"/>
    <s v="10/510330-445778"/>
    <s v="SIM"/>
    <n v="113"/>
    <n v="160.34"/>
    <n v="128.8075"/>
    <s v="Aprovado"/>
    <n v="126.13"/>
    <n v="94.6"/>
    <m/>
    <m/>
    <n v="94.6"/>
    <m/>
    <s v="6295550500016794,6"/>
    <m/>
    <x v="1"/>
    <n v="94.6"/>
    <n v="0"/>
    <m/>
  </r>
  <r>
    <x v="0"/>
    <s v="10/1433087-2"/>
    <s v=" 67 91285460"/>
    <n v="62955505419443"/>
    <s v="energisa_ms"/>
    <s v="Igreja do Evangelho Quadrangular"/>
    <d v="2025-10-01T00:00:00"/>
    <s v="10/908866-745809"/>
    <s v="SIM"/>
    <n v="108"/>
    <n v="280.22160000000002"/>
    <n v="243.4992693815999"/>
    <s v="Aprovado"/>
    <n v="131.30159999999998"/>
    <n v="94.58"/>
    <d v="2025-11-06T00:00:00"/>
    <d v="2025-11-13T00:00:00"/>
    <n v="94.58"/>
    <m/>
    <s v="6295550541944394,58"/>
    <s v="09/00013026965-5"/>
    <x v="1"/>
    <n v="94.58"/>
    <n v="0"/>
    <m/>
  </r>
  <r>
    <x v="0"/>
    <s v="10/513413-5"/>
    <n v="67992637973"/>
    <n v="62955505321630"/>
    <s v="energisa_ms"/>
    <s v="Igreja do Evangelho Quadrangular"/>
    <d v="2025-07-01T00:00:00"/>
    <s v="10/511753-645901"/>
    <s v="SIM"/>
    <n v="105"/>
    <n v="281.61150000000004"/>
    <n v="253.59682790000002"/>
    <s v="Aprovado"/>
    <n v="122.12149999999998"/>
    <n v="94.11"/>
    <d v="2025-09-10T00:00:00"/>
    <d v="2025-09-20T00:00:00"/>
    <n v="94.11"/>
    <m/>
    <s v="6295550532163094,11"/>
    <s v="09/00012683476-9"/>
    <x v="1"/>
    <n v="94.11"/>
    <n v="0"/>
    <m/>
  </r>
  <r>
    <x v="0"/>
    <s v="10/69319-2"/>
    <n v="67998363594"/>
    <n v="62955505182257"/>
    <s v="energisa_ms"/>
    <s v="Igreja do Evangelho Quadrangular"/>
    <d v="2025-06-01T00:00:00"/>
    <s v="10/226667-445717"/>
    <s v="SIM"/>
    <n v="123"/>
    <n v="287.74455696202529"/>
    <n v="258.25277176469706"/>
    <s v="Aprovado"/>
    <n v="124.30455696202533"/>
    <n v="93.23"/>
    <d v="2025-07-22T00:00:00"/>
    <d v="2025-08-02T00:00:00"/>
    <n v="93.23"/>
    <m/>
    <s v="6295550518225793,23"/>
    <s v="09/00012472775-9"/>
    <x v="1"/>
    <n v="93.23"/>
    <n v="0"/>
    <s v="06/08/2025"/>
  </r>
  <r>
    <x v="1"/>
    <s v="10/952579-1"/>
    <n v="67996150274"/>
    <n v="62955505897930"/>
    <s v="energisa_ms"/>
    <s v="Igreja do Evangelho Quadrangular"/>
    <d v="2025-05-01T00:00:00"/>
    <s v="10/384823-145809"/>
    <s v="SIM"/>
    <n v="127"/>
    <n v="232.23084507042253"/>
    <n v="201.1606338028169"/>
    <s v="Aprovado"/>
    <n v="124.28084507042253"/>
    <n v="93.21"/>
    <m/>
    <m/>
    <n v="93.21"/>
    <m/>
    <s v="6295550589793093,21"/>
    <m/>
    <x v="1"/>
    <n v="124.28"/>
    <n v="31.070000000000007"/>
    <d v="2025-09-25T00:00:00"/>
  </r>
  <r>
    <x v="3"/>
    <s v="10/150263-2"/>
    <n v="67992337953"/>
    <n v="62955505091456"/>
    <s v="energisa_ms"/>
    <s v="Igreja do Evangelho Quadrangular"/>
    <d v="2025-05-01T00:00:00"/>
    <s v="10/76927-345901"/>
    <s v="SIM"/>
    <n v="109"/>
    <n v="209.25833333333333"/>
    <n v="178.19624999999996"/>
    <s v="Aprovado"/>
    <n v="124.24833333333335"/>
    <n v="93.19"/>
    <m/>
    <m/>
    <n v="93.19"/>
    <m/>
    <s v="6295550509145693,19"/>
    <m/>
    <x v="3"/>
    <n v="0"/>
    <n v="-93.19"/>
    <m/>
  </r>
  <r>
    <x v="0"/>
    <s v="10/76927-3"/>
    <n v="0"/>
    <n v="62955505058599"/>
    <s v="energisa_ms"/>
    <s v="Igreja do Evangelho Quadrangular"/>
    <d v="2025-08-01T00:00:00"/>
    <s v="10/226667-445809"/>
    <s v="SIM"/>
    <n v="119"/>
    <n v="257.00299999999999"/>
    <n v="229.85310400427034"/>
    <s v="Aprovado"/>
    <n v="120.15299999999998"/>
    <n v="93"/>
    <d v="2025-09-10T00:00:00"/>
    <d v="2025-09-20T00:00:00"/>
    <n v="93"/>
    <m/>
    <s v="6295550505859993"/>
    <s v="09/00012749675-8"/>
    <x v="1"/>
    <n v="93"/>
    <n v="0"/>
    <m/>
  </r>
  <r>
    <x v="3"/>
    <s v="10/384823-1"/>
    <n v="67999159477"/>
    <n v="62955505000167"/>
    <s v="energisa_ms"/>
    <s v="Igreja do Evangelho Quadrangular"/>
    <d v="2025-10-01T00:00:00"/>
    <s v="10/31292-645839"/>
    <s v="SIM"/>
    <n v="105"/>
    <n v="166.5"/>
    <n v="130.45773740157597"/>
    <s v="Aprovado"/>
    <n v="128.86999999999998"/>
    <n v="92.83"/>
    <d v="2025-11-06T00:00:00"/>
    <d v="2025-11-13T00:00:00"/>
    <n v="92.83"/>
    <m/>
    <s v="6295550500016792,83"/>
    <s v="09/00013026974-7"/>
    <x v="1"/>
    <n v="92.83"/>
    <n v="0"/>
    <m/>
  </r>
  <r>
    <x v="0"/>
    <s v="10/1698130-0"/>
    <n v="67991767866"/>
    <n v="62955505461210"/>
    <s v="energisa_ms"/>
    <s v="Igreja do Evangelho Quadrangular"/>
    <d v="2025-05-01T00:00:00"/>
    <s v="10/341308-545901"/>
    <s v="SIM"/>
    <n v="109"/>
    <n v="349.44580882352943"/>
    <n v="318.63685661764708"/>
    <s v="Aprovado"/>
    <n v="123.23580882352942"/>
    <n v="92.43"/>
    <m/>
    <m/>
    <n v="92.43"/>
    <m/>
    <s v="6295550546121092,43"/>
    <m/>
    <x v="1"/>
    <n v="92.43"/>
    <n v="0"/>
    <m/>
  </r>
  <r>
    <x v="0"/>
    <s v="10/532081-7"/>
    <s v="67 992321318"/>
    <n v="62955505193534"/>
    <s v="energisa_ms"/>
    <s v="Igreja do Evangelho Quadrangular"/>
    <d v="2025-05-01T00:00:00"/>
    <s v="10/395471-645778"/>
    <s v="SIM"/>
    <n v="109"/>
    <n v="304.96721739130436"/>
    <n v="274.21041304347824"/>
    <s v="Aprovado"/>
    <n v="123.02721739130436"/>
    <n v="92.27"/>
    <m/>
    <m/>
    <n v="92.27"/>
    <m/>
    <s v="6295550519353492,27"/>
    <m/>
    <x v="1"/>
    <n v="92.27"/>
    <n v="0"/>
    <m/>
  </r>
  <r>
    <x v="1"/>
    <s v="10/218777-1"/>
    <n v="67999031330"/>
    <n v="62955505017051"/>
    <s v="energisa_ms"/>
    <s v="Igreja do Evangelho Quadrangular"/>
    <d v="2025-03-01T00:00:00"/>
    <s v="10/63920-345870"/>
    <s v="SIM"/>
    <n v="110"/>
    <n v="198.53"/>
    <n v="167.83499999999998"/>
    <s v="Aprovado"/>
    <n v="122.78"/>
    <n v="92.09"/>
    <m/>
    <m/>
    <n v="92.09"/>
    <m/>
    <s v="6295550501705192,09"/>
    <m/>
    <x v="1"/>
    <n v="92.09"/>
    <n v="0"/>
    <m/>
  </r>
  <r>
    <x v="0"/>
    <s v="10/72605-9"/>
    <n v="0"/>
    <n v="62955505136492"/>
    <s v="energisa_ms"/>
    <s v="Igreja do Evangelho Quadrangular"/>
    <d v="2025-08-01T00:00:00"/>
    <s v="10/113971-645627"/>
    <s v="SIM"/>
    <n v="117"/>
    <n v="271.82444444444445"/>
    <n v="244.99056750672898"/>
    <s v="Aprovado"/>
    <n v="118.75444444444445"/>
    <n v="91.92"/>
    <d v="2025-09-10T00:00:00"/>
    <d v="2025-09-20T00:00:00"/>
    <n v="91.92"/>
    <m/>
    <s v="6295550513649291,92"/>
    <s v="09/00012749700-4"/>
    <x v="1"/>
    <n v="91.92"/>
    <n v="0"/>
    <m/>
  </r>
  <r>
    <x v="0"/>
    <s v="10/191945-5"/>
    <s v="67 81355403"/>
    <n v="62955505215791"/>
    <s v="energisa_ms"/>
    <s v="Igreja do Evangelho Quadrangular"/>
    <d v="2025-04-01T00:00:00"/>
    <s v="10/63920-345748"/>
    <s v="SIM"/>
    <n v="109"/>
    <n v="1078.9799999999998"/>
    <n v="1048.3999999999999"/>
    <s v="Aprovado"/>
    <n v="122.32"/>
    <n v="91.74"/>
    <m/>
    <m/>
    <n v="91.74"/>
    <m/>
    <s v="6295550521579191,74"/>
    <m/>
    <x v="1"/>
    <n v="91.74"/>
    <n v="0"/>
    <m/>
  </r>
  <r>
    <x v="0"/>
    <s v="10/2794432-1"/>
    <n v="67991162146"/>
    <n v="62955505015199"/>
    <s v="energisa_ms"/>
    <s v="Igreja do Evangelho Quadrangular"/>
    <d v="2025-04-01T00:00:00"/>
    <s v="10/276283-945778"/>
    <s v="SIM"/>
    <n v="109"/>
    <n v="447.2"/>
    <n v="416.62749999999994"/>
    <s v="Aprovado"/>
    <n v="122.28999999999999"/>
    <n v="91.72"/>
    <m/>
    <m/>
    <n v="91.72"/>
    <m/>
    <s v="6295550501519991,72"/>
    <m/>
    <x v="1"/>
    <n v="91.72"/>
    <n v="0"/>
    <m/>
  </r>
  <r>
    <x v="1"/>
    <s v="10/226667-4"/>
    <n v="67992637973"/>
    <n v="62955505040894"/>
    <s v="energisa_ms"/>
    <s v="Igreja do Evangelho Quadrangular"/>
    <d v="2025-03-01T00:00:00"/>
    <s v="10/452884-045748"/>
    <s v="SIM"/>
    <n v="115"/>
    <n v="218.15"/>
    <n v="187.80249999999998"/>
    <s v="Aprovado"/>
    <n v="121.39"/>
    <n v="91.04"/>
    <m/>
    <m/>
    <n v="91.04"/>
    <m/>
    <s v="6295550504089491,04"/>
    <m/>
    <x v="1"/>
    <n v="91.04"/>
    <n v="0"/>
    <m/>
  </r>
  <r>
    <x v="0"/>
    <s v="10/156956-5"/>
    <n v="0"/>
    <n v="62955505015350"/>
    <s v="energisa_ms"/>
    <s v="Igreja do Evangelho Quadrangular"/>
    <d v="2025-08-01T00:00:00"/>
    <s v="10/175073-645839"/>
    <s v="SIM"/>
    <n v="100"/>
    <n v="272.78999999999996"/>
    <n v="246.35255914125844"/>
    <s v="Aprovado"/>
    <n v="117"/>
    <n v="90.56"/>
    <d v="2025-09-10T00:00:00"/>
    <d v="2025-09-20T00:00:00"/>
    <n v="90.56"/>
    <m/>
    <s v="6295550501535090,56"/>
    <s v="09/00012749653-5"/>
    <x v="1"/>
    <n v="90.56"/>
    <n v="0"/>
    <m/>
  </r>
  <r>
    <x v="0"/>
    <s v="10/1698130-0"/>
    <n v="0"/>
    <n v="62955505461210"/>
    <s v="energisa_ms"/>
    <s v="Igreja do Evangelho Quadrangular"/>
    <d v="2025-09-01T00:00:00"/>
    <s v="10/10731-845658"/>
    <s v="SIM"/>
    <n v="102"/>
    <n v="314.3888"/>
    <n v="281.29747607875493"/>
    <s v="Aprovado"/>
    <n v="123.2088"/>
    <n v="90.12"/>
    <d v="2025-10-03T00:00:00"/>
    <d v="2025-10-13T00:00:00"/>
    <n v="90.12"/>
    <m/>
    <s v="6295550546121090,12"/>
    <s v="09/00012851420-3"/>
    <x v="1"/>
    <n v="90.12"/>
    <n v="0"/>
    <m/>
  </r>
  <r>
    <x v="1"/>
    <s v="10/511753-6"/>
    <n v="0"/>
    <n v="62955505016080"/>
    <s v="energisa_ms"/>
    <s v="Igreja do Evangelho Quadrangular"/>
    <d v="2025-08-01T00:00:00"/>
    <s v="10/3125732-245901"/>
    <s v="SIM"/>
    <n v="98"/>
    <n v="210.21440000000001"/>
    <n v="184.47418450462374"/>
    <s v="Aprovado"/>
    <n v="113.9144"/>
    <n v="88.17"/>
    <d v="2025-09-10T00:00:00"/>
    <d v="2025-09-20T00:00:00"/>
    <n v="88.17"/>
    <m/>
    <s v="6295550501608088,17"/>
    <s v="09/00012749647-7"/>
    <x v="1"/>
    <n v="88.17"/>
    <n v="0"/>
    <d v="2025-09-25T00:00:00"/>
  </r>
  <r>
    <x v="0"/>
    <s v="10/1672452-8"/>
    <n v="0"/>
    <n v="62955505017213"/>
    <s v="energisa_ms"/>
    <s v="Igreja do Evangelho Quadrangular"/>
    <d v="2025-08-01T00:00:00"/>
    <s v="10/1117293-945870"/>
    <s v="SIM"/>
    <n v="97"/>
    <n v="246.23370000000003"/>
    <n v="220.5523925459218"/>
    <s v="Aprovado"/>
    <n v="113.6537"/>
    <n v="87.97"/>
    <d v="2025-09-10T00:00:00"/>
    <d v="2025-09-20T00:00:00"/>
    <n v="87.97"/>
    <m/>
    <s v="6295550501721387,97"/>
    <s v="09/00012749662-6"/>
    <x v="1"/>
    <n v="87.97"/>
    <n v="0"/>
    <m/>
  </r>
  <r>
    <x v="0"/>
    <s v="10/1288241-1"/>
    <n v="67991133770"/>
    <n v="62955505335851"/>
    <s v="energisa_ms"/>
    <s v="Igreja do Evangelho Quadrangular"/>
    <d v="2025-01-01T00:00:00"/>
    <s v="10/532081-745689"/>
    <s v="SIM"/>
    <n v="105"/>
    <n v="235.51000000000002"/>
    <n v="206.21000000000004"/>
    <s v="Aprovado"/>
    <n v="117.2"/>
    <n v="87.9"/>
    <m/>
    <m/>
    <n v="87.9"/>
    <m/>
    <s v="6295550533585187,9"/>
    <m/>
    <x v="1"/>
    <n v="87.9"/>
    <n v="0"/>
    <m/>
  </r>
  <r>
    <x v="3"/>
    <s v="10/384823-1"/>
    <n v="67999159477"/>
    <n v="62955505000167"/>
    <s v="energisa_ms"/>
    <s v="Igreja do Evangelho Quadrangular"/>
    <d v="2025-07-01T00:00:00"/>
    <s v="10/283183-245717"/>
    <s v="SIM"/>
    <n v="102"/>
    <n v="145.41521739130434"/>
    <n v="119.84968452173912"/>
    <s v="Aprovado"/>
    <n v="113.32521739130434"/>
    <n v="87.76"/>
    <d v="2025-09-10T00:00:00"/>
    <d v="2025-09-20T00:00:00"/>
    <n v="87.76"/>
    <m/>
    <s v="6295550500016787,76"/>
    <s v="09/00012683540-2"/>
    <x v="1"/>
    <n v="87.76"/>
    <n v="0"/>
    <m/>
  </r>
  <r>
    <x v="0"/>
    <s v="10/1288241-1"/>
    <n v="67991133770"/>
    <n v="62955505335851"/>
    <s v="energisa_ms"/>
    <s v="Igreja do Evangelho Quadrangular"/>
    <d v="2025-04-01T00:00:00"/>
    <s v="10/480529-745839"/>
    <s v="SIM"/>
    <n v="120"/>
    <n v="297.62"/>
    <n v="268.39750000000004"/>
    <s v="Aprovado"/>
    <n v="116.88999999999999"/>
    <n v="87.67"/>
    <m/>
    <m/>
    <n v="87.67"/>
    <m/>
    <s v="6295550533585187,67"/>
    <m/>
    <x v="1"/>
    <n v="116.88999999999999"/>
    <n v="29.219999999999985"/>
    <d v="2025-11-07T00:00:00"/>
  </r>
  <r>
    <x v="1"/>
    <s v="10/1130988-7"/>
    <n v="67992637973"/>
    <n v="62955505040894"/>
    <s v="energisa_ms"/>
    <s v="Igreja do Evangelho Quadrangular"/>
    <d v="2025-03-01T00:00:00"/>
    <s v="10/504844-245870"/>
    <s v="SIM"/>
    <n v="120"/>
    <n v="393.07"/>
    <n v="363.84750000000003"/>
    <s v="Aprovado"/>
    <n v="116.89"/>
    <n v="87.67"/>
    <m/>
    <m/>
    <n v="87.67"/>
    <m/>
    <s v="6295550504089487,67"/>
    <m/>
    <x v="1"/>
    <n v="87.67"/>
    <n v="0"/>
    <m/>
  </r>
  <r>
    <x v="1"/>
    <s v="10/530195-7"/>
    <n v="67999516782"/>
    <n v="62955505367117"/>
    <s v="energisa_ms"/>
    <s v="Igreja do Evangelho Quadrangular"/>
    <d v="2025-04-01T00:00:00"/>
    <s v="10/504844-245839"/>
    <s v="SIM"/>
    <n v="120"/>
    <n v="249.74"/>
    <n v="220.51750000000001"/>
    <s v="Aprovado"/>
    <n v="116.88999999999999"/>
    <n v="87.67"/>
    <m/>
    <m/>
    <n v="87.67"/>
    <m/>
    <s v="6295550536711787,67"/>
    <m/>
    <x v="1"/>
    <n v="87.67"/>
    <n v="0"/>
    <d v="2025-09-25T00:00:00"/>
  </r>
  <r>
    <x v="1"/>
    <s v="10/31292-6"/>
    <n v="67996266684"/>
    <n v="62955505016080"/>
    <s v="energisa_ms"/>
    <s v="Igreja do Evangelho Quadrangular"/>
    <d v="2025-04-01T00:00:00"/>
    <s v="10/237441-145658"/>
    <s v="SIM"/>
    <n v="120"/>
    <n v="228.74"/>
    <n v="199.51750000000001"/>
    <s v="Aprovado"/>
    <n v="116.88999999999999"/>
    <n v="87.67"/>
    <m/>
    <m/>
    <n v="87.67"/>
    <m/>
    <s v="6295550501608087,67"/>
    <m/>
    <x v="1"/>
    <n v="87.67"/>
    <n v="0"/>
    <m/>
  </r>
  <r>
    <x v="1"/>
    <s v="10/3125732-2"/>
    <n v="65999839279"/>
    <n v="62955505015512"/>
    <s v="energisa_ms"/>
    <s v="Igreja do Evangelho Quadrangular"/>
    <d v="2025-04-01T00:00:00"/>
    <s v="10/501586-245717"/>
    <s v="SIM"/>
    <n v="120"/>
    <n v="300.73999999999995"/>
    <n v="271.53499999999997"/>
    <s v="Aprovado"/>
    <n v="116.82000000000001"/>
    <n v="87.62"/>
    <m/>
    <m/>
    <n v="87.62"/>
    <m/>
    <s v="6295550501551287,62"/>
    <m/>
    <x v="1"/>
    <n v="87.62"/>
    <n v="0"/>
    <m/>
  </r>
  <r>
    <x v="0"/>
    <s v="10/252817-2"/>
    <n v="67992637973"/>
    <n v="62955505274020"/>
    <s v="energisa_ms"/>
    <s v="Igreja do Evangelho Quadrangular"/>
    <d v="2025-04-01T00:00:00"/>
    <s v="10/480529-745778"/>
    <s v="SIM"/>
    <n v="120"/>
    <n v="301.67"/>
    <n v="272.49"/>
    <s v="Aprovado"/>
    <n v="116.72"/>
    <n v="87.54"/>
    <m/>
    <m/>
    <n v="87.54"/>
    <m/>
    <s v="6295550527402087,54"/>
    <m/>
    <x v="1"/>
    <n v="87.54"/>
    <n v="0"/>
    <m/>
  </r>
  <r>
    <x v="0"/>
    <s v="10/52987-5"/>
    <n v="67996983476"/>
    <n v="62955505182257"/>
    <s v="energisa_ms"/>
    <s v="Igreja do Evangelho Quadrangular"/>
    <d v="2025-04-01T00:00:00"/>
    <s v="10/72605-945778"/>
    <s v="SIM"/>
    <n v="120"/>
    <n v="379.65999999999997"/>
    <n v="350.47999999999996"/>
    <s v="Aprovado"/>
    <n v="116.72000000000001"/>
    <n v="87.54"/>
    <m/>
    <m/>
    <n v="87.54"/>
    <m/>
    <s v="6295550518225787,54"/>
    <m/>
    <x v="1"/>
    <n v="87.54"/>
    <n v="0"/>
    <m/>
  </r>
  <r>
    <x v="0"/>
    <s v="10/113971-6"/>
    <n v="67996575782"/>
    <n v="62955505015601"/>
    <s v="energisa_ms"/>
    <s v="Igreja do Evangelho Quadrangular"/>
    <d v="2025-07-01T00:00:00"/>
    <s v="10/150263-245870"/>
    <s v="SIM"/>
    <n v="97"/>
    <n v="248.93109999999999"/>
    <n v="223.04993965999998"/>
    <s v="Aprovado"/>
    <n v="112.8211"/>
    <n v="86.94"/>
    <d v="2025-09-10T00:00:00"/>
    <d v="2025-09-20T00:00:00"/>
    <n v="86.94"/>
    <s v="Pago por Pix"/>
    <s v="6295550501560186,94"/>
    <s v="09/00012683484-3"/>
    <x v="1"/>
    <n v="86.94"/>
    <n v="0"/>
    <d v="2025-08-28T00:00:00"/>
  </r>
  <r>
    <x v="0"/>
    <s v="10/52987-5"/>
    <n v="0"/>
    <n v="62955505182257"/>
    <s v="energisa_ms"/>
    <s v="Igreja do Evangelho Quadrangular"/>
    <d v="2025-09-01T00:00:00"/>
    <s v="10/2344751-945689"/>
    <s v="SIM"/>
    <n v="111"/>
    <n v="325.9258536585366"/>
    <n v="294.58645760531937"/>
    <s v="Aprovado"/>
    <n v="116.68585365853657"/>
    <n v="85.35"/>
    <d v="2025-10-03T00:00:00"/>
    <d v="2025-10-13T00:00:00"/>
    <n v="85.35"/>
    <m/>
    <s v="6295550518225785,35"/>
    <s v="09/00012851537-4"/>
    <x v="1"/>
    <n v="85.35"/>
    <n v="0"/>
    <m/>
  </r>
  <r>
    <x v="0"/>
    <s v="10/1266128-6"/>
    <n v="0"/>
    <n v="62955505379395"/>
    <s v="energisa_ms"/>
    <s v="Igreja do Evangelho Quadrangular"/>
    <d v="2025-08-01T00:00:00"/>
    <s v="10/175073-645931"/>
    <s v="SIM"/>
    <n v="107"/>
    <n v="225.12722891566264"/>
    <n v="200.27214144486533"/>
    <s v="Aprovado"/>
    <n v="109.99722891566265"/>
    <n v="85.14"/>
    <d v="2025-09-10T00:00:00"/>
    <d v="2025-09-20T00:00:00"/>
    <n v="85.14"/>
    <m/>
    <s v="6295550537939585,14"/>
    <s v="09/00012749682-4"/>
    <x v="1"/>
    <n v="85.14"/>
    <n v="0"/>
    <m/>
  </r>
  <r>
    <x v="0"/>
    <s v="10/283183-2"/>
    <s v="16 988508102"/>
    <n v="62955505287601"/>
    <s v="energisa_ms"/>
    <s v="Igreja do Evangelho Quadrangular"/>
    <d v="2025-01-01T00:00:00"/>
    <s v="10/260761-245717"/>
    <s v="SIM"/>
    <n v="114"/>
    <n v="255.76999999999998"/>
    <n v="227.4025"/>
    <s v="Aprovado"/>
    <n v="113.47"/>
    <n v="85.1"/>
    <m/>
    <m/>
    <n v="85.1"/>
    <m/>
    <s v="6295550528760185,1"/>
    <m/>
    <x v="1"/>
    <n v="85.1"/>
    <n v="0"/>
    <m/>
  </r>
  <r>
    <x v="3"/>
    <s v="10/1548741-6"/>
    <s v="67 81355403"/>
    <n v="62955505084751"/>
    <s v="energisa_ms"/>
    <s v="Igreja do Evangelho Quadrangular"/>
    <d v="2025-06-01T00:00:00"/>
    <s v="10/24514-245778"/>
    <s v="SIM"/>
    <n v="100"/>
    <n v="209.70615384615388"/>
    <n v="182.8736099926432"/>
    <s v="Aprovado"/>
    <n v="113.09615384615384"/>
    <n v="84.82"/>
    <d v="2025-07-22T00:00:00"/>
    <d v="2025-08-02T00:00:00"/>
    <n v="84.82"/>
    <m/>
    <s v="6295550508475184,82"/>
    <s v="09/00012472760-1"/>
    <x v="1"/>
    <n v="84.82"/>
    <n v="0"/>
    <s v="06/08/2025"/>
  </r>
  <r>
    <x v="3"/>
    <s v="10/384823-1"/>
    <n v="67999159477"/>
    <n v="62955505000167"/>
    <s v="energisa_ms"/>
    <s v="Igreja do Evangelho Quadrangular"/>
    <d v="2025-04-01T00:00:00"/>
    <s v="10/8777-545839"/>
    <s v="SIM"/>
    <n v="102"/>
    <n v="146.31"/>
    <n v="118.08250011000001"/>
    <s v="Aprovado"/>
    <n v="112.90999956"/>
    <n v="84.68"/>
    <m/>
    <m/>
    <n v="84.68"/>
    <m/>
    <s v="6295550500016784,68"/>
    <m/>
    <x v="1"/>
    <n v="112.91"/>
    <n v="28.22999999999999"/>
    <d v="2025-09-17T00:00:00"/>
  </r>
  <r>
    <x v="1"/>
    <s v="10/466560-0"/>
    <n v="67998302932"/>
    <n v="62955505015512"/>
    <s v="energisa_ms"/>
    <s v="Igreja do Evangelho Quadrangular"/>
    <d v="2025-05-01T00:00:00"/>
    <s v="10/341308-545658"/>
    <s v="SIM"/>
    <n v="115"/>
    <n v="247.95482758620693"/>
    <n v="220.06112068965518"/>
    <s v="Aprovado"/>
    <n v="111.57482758620694"/>
    <n v="83.68"/>
    <m/>
    <m/>
    <n v="83.68"/>
    <m/>
    <s v="6295550501551283,68"/>
    <m/>
    <x v="1"/>
    <n v="83.68"/>
    <n v="0"/>
    <m/>
  </r>
  <r>
    <x v="3"/>
    <s v="10/150263-2"/>
    <n v="67992337953"/>
    <n v="62955505091456"/>
    <s v="energisa_ms"/>
    <s v="Igreja do Evangelho Quadrangular"/>
    <d v="2025-06-01T00:00:00"/>
    <s v="10/384823-145870"/>
    <s v="SIM"/>
    <n v="104"/>
    <n v="194.07"/>
    <n v="167.76087553619766"/>
    <s v="Aprovado"/>
    <n v="110.88999999999999"/>
    <n v="83.17"/>
    <d v="2025-07-22T00:00:00"/>
    <d v="2025-08-02T00:00:00"/>
    <n v="83.17"/>
    <m/>
    <s v="6295550509145683,17"/>
    <s v="09/00012472753-6"/>
    <x v="3"/>
    <n v="0"/>
    <n v="-83.17"/>
    <m/>
  </r>
  <r>
    <x v="1"/>
    <s v="10/226667-4"/>
    <n v="67992637973"/>
    <n v="62955505040894"/>
    <s v="energisa_ms"/>
    <s v="Igreja do Evangelho Quadrangular"/>
    <d v="2025-02-01T00:00:00"/>
    <s v="10/76927-345931"/>
    <s v="SIM"/>
    <n v="99"/>
    <n v="196.95999999999998"/>
    <n v="169.33499999999998"/>
    <s v="Aprovado"/>
    <n v="110.5"/>
    <n v="82.88"/>
    <m/>
    <m/>
    <n v="82.88"/>
    <m/>
    <s v="6295550504089482,88"/>
    <m/>
    <x v="1"/>
    <n v="82.88"/>
    <n v="0"/>
    <m/>
  </r>
  <r>
    <x v="0"/>
    <s v="10/24514-2"/>
    <n v="67996266684"/>
    <n v="62955505157066"/>
    <s v="energisa_ms"/>
    <s v="Igreja do Evangelho Quadrangular"/>
    <d v="2025-10-01T00:00:00"/>
    <s v="10/505854-045778"/>
    <s v="SIM"/>
    <n v="107"/>
    <n v="235.13614457831326"/>
    <n v="203.18107383744984"/>
    <s v="Aprovado"/>
    <n v="114.25614457831327"/>
    <n v="82.3"/>
    <d v="2025-11-06T00:00:00"/>
    <d v="2025-11-13T00:00:00"/>
    <n v="82.3"/>
    <m/>
    <s v="6295550515706682,3"/>
    <s v="09/00013026923-4"/>
    <x v="1"/>
    <n v="82.3"/>
    <n v="0"/>
    <m/>
  </r>
  <r>
    <x v="3"/>
    <s v="10/150263-2"/>
    <s v="Solicitação de distrato"/>
    <n v="62955505091456"/>
    <s v="energisa_ms"/>
    <s v="Igreja do Evangelho Quadrangular"/>
    <d v="2025-09-01T00:00:00"/>
    <s v="10/104720-845658"/>
    <s v="SIM"/>
    <n v="93"/>
    <m/>
    <m/>
    <s v="Não emitido"/>
    <n v="178.13900000000001"/>
    <n v="82.19"/>
    <m/>
    <m/>
    <m/>
    <s v="Ameaça judicialização"/>
    <s v="6295550509145682,19"/>
    <m/>
    <x v="0"/>
    <m/>
    <n v="0"/>
    <m/>
  </r>
  <r>
    <x v="1"/>
    <s v="10/10232-7"/>
    <s v="67 996415566"/>
    <n v="62955505393207"/>
    <s v="energisa_ms"/>
    <s v="Igreja do Evangelho Quadrangular"/>
    <d v="2025-05-01T00:00:00"/>
    <s v="10/1548741-645658"/>
    <s v="SIM"/>
    <n v="96"/>
    <n v="188.2208"/>
    <n v="160.82810000000001"/>
    <s v="Aprovado"/>
    <n v="109.57079999999999"/>
    <n v="82.18"/>
    <m/>
    <m/>
    <n v="82.18"/>
    <m/>
    <s v="6295550539320782,18"/>
    <m/>
    <x v="1"/>
    <n v="82.18"/>
    <n v="0"/>
    <m/>
  </r>
  <r>
    <x v="1"/>
    <s v="10/218777-1"/>
    <n v="67999031330"/>
    <n v="62955505017051"/>
    <s v="energisa_ms"/>
    <s v="Igreja do Evangelho Quadrangular"/>
    <d v="2025-01-01T00:00:00"/>
    <s v="10/29964-445748"/>
    <s v="SIM"/>
    <n v="98"/>
    <n v="159.05999999999997"/>
    <n v="131.71499999999997"/>
    <s v="Aprovado"/>
    <n v="109.38000000000002"/>
    <n v="82.04"/>
    <m/>
    <m/>
    <n v="82.04"/>
    <m/>
    <s v="6295550501705182,04"/>
    <m/>
    <x v="1"/>
    <n v="82.04"/>
    <n v="0"/>
    <m/>
  </r>
  <r>
    <x v="0"/>
    <s v="10/135237-6"/>
    <n v="67996446178"/>
    <n v="62955505080098"/>
    <s v="energisa_ms"/>
    <s v="Igreja do Evangelho Quadrangular"/>
    <d v="2025-03-01T00:00:00"/>
    <s v="10/78338-145931"/>
    <s v="SIM"/>
    <n v="97"/>
    <n v="238.08"/>
    <n v="211.01500000000001"/>
    <s v="Aprovado"/>
    <n v="156.82"/>
    <n v="81.2"/>
    <m/>
    <m/>
    <n v="81.2"/>
    <m/>
    <s v="6295550508009881,2"/>
    <m/>
    <x v="1"/>
    <n v="81.2"/>
    <n v="0"/>
    <m/>
  </r>
  <r>
    <x v="1"/>
    <s v="10/466560-0"/>
    <n v="0"/>
    <n v="62955505015512"/>
    <s v="energisa_ms"/>
    <s v="Igreja do Evangelho Quadrangular"/>
    <d v="2025-08-01T00:00:00"/>
    <s v="10/18015-845627"/>
    <s v="SIM"/>
    <n v="104"/>
    <n v="248.83750000000001"/>
    <n v="225.16412747719482"/>
    <s v="Aprovado"/>
    <n v="104.7675"/>
    <n v="81.09"/>
    <d v="2025-09-10T00:00:00"/>
    <d v="2025-09-20T00:00:00"/>
    <n v="81.09"/>
    <m/>
    <s v="6295550501551281,09"/>
    <s v="09/00012749708-7"/>
    <x v="1"/>
    <n v="81.09"/>
    <n v="0"/>
    <m/>
  </r>
  <r>
    <x v="1"/>
    <s v="10/3125732-2"/>
    <n v="65999839279"/>
    <n v="62955505015512"/>
    <s v="energisa_ms"/>
    <s v="Igreja do Evangelho Quadrangular"/>
    <d v="2025-07-01T00:00:00"/>
    <s v="10/530195-745717"/>
    <s v="SIM"/>
    <n v="103"/>
    <n v="217.83545454545458"/>
    <n v="194.05918727272729"/>
    <s v="Aprovado"/>
    <n v="104.65545454545455"/>
    <n v="80.88"/>
    <d v="2025-09-10T00:00:00"/>
    <d v="2025-09-20T00:00:00"/>
    <n v="80.88"/>
    <m/>
    <s v="6295550501551280,88"/>
    <s v="09/00012683527-9"/>
    <x v="1"/>
    <n v="104.66"/>
    <n v="23.78"/>
    <d v="2025-09-02T00:00:00"/>
  </r>
  <r>
    <x v="0"/>
    <s v="10/532081-7"/>
    <s v="67 992321318"/>
    <n v="62955505193534"/>
    <s v="energisa_ms"/>
    <s v="Igreja do Evangelho Quadrangular"/>
    <d v="2025-07-01T00:00:00"/>
    <s v="10/501586-245689"/>
    <s v="SIM"/>
    <n v="88"/>
    <n v="254.65559999999999"/>
    <n v="231.17751935999996"/>
    <s v="Aprovado"/>
    <n v="104.19560000000001"/>
    <n v="80.72"/>
    <d v="2025-09-10T00:00:00"/>
    <d v="2025-09-20T00:00:00"/>
    <n v="80.72"/>
    <m/>
    <s v="6295550519353480,72"/>
    <s v="09/00012683481-9"/>
    <x v="1"/>
    <n v="80.72"/>
    <n v="0"/>
    <m/>
  </r>
  <r>
    <x v="3"/>
    <s v="10/1548741-6"/>
    <s v="67 81355403"/>
    <n v="62955505084751"/>
    <s v="energisa_ms"/>
    <s v="Igreja do Evangelho Quadrangular"/>
    <d v="2025-07-01T00:00:00"/>
    <s v="10/150263-245839"/>
    <s v="SIM"/>
    <n v="94"/>
    <n v="197.3681818181818"/>
    <n v="174.08449890909088"/>
    <s v="Aprovado"/>
    <n v="102.93818181818183"/>
    <n v="79.650000000000006"/>
    <d v="2025-09-10T00:00:00"/>
    <d v="2025-09-20T00:00:00"/>
    <n v="79.650000000000006"/>
    <m/>
    <s v="6295550508475179,65"/>
    <s v="09/00012683488-4"/>
    <x v="1"/>
    <n v="79.650000000000006"/>
    <n v="0"/>
    <m/>
  </r>
  <r>
    <x v="0"/>
    <s v="10/1184751-4"/>
    <n v="0"/>
    <n v="62955505149047"/>
    <s v="energisa_ms"/>
    <s v="Igreja do Evangelho Quadrangular"/>
    <d v="2025-08-01T00:00:00"/>
    <s v="10/466560-045689"/>
    <s v="SIM"/>
    <n v="88"/>
    <n v="407.24114285714285"/>
    <n v="384.03920574950433"/>
    <s v="Aprovado"/>
    <n v="102.68114285714285"/>
    <n v="79.48"/>
    <d v="2025-09-10T00:00:00"/>
    <d v="2025-09-20T00:00:00"/>
    <n v="79.48"/>
    <m/>
    <s v="6295550514904779,48"/>
    <s v="09/00012749651-9"/>
    <x v="1"/>
    <n v="79.48"/>
    <n v="0"/>
    <m/>
  </r>
  <r>
    <x v="0"/>
    <s v="10/280638-8"/>
    <s v="67 81355403"/>
    <n v="62955505843253"/>
    <s v="energisa_ms"/>
    <s v="Igreja do Evangelho Quadrangular"/>
    <d v="2025-07-01T00:00:00"/>
    <s v="10/135237-645689"/>
    <s v="SIM"/>
    <n v="102"/>
    <n v="245.6490361445783"/>
    <n v="222.10593525301201"/>
    <s v="Aprovado"/>
    <n v="102.62903614457829"/>
    <n v="79.09"/>
    <d v="2025-09-10T00:00:00"/>
    <d v="2025-09-20T00:00:00"/>
    <n v="79.09"/>
    <m/>
    <s v="6295550584325379,09"/>
    <s v="09/00012683522-0"/>
    <x v="1"/>
    <n v="79.09"/>
    <n v="0"/>
    <m/>
  </r>
  <r>
    <x v="0"/>
    <s v="10/78338-1"/>
    <n v="0"/>
    <n v="62955505016837"/>
    <s v="energisa_ms"/>
    <s v="Igreja do Evangelho Quadrangular"/>
    <d v="2025-08-01T00:00:00"/>
    <s v="10/1035655-845627"/>
    <s v="SIM"/>
    <n v="100"/>
    <n v="240.18142857142857"/>
    <n v="217.28221468768905"/>
    <s v="Aprovado"/>
    <n v="101.34142857142857"/>
    <n v="78.44"/>
    <d v="2025-09-10T00:00:00"/>
    <d v="2025-09-20T00:00:00"/>
    <n v="78.44"/>
    <m/>
    <s v="6295550501683778,44"/>
    <s v="09/00012749698-0"/>
    <x v="1"/>
    <n v="78.44"/>
    <n v="0"/>
    <m/>
  </r>
  <r>
    <x v="0"/>
    <s v="10/156956-5"/>
    <s v="67 998338301"/>
    <n v="62955505015350"/>
    <s v="energisa_ms"/>
    <s v="Igreja do Evangelho Quadrangular"/>
    <d v="2025-06-01T00:00:00"/>
    <s v="10/1130988-745658"/>
    <s v="SIM"/>
    <n v="89"/>
    <n v="262.04059999999998"/>
    <n v="237.50836756216216"/>
    <s v="Aprovado"/>
    <n v="103.4006"/>
    <n v="77.55"/>
    <d v="2025-07-22T00:00:00"/>
    <d v="2025-08-02T00:00:00"/>
    <n v="77.55"/>
    <m/>
    <s v="6295550501535077,55"/>
    <s v="09/00012472749-4"/>
    <x v="1"/>
    <n v="77.55"/>
    <n v="0"/>
    <s v="04/08/2025"/>
  </r>
  <r>
    <x v="0"/>
    <s v="10/276283-9"/>
    <s v="46 999066691"/>
    <n v="62955505177504"/>
    <s v="energisa_ms"/>
    <s v="Igreja do Evangelho Quadrangular"/>
    <d v="2025-04-01T00:00:00"/>
    <s v="10/504844-245748"/>
    <s v="SIM"/>
    <n v="92"/>
    <n v="251.89999999999998"/>
    <n v="226.09749999999997"/>
    <s v="Aprovado"/>
    <n v="103.21"/>
    <n v="77.41"/>
    <m/>
    <m/>
    <n v="77.41"/>
    <m/>
    <s v="6295550517750477,41"/>
    <m/>
    <x v="1"/>
    <n v="77.41"/>
    <n v="0"/>
    <m/>
  </r>
  <r>
    <x v="1"/>
    <s v="10/31292-6"/>
    <n v="67996266684"/>
    <n v="62955505016080"/>
    <s v="energisa_ms"/>
    <s v="Igreja do Evangelho Quadrangular"/>
    <d v="2025-01-01T00:00:00"/>
    <s v="10/3030784-745931"/>
    <s v="SIM"/>
    <n v="92"/>
    <n v="198.13"/>
    <n v="172.45750000000004"/>
    <s v="Aprovado"/>
    <n v="102.68999999999998"/>
    <n v="77.02"/>
    <m/>
    <m/>
    <n v="77.02"/>
    <m/>
    <s v="6295550501608077,02"/>
    <m/>
    <x v="1"/>
    <n v="77.02"/>
    <n v="0"/>
    <m/>
  </r>
  <r>
    <x v="1"/>
    <s v="10/952579-1"/>
    <n v="67996150274"/>
    <n v="62955505897930"/>
    <s v="energisa_ms"/>
    <s v="Igreja do Evangelho Quadrangular"/>
    <d v="2025-02-01T00:00:00"/>
    <s v="10/510330-445901"/>
    <s v="SIM"/>
    <n v="105"/>
    <n v="162.76"/>
    <n v="137.19499999999999"/>
    <s v="Aprovado"/>
    <n v="102.25999999999999"/>
    <n v="76.7"/>
    <m/>
    <m/>
    <n v="76.7"/>
    <m/>
    <s v="6295550589793076,7"/>
    <m/>
    <x v="1"/>
    <n v="76.7"/>
    <n v="0"/>
    <m/>
  </r>
  <r>
    <x v="0"/>
    <s v="10/113971-6"/>
    <s v="Solicitação de distrato"/>
    <n v="62955505015601"/>
    <s v="energisa_ms"/>
    <s v="Igreja do Evangelho Quadrangular"/>
    <d v="2025-08-01T00:00:00"/>
    <s v="10/466560-045717"/>
    <s v="SIM"/>
    <n v="84"/>
    <n v="234.22720000000004"/>
    <n v="212.10850717241198"/>
    <s v="Aprovado"/>
    <n v="97.887200000000007"/>
    <n v="75.77"/>
    <d v="2025-09-10T00:00:00"/>
    <d v="2025-09-20T00:00:00"/>
    <n v="75.77"/>
    <m/>
    <s v="6295550501560175,77"/>
    <s v="09/00012749650-1"/>
    <x v="1"/>
    <n v="75.77"/>
    <n v="0"/>
    <m/>
  </r>
  <r>
    <x v="0"/>
    <s v="10/72605-9"/>
    <n v="67996071169"/>
    <n v="62955505136492"/>
    <s v="energisa_ms"/>
    <s v="Igreja do Evangelho Quadrangular"/>
    <d v="2025-06-01T00:00:00"/>
    <s v="10/1130988-745717"/>
    <s v="SIM"/>
    <n v="100"/>
    <n v="252.61265060240964"/>
    <n v="228.74187102506409"/>
    <s v="Aprovado"/>
    <n v="100.61265060240964"/>
    <n v="75.459999999999994"/>
    <d v="2025-07-22T00:00:00"/>
    <d v="2025-08-02T00:00:00"/>
    <n v="75.459999999999994"/>
    <m/>
    <s v="6295550513649275,46"/>
    <s v="09/00012472783-3"/>
    <x v="1"/>
    <n v="75.459999999999994"/>
    <n v="0"/>
    <s v="05/08/2025"/>
  </r>
  <r>
    <x v="1"/>
    <s v="10/3125732-2"/>
    <n v="65999839279"/>
    <n v="62955505015512"/>
    <s v="energisa_ms"/>
    <s v="Igreja do Evangelho Quadrangular"/>
    <d v="2025-05-01T00:00:00"/>
    <s v="10/480529-745658"/>
    <s v="SIM"/>
    <n v="103"/>
    <n v="286.45987500000001"/>
    <n v="261.38490624999997"/>
    <s v="Aprovado"/>
    <n v="100.299875"/>
    <n v="75.22"/>
    <m/>
    <m/>
    <n v="75.22"/>
    <m/>
    <s v="6295550501551275,22"/>
    <m/>
    <x v="1"/>
    <n v="75.22"/>
    <n v="0"/>
    <m/>
  </r>
  <r>
    <x v="1"/>
    <s v="10/1130988-7"/>
    <n v="67992637973"/>
    <n v="62955505040894"/>
    <s v="energisa_ms"/>
    <s v="Igreja do Evangelho Quadrangular"/>
    <d v="2025-04-01T00:00:00"/>
    <s v="10/72605-945748"/>
    <s v="SIM"/>
    <n v="103"/>
    <n v="281.55"/>
    <n v="256.53750000000002"/>
    <s v="Aprovado"/>
    <n v="100.05000000000001"/>
    <n v="75.040000000000006"/>
    <m/>
    <m/>
    <n v="75.040000000000006"/>
    <m/>
    <s v="6295550504089475,04"/>
    <m/>
    <x v="1"/>
    <n v="75.040000000000006"/>
    <n v="0"/>
    <m/>
  </r>
  <r>
    <x v="0"/>
    <s v="10/1288241-1"/>
    <n v="67991133770"/>
    <n v="62955505335851"/>
    <s v="energisa_ms"/>
    <s v="Igreja do Evangelho Quadrangular"/>
    <d v="2025-05-01T00:00:00"/>
    <s v="10/113971-645901"/>
    <s v="SIM"/>
    <n v="103"/>
    <n v="280.90136054421771"/>
    <n v="255.94852040816329"/>
    <s v="Aprovado"/>
    <n v="99.811360544217678"/>
    <n v="74.86"/>
    <m/>
    <m/>
    <n v="74.86"/>
    <m/>
    <s v="6295550533585174,86"/>
    <m/>
    <x v="1"/>
    <n v="99.81"/>
    <n v="24.950000000000003"/>
    <d v="2025-11-07T00:00:00"/>
  </r>
  <r>
    <x v="1"/>
    <s v="10/952579-1"/>
    <n v="67996150274"/>
    <n v="62955505897930"/>
    <s v="energisa_ms"/>
    <s v="Igreja do Evangelho Quadrangular"/>
    <d v="2025-07-01T00:00:00"/>
    <s v="10/1117293-945931"/>
    <s v="SIM"/>
    <n v="96"/>
    <n v="158.58294117647057"/>
    <n v="136.42681447058823"/>
    <s v="Aprovado"/>
    <n v="96.58294117647057"/>
    <n v="74.430000000000007"/>
    <d v="2025-09-10T00:00:00"/>
    <d v="2025-09-20T00:00:00"/>
    <n v="74.430000000000007"/>
    <m/>
    <s v="6295550589793074,43"/>
    <s v="09/00012683529-5"/>
    <x v="1"/>
    <n v="74.430000000000007"/>
    <n v="0"/>
    <m/>
  </r>
  <r>
    <x v="1"/>
    <s v="10/452884-0"/>
    <s v="67 996469842"/>
    <n v="62955505000167"/>
    <s v="energisa_ms"/>
    <s v="Igreja do Evangelho Quadrangular"/>
    <d v="2025-05-01T00:00:00"/>
    <s v="10/1548741-645748"/>
    <s v="SIM"/>
    <n v="89"/>
    <n v="327.23270408163268"/>
    <n v="302.5720280612245"/>
    <s v="Aprovado"/>
    <n v="98.642704081632644"/>
    <n v="73.98"/>
    <m/>
    <m/>
    <n v="73.98"/>
    <m/>
    <s v="6295550500016773,98"/>
    <m/>
    <x v="1"/>
    <n v="98.64"/>
    <n v="24.659999999999997"/>
    <d v="2025-09-26T00:00:00"/>
  </r>
  <r>
    <x v="0"/>
    <s v="10/24514-2"/>
    <n v="0"/>
    <n v="62955505157066"/>
    <s v="energisa_ms"/>
    <s v="Igreja do Evangelho Quadrangular"/>
    <d v="2025-09-01T00:00:00"/>
    <s v="10/8777-545717"/>
    <s v="SIM"/>
    <n v="96"/>
    <n v="218.67482352941175"/>
    <n v="191.5711985134466"/>
    <s v="Aprovado"/>
    <n v="100.91482352941176"/>
    <n v="73.81"/>
    <d v="2025-10-03T00:00:00"/>
    <d v="2025-10-13T00:00:00"/>
    <n v="73.81"/>
    <m/>
    <s v="6295550515706673,81"/>
    <s v="09/00012851543-2"/>
    <x v="1"/>
    <n v="73.81"/>
    <n v="0"/>
    <m/>
  </r>
  <r>
    <x v="0"/>
    <s v="10/202838-9"/>
    <n v="67992637973"/>
    <n v="62955505016403"/>
    <s v="energisa_ms"/>
    <s v="Igreja do Evangelho Quadrangular"/>
    <d v="2025-06-01T00:00:00"/>
    <s v="10/952579-145778"/>
    <s v="SIM"/>
    <n v="84"/>
    <n v="739.6990825688074"/>
    <n v="716.37246176918961"/>
    <s v="Aprovado"/>
    <n v="98.319082568807346"/>
    <n v="73.739999999999995"/>
    <d v="2025-07-22T00:00:00"/>
    <d v="2025-08-02T00:00:00"/>
    <n v="73.739999999999995"/>
    <m/>
    <s v="6295550501640373,74"/>
    <s v="09/00012472765-0"/>
    <x v="1"/>
    <n v="73.739999999999995"/>
    <n v="0"/>
    <s v="05/08/2025"/>
  </r>
  <r>
    <x v="0"/>
    <s v="10/501586-2"/>
    <s v="67 92480766"/>
    <n v="62955505273058"/>
    <s v="energisa_ms"/>
    <s v="Igreja do Evangelho Quadrangular"/>
    <d v="2025-07-01T00:00:00"/>
    <s v="10/1695011-545809"/>
    <s v="SIM"/>
    <n v="85"/>
    <n v="211.72684210526319"/>
    <n v="190.30848852631578"/>
    <s v="Aprovado"/>
    <n v="94.106842105263183"/>
    <n v="72.69"/>
    <d v="2025-09-10T00:00:00"/>
    <d v="2025-09-20T00:00:00"/>
    <n v="72.69"/>
    <m/>
    <s v="6295550527305872,69"/>
    <s v="09/00012683536-0"/>
    <x v="1"/>
    <n v="72.69"/>
    <n v="0"/>
    <m/>
  </r>
  <r>
    <x v="0"/>
    <s v="10/987178-1"/>
    <n v="67993496482"/>
    <n v="62955505015512"/>
    <s v="energisa_ms"/>
    <s v="Igreja do Evangelho Quadrangular"/>
    <d v="2025-07-01T00:00:00"/>
    <s v="10/283183-245901"/>
    <s v="SIM"/>
    <n v="81"/>
    <n v="265.7903"/>
    <n v="244.18075118000002"/>
    <s v="Aprovado"/>
    <n v="94.200299999999999"/>
    <n v="72.59"/>
    <d v="2025-09-10T00:00:00"/>
    <d v="2025-09-20T00:00:00"/>
    <n v="72.59"/>
    <m/>
    <s v="6295550501551272,59"/>
    <s v="09/00012683538-6"/>
    <x v="1"/>
    <n v="72.59"/>
    <n v="0"/>
    <m/>
  </r>
  <r>
    <x v="0"/>
    <s v="10/501586-2"/>
    <n v="0"/>
    <n v="62955505273058"/>
    <s v="energisa_ms"/>
    <s v="Igreja do Evangelho Quadrangular"/>
    <d v="2025-08-01T00:00:00"/>
    <s v="10/283183-245809"/>
    <s v="SIM"/>
    <n v="85"/>
    <n v="209.79999999999998"/>
    <n v="188.62067237871923"/>
    <s v="Aprovado"/>
    <n v="93.73"/>
    <n v="72.55"/>
    <d v="2025-09-10T00:00:00"/>
    <d v="2025-09-20T00:00:00"/>
    <n v="72.55"/>
    <m/>
    <s v="6295550527305872,55"/>
    <s v="09/00012749666-7"/>
    <x v="1"/>
    <n v="72.55"/>
    <n v="0"/>
    <m/>
  </r>
  <r>
    <x v="1"/>
    <s v="10/175073-6"/>
    <n v="67999516782"/>
    <n v="62955505134449"/>
    <s v="energisa_ms"/>
    <s v="Igreja do Evangelho Quadrangular"/>
    <d v="2025-06-01T00:00:00"/>
    <s v="10/1288241-145658"/>
    <s v="SIM"/>
    <n v="95"/>
    <n v="175.74705882352941"/>
    <n v="152.88830905069582"/>
    <s v="Aprovado"/>
    <n v="96.347058823529409"/>
    <n v="72.260000000000005"/>
    <d v="2025-07-22T00:00:00"/>
    <d v="2025-08-02T00:00:00"/>
    <n v="72.260000000000005"/>
    <m/>
    <s v="6295550513444972,26"/>
    <s v="09/00012472780-9"/>
    <x v="1"/>
    <n v="72.260000000000005"/>
    <n v="0"/>
    <m/>
  </r>
  <r>
    <x v="0"/>
    <s v="10/24514-2"/>
    <n v="0"/>
    <n v="62955505157066"/>
    <s v="energisa_ms"/>
    <s v="Igreja do Evangelho Quadrangular"/>
    <d v="2025-08-01T00:00:00"/>
    <s v="10/135237-645627"/>
    <s v="SIM"/>
    <n v="92"/>
    <n v="207.09329411764705"/>
    <n v="186.03072189129"/>
    <s v="Aprovado"/>
    <n v="93.213294117647052"/>
    <n v="72.150000000000006"/>
    <d v="2025-09-10T00:00:00"/>
    <d v="2025-09-20T00:00:00"/>
    <n v="72.150000000000006"/>
    <m/>
    <s v="6295550515706672,15"/>
    <s v="09/00012749702-0"/>
    <x v="1"/>
    <n v="72.150000000000006"/>
    <n v="0"/>
    <m/>
  </r>
  <r>
    <x v="0"/>
    <s v="10/52987-5"/>
    <n v="0"/>
    <n v="62955505182257"/>
    <s v="energisa_ms"/>
    <s v="Igreja do Evangelho Quadrangular"/>
    <d v="2025-08-01T00:00:00"/>
    <s v="10/1548741-645627"/>
    <s v="SIM"/>
    <n v="91"/>
    <n v="252.33352941176472"/>
    <n v="231.29124051107402"/>
    <s v="Aprovado"/>
    <n v="93.123529411764721"/>
    <n v="72.08"/>
    <d v="2025-09-10T00:00:00"/>
    <d v="2025-09-20T00:00:00"/>
    <n v="72.08"/>
    <m/>
    <s v="6295550518225772,08"/>
    <s v="09/00012749703-8"/>
    <x v="1"/>
    <n v="93.12"/>
    <n v="21.040000000000006"/>
    <d v="2025-10-09T00:00:00"/>
  </r>
  <r>
    <x v="1"/>
    <s v="10/226667-4"/>
    <n v="67992637973"/>
    <n v="62955505040894"/>
    <s v="energisa_ms"/>
    <s v="Igreja do Evangelho Quadrangular"/>
    <d v="2025-10-01T00:00:00"/>
    <s v="10/135237-645839"/>
    <s v="SIM"/>
    <n v="82"/>
    <n v="191.27679999999998"/>
    <n v="163.4020659428524"/>
    <s v="Aprovado"/>
    <n v="99.666799999999981"/>
    <n v="71.790000000000006"/>
    <d v="2025-11-06T00:00:00"/>
    <d v="2025-11-13T00:00:00"/>
    <n v="71.790000000000006"/>
    <m/>
    <s v="6295550504089471,79"/>
    <s v="09/00013026980-4"/>
    <x v="1"/>
    <n v="71.790000000000006"/>
    <n v="0"/>
    <m/>
  </r>
  <r>
    <x v="0"/>
    <s v="10/1117293-9"/>
    <n v="67999516782"/>
    <n v="62955505892114"/>
    <s v="energisa_ms"/>
    <s v="Igreja do Evangelho Quadrangular"/>
    <d v="2025-03-01T00:00:00"/>
    <s v="10/3092868-345901"/>
    <s v="SIM"/>
    <n v="85"/>
    <n v="243.27"/>
    <n v="219.55250000000001"/>
    <s v="Aprovado"/>
    <n v="94.87"/>
    <n v="71.150000000000006"/>
    <m/>
    <m/>
    <n v="71.150000000000006"/>
    <m/>
    <s v="6295550589211471,15"/>
    <m/>
    <x v="1"/>
    <n v="71.150000000000006"/>
    <n v="0"/>
    <m/>
  </r>
  <r>
    <x v="0"/>
    <s v="10/1288241-1"/>
    <n v="67991133770"/>
    <n v="62955505335851"/>
    <s v="energisa_ms"/>
    <s v="Igreja do Evangelho Quadrangular"/>
    <d v="2025-07-01T00:00:00"/>
    <s v="10/3054052-045689"/>
    <s v="SIM"/>
    <n v="90"/>
    <n v="206.78117647058826"/>
    <n v="186.00873658823531"/>
    <s v="Aprovado"/>
    <n v="91.55117647058826"/>
    <n v="70.78"/>
    <d v="2025-09-10T00:00:00"/>
    <d v="2025-09-20T00:00:00"/>
    <n v="70.78"/>
    <m/>
    <s v="6295550533585170,78"/>
    <s v="09/00012683528-7"/>
    <x v="1"/>
    <n v="91.55"/>
    <n v="0"/>
    <d v="2025-11-07T00:00:00"/>
  </r>
  <r>
    <x v="0"/>
    <s v="10/283183-2"/>
    <s v="16 988508102"/>
    <n v="62955505287601"/>
    <s v="energisa_ms"/>
    <s v="Igreja do Evangelho Quadrangular"/>
    <d v="2025-02-01T00:00:00"/>
    <s v="10/8777-545901"/>
    <s v="SIM"/>
    <n v="96"/>
    <m/>
    <m/>
    <s v="Aprovado"/>
    <n v="93.510000000000019"/>
    <n v="70.13"/>
    <m/>
    <m/>
    <m/>
    <s v="não emitido pela EGS"/>
    <s v="62955505287601"/>
    <m/>
    <x v="0"/>
    <n v="0"/>
    <n v="0"/>
    <m/>
  </r>
  <r>
    <x v="1"/>
    <s v="10/952579-1"/>
    <n v="67996150274"/>
    <n v="62955505897930"/>
    <s v="energisa_ms"/>
    <s v="Igreja do Evangelho Quadrangular"/>
    <d v="2025-04-01T00:00:00"/>
    <s v="10/3040565-845748"/>
    <s v="SIM"/>
    <n v="96"/>
    <n v="177.89"/>
    <n v="154.54750000000001"/>
    <s v="Aprovado"/>
    <n v="93.37"/>
    <n v="70.03"/>
    <m/>
    <m/>
    <n v="70.03"/>
    <m/>
    <s v="6295550589793070,03"/>
    <m/>
    <x v="1"/>
    <n v="70.03"/>
    <n v="0"/>
    <m/>
  </r>
  <r>
    <x v="1"/>
    <s v="10/511753-6"/>
    <n v="0"/>
    <n v="62955505016080"/>
    <s v="energisa_ms"/>
    <s v="Igreja do Evangelho Quadrangular"/>
    <d v="2025-09-01T00:00:00"/>
    <s v="10/76927-345689"/>
    <s v="SIM"/>
    <n v="79"/>
    <n v="194.2226"/>
    <n v="168.59138632657235"/>
    <s v="Aprovado"/>
    <n v="95.432599999999994"/>
    <n v="69.8"/>
    <d v="2025-10-03T00:00:00"/>
    <d v="2025-10-13T00:00:00"/>
    <n v="69.8"/>
    <m/>
    <s v="6295550501608069,8"/>
    <s v="09/00012851430-2"/>
    <x v="1"/>
    <n v="95.43"/>
    <n v="25.63000000000001"/>
    <d v="2025-10-30T00:00:00"/>
  </r>
  <r>
    <x v="0"/>
    <s v="10/1698130-0"/>
    <n v="0"/>
    <n v="62955505461210"/>
    <s v="energisa_ms"/>
    <s v="Igreja do Evangelho Quadrangular"/>
    <d v="2025-08-01T00:00:00"/>
    <s v="10/10232-745809"/>
    <s v="SIM"/>
    <n v="77"/>
    <n v="268.75080000000003"/>
    <n v="248.39604938027247"/>
    <s v="Aprovado"/>
    <n v="90.080799999999996"/>
    <n v="69.73"/>
    <d v="2025-09-10T00:00:00"/>
    <d v="2025-09-20T00:00:00"/>
    <n v="69.73"/>
    <m/>
    <s v="6295550546121069,73"/>
    <s v="09/00012749654-3"/>
    <x v="1"/>
    <n v="69.73"/>
    <n v="0"/>
    <m/>
  </r>
  <r>
    <x v="0"/>
    <s v="10/1035655-8"/>
    <n v="67996135721"/>
    <n v="62955505182257"/>
    <s v="energisa_ms"/>
    <s v="Igreja do Evangelho Quadrangular"/>
    <d v="2025-07-01T00:00:00"/>
    <s v="10/501586-245658"/>
    <s v="SIM"/>
    <n v="83"/>
    <n v="292.87224719101124"/>
    <n v="273.06533568539328"/>
    <s v="Aprovado"/>
    <n v="88.992247191011259"/>
    <n v="69.19"/>
    <d v="2025-09-10T00:00:00"/>
    <d v="2025-09-20T00:00:00"/>
    <n v="69.19"/>
    <m/>
    <s v="6295550518225769,19"/>
    <s v="09/00012683532-9"/>
    <x v="1"/>
    <n v="69.19"/>
    <n v="0"/>
    <m/>
  </r>
  <r>
    <x v="0"/>
    <s v="10/1433087-2"/>
    <s v="Solicitação de distrato"/>
    <n v="62955505419443"/>
    <s v="energisa_ms"/>
    <s v="Igreja do Evangelho Quadrangular"/>
    <d v="2025-09-01T00:00:00"/>
    <s v="10/3214521-145658"/>
    <s v="SIM"/>
    <n v="78"/>
    <n v="236.34100000000004"/>
    <n v="211.03251112239678"/>
    <s v="Aprovado"/>
    <n v="94.230999999999995"/>
    <n v="68.92"/>
    <d v="2025-10-03T00:00:00"/>
    <d v="2025-10-13T00:00:00"/>
    <n v="68.92"/>
    <m/>
    <s v="6295550541944368,92"/>
    <s v="09/00012851419-5"/>
    <x v="1"/>
    <n v="68.92"/>
    <n v="0"/>
    <d v="2025-10-24T00:00:00"/>
  </r>
  <r>
    <x v="0"/>
    <s v="10/280638-8"/>
    <n v="0"/>
    <n v="62955505843253"/>
    <s v="energisa_ms"/>
    <s v="Igreja do Evangelho Quadrangular"/>
    <d v="2025-08-01T00:00:00"/>
    <s v="10/135237-645778"/>
    <s v="SIM"/>
    <n v="86"/>
    <n v="228.18"/>
    <n v="208.23667922912369"/>
    <s v="Aprovado"/>
    <n v="88.259999999999991"/>
    <n v="68.319999999999993"/>
    <d v="2025-09-10T00:00:00"/>
    <d v="2025-09-20T00:00:00"/>
    <n v="68.319999999999993"/>
    <m/>
    <s v="6295550584325368,32"/>
    <s v="09/00012749686-5"/>
    <x v="1"/>
    <n v="68.319999999999993"/>
    <n v="0"/>
    <m/>
  </r>
  <r>
    <x v="0"/>
    <s v="10/69319-2"/>
    <n v="0"/>
    <n v="62955505182257"/>
    <s v="energisa_ms"/>
    <s v="Igreja do Evangelho Quadrangular"/>
    <d v="2025-08-01T00:00:00"/>
    <s v="10/257864-945931"/>
    <s v="SIM"/>
    <n v="86"/>
    <n v="244.66"/>
    <n v="224.85903467990153"/>
    <s v="Aprovado"/>
    <n v="87.63"/>
    <n v="67.83"/>
    <d v="2025-09-10T00:00:00"/>
    <d v="2025-09-20T00:00:00"/>
    <n v="67.83"/>
    <m/>
    <s v="6295550518225767,83"/>
    <s v="09/00012749687-3"/>
    <x v="1"/>
    <n v="67.83"/>
    <n v="0"/>
    <m/>
  </r>
  <r>
    <x v="0"/>
    <s v="10/72605-9"/>
    <n v="0"/>
    <n v="62955505136492"/>
    <s v="energisa_ms"/>
    <s v="Igreja do Evangelho Quadrangular"/>
    <d v="2025-09-01T00:00:00"/>
    <s v="10/15297-545717"/>
    <s v="SIM"/>
    <n v="88"/>
    <n v="252.82906976744187"/>
    <n v="227.98305557586241"/>
    <s v="Aprovado"/>
    <n v="92.509069767441872"/>
    <n v="67.66"/>
    <d v="2025-10-03T00:00:00"/>
    <d v="2025-10-13T00:00:00"/>
    <n v="67.66"/>
    <m/>
    <s v="6295550513649267,66"/>
    <s v="09/00012851541-6"/>
    <x v="1"/>
    <n v="67.66"/>
    <n v="0"/>
    <m/>
  </r>
  <r>
    <x v="0"/>
    <s v="10/501586-2"/>
    <s v="67 92480766"/>
    <n v="62955505273058"/>
    <s v="energisa_ms"/>
    <s v="Igreja do Evangelho Quadrangular"/>
    <d v="2025-02-01T00:00:00"/>
    <s v="10/260761-245839"/>
    <s v="SIM"/>
    <n v="80"/>
    <n v="200.92"/>
    <n v="178.59499999999997"/>
    <s v="Aprovado"/>
    <n v="89.3"/>
    <n v="66.98"/>
    <m/>
    <m/>
    <n v="66.98"/>
    <m/>
    <s v="6295550527305866,98"/>
    <m/>
    <x v="1"/>
    <n v="66.98"/>
    <n v="0"/>
    <m/>
  </r>
  <r>
    <x v="1"/>
    <s v="10/952579-1"/>
    <n v="0"/>
    <n v="62955505897930"/>
    <s v="energisa_ms"/>
    <s v="Igreja do Evangelho Quadrangular"/>
    <d v="2025-08-01T00:00:00"/>
    <s v="10/1184751-445627"/>
    <s v="SIM"/>
    <n v="84"/>
    <n v="173.55333333333331"/>
    <n v="154.11993129355011"/>
    <s v="Aprovado"/>
    <n v="86.003333333333316"/>
    <n v="66.569999999999993"/>
    <d v="2025-09-10T00:00:00"/>
    <d v="2025-09-20T00:00:00"/>
    <n v="66.569999999999993"/>
    <m/>
    <s v="6295550589793066,57"/>
    <s v="09/00012749701-2"/>
    <x v="1"/>
    <n v="66.569999999999993"/>
    <n v="0"/>
    <m/>
  </r>
  <r>
    <x v="0"/>
    <s v="10/191945-5"/>
    <s v="67 81355403"/>
    <n v="62955505215791"/>
    <s v="energisa_ms"/>
    <s v="Igreja do Evangelho Quadrangular"/>
    <d v="2025-05-01T00:00:00"/>
    <s v="10/1017804-445931"/>
    <s v="SIM"/>
    <n v="77"/>
    <n v="848.83543119266051"/>
    <n v="826.85407339449534"/>
    <s v="Aprovado"/>
    <n v="87.925431192660554"/>
    <n v="65.94"/>
    <m/>
    <m/>
    <n v="65.94"/>
    <m/>
    <s v="6295550521579165,94"/>
    <m/>
    <x v="1"/>
    <n v="65.94"/>
    <n v="0"/>
    <m/>
  </r>
  <r>
    <x v="0"/>
    <s v="10/2794432-1"/>
    <n v="67991162146"/>
    <n v="62955505015199"/>
    <s v="energisa_ms"/>
    <s v="Igreja do Evangelho Quadrangular"/>
    <d v="2025-05-01T00:00:00"/>
    <s v="10/1674177-945809"/>
    <s v="SIM"/>
    <n v="77"/>
    <n v="558.65405405405409"/>
    <n v="536.68804054054044"/>
    <s v="Aprovado"/>
    <n v="87.864054054054066"/>
    <n v="65.900000000000006"/>
    <m/>
    <m/>
    <n v="65.900000000000006"/>
    <m/>
    <s v="6295550501519965,9"/>
    <m/>
    <x v="1"/>
    <n v="87.86"/>
    <n v="21.959999999999994"/>
    <d v="2025-09-17T00:00:00"/>
  </r>
  <r>
    <x v="3"/>
    <s v="10/150263-2"/>
    <s v="Solicitação de distrato"/>
    <n v="62955505091456"/>
    <s v="energisa_ms"/>
    <s v="Igreja do Evangelho Quadrangular"/>
    <d v="2025-08-01T00:00:00"/>
    <s v="10/252817-245870"/>
    <s v="SIM"/>
    <n v="79"/>
    <m/>
    <m/>
    <s v="Aprovado"/>
    <n v="84.964285714285708"/>
    <n v="65.77"/>
    <m/>
    <m/>
    <m/>
    <s v="Pendente dado cadastral"/>
    <s v="6295550509145665,77"/>
    <e v="#N/A"/>
    <x v="0"/>
    <m/>
    <n v="0"/>
    <m/>
  </r>
  <r>
    <x v="1"/>
    <s v="10/952579-1"/>
    <n v="67996150274"/>
    <n v="62955505897930"/>
    <s v="energisa_ms"/>
    <s v="Igreja do Evangelho Quadrangular"/>
    <d v="2025-03-01T00:00:00"/>
    <s v="10/15297-545839"/>
    <s v="SIM"/>
    <n v="89"/>
    <n v="148.09"/>
    <n v="126.4175"/>
    <s v="Aprovado"/>
    <n v="86.69"/>
    <n v="65.02"/>
    <m/>
    <m/>
    <n v="65.02"/>
    <m/>
    <s v="6295550589793065,02"/>
    <m/>
    <x v="1"/>
    <n v="65.02"/>
    <n v="0"/>
    <m/>
  </r>
  <r>
    <x v="1"/>
    <s v="10/341308-5"/>
    <n v="67993249456"/>
    <n v="62955505239119"/>
    <s v="energisa_ms"/>
    <s v="Igreja do Evangelho Quadrangular"/>
    <d v="2025-06-01T00:00:00"/>
    <s v="10/1548741-645809"/>
    <s v="SIM"/>
    <n v="86"/>
    <n v="265.20140845070421"/>
    <n v="244.66909096308285"/>
    <s v="Aprovado"/>
    <n v="86.541408450704225"/>
    <n v="64.91"/>
    <d v="2025-07-22T00:00:00"/>
    <d v="2025-08-02T00:00:00"/>
    <n v="64.91"/>
    <m/>
    <s v="6295550523911964,91"/>
    <s v="09/00012472793-2"/>
    <x v="1"/>
    <n v="64.91"/>
    <n v="0"/>
    <d v="2025-09-01T00:00:00"/>
  </r>
  <r>
    <x v="0"/>
    <s v="10/1117293-9"/>
    <n v="67999516782"/>
    <n v="62955505892114"/>
    <s v="energisa_ms"/>
    <s v="Igreja do Evangelho Quadrangular"/>
    <d v="2025-04-01T00:00:00"/>
    <s v="10/252817-245931"/>
    <s v="SIM"/>
    <n v="76"/>
    <n v="248.10000000000002"/>
    <n v="226.78500000000003"/>
    <s v="Aprovado"/>
    <n v="85.259999999999991"/>
    <n v="63.95"/>
    <m/>
    <m/>
    <n v="63.95"/>
    <m/>
    <s v="6295550589211463,95"/>
    <m/>
    <x v="1"/>
    <n v="63.95"/>
    <n v="0"/>
    <d v="2025-09-01T00:00:00"/>
  </r>
  <r>
    <x v="0"/>
    <s v="10/908866-7"/>
    <n v="67992637973"/>
    <n v="62955505358630"/>
    <s v="energisa_ms"/>
    <s v="Igreja do Evangelho Quadrangular"/>
    <d v="2025-02-01T00:00:00"/>
    <s v="10/3139326-745658"/>
    <s v="SIM"/>
    <n v="87"/>
    <n v="234.23999999999998"/>
    <n v="213.05499999999998"/>
    <s v="Aprovado"/>
    <n v="84.740000000000009"/>
    <n v="63.56"/>
    <m/>
    <m/>
    <n v="63.56"/>
    <m/>
    <s v="6295550535863063,56"/>
    <m/>
    <x v="1"/>
    <n v="63.56"/>
    <n v="0"/>
    <m/>
  </r>
  <r>
    <x v="1"/>
    <s v="10/218777-1"/>
    <n v="67999031330"/>
    <n v="62955505017051"/>
    <s v="energisa_ms"/>
    <s v="Igreja do Evangelho Quadrangular"/>
    <d v="2025-05-01T00:00:00"/>
    <s v="10/395471-645809"/>
    <s v="SIM"/>
    <n v="81"/>
    <n v="152.4367441860465"/>
    <n v="131.36755813953488"/>
    <s v="Aprovado"/>
    <n v="84.276744186046528"/>
    <n v="63.21"/>
    <m/>
    <m/>
    <n v="63.21"/>
    <m/>
    <s v="6295550501705163,21"/>
    <m/>
    <x v="1"/>
    <n v="63.21"/>
    <n v="0"/>
    <m/>
  </r>
  <r>
    <x v="3"/>
    <s v="10/150263-2"/>
    <n v="67992337953"/>
    <n v="62955505091456"/>
    <s v="energisa_ms"/>
    <s v="Igreja do Evangelho Quadrangular"/>
    <d v="2025-07-01T00:00:00"/>
    <s v="10/1698130-045839"/>
    <s v="SIM"/>
    <n v="76"/>
    <n v="160.84666666666664"/>
    <n v="142.5069013333333"/>
    <s v="Aprovado"/>
    <n v="81.356666666666655"/>
    <n v="63.02"/>
    <d v="2025-09-10T00:00:00"/>
    <d v="2025-09-20T00:00:00"/>
    <n v="63.02"/>
    <m/>
    <s v="6295550509145663,02"/>
    <s v="09/00012683534-5"/>
    <x v="3"/>
    <m/>
    <n v="0"/>
    <m/>
  </r>
  <r>
    <x v="0"/>
    <s v="10/162736-3"/>
    <s v="Inadimplência"/>
    <n v="62955505197360"/>
    <s v="energisa_ms"/>
    <s v="Igreja do Evangelho Quadrangular"/>
    <d v="2025-09-01T00:00:00"/>
    <s v="10/104720-845627"/>
    <s v="SIM"/>
    <n v="71"/>
    <n v="243.56739999999999"/>
    <n v="220.53205824451669"/>
    <s v="Aprovado"/>
    <n v="85.767399999999981"/>
    <n v="62.73"/>
    <d v="2025-10-03T00:00:00"/>
    <d v="2025-10-13T00:00:00"/>
    <n v="62.73"/>
    <m/>
    <s v="6295550519736062,73"/>
    <s v="09/00012851416-1"/>
    <x v="1"/>
    <n v="62.73"/>
    <n v="0"/>
    <m/>
  </r>
  <r>
    <x v="3"/>
    <s v="10/1548741-6"/>
    <n v="0"/>
    <n v="62955505084751"/>
    <s v="energisa_ms"/>
    <s v="Igreja do Evangelho Quadrangular"/>
    <d v="2025-08-01T00:00:00"/>
    <s v="10/175073-645689"/>
    <s v="SIM"/>
    <n v="68"/>
    <n v="146.98533333333333"/>
    <n v="128.77392855990973"/>
    <s v="Aprovado"/>
    <n v="80.595333333333329"/>
    <n v="62.38"/>
    <d v="2025-09-10T00:00:00"/>
    <d v="2025-09-20T00:00:00"/>
    <n v="62.38"/>
    <m/>
    <s v="6295550508475162,38"/>
    <s v="09/00012749652-7"/>
    <x v="1"/>
    <n v="62.38"/>
    <n v="0"/>
    <m/>
  </r>
  <r>
    <x v="0"/>
    <s v="10/532081-7"/>
    <n v="0"/>
    <n v="62955505193534"/>
    <s v="energisa_ms"/>
    <s v="Igreja do Evangelho Quadrangular"/>
    <d v="2025-08-01T00:00:00"/>
    <s v="10/175073-645748"/>
    <s v="SIM"/>
    <n v="69"/>
    <n v="234.36871287128716"/>
    <n v="216.17688094694478"/>
    <s v="Aprovado"/>
    <n v="80.508712871287145"/>
    <n v="62.32"/>
    <d v="2025-09-10T00:00:00"/>
    <d v="2025-09-20T00:00:00"/>
    <n v="62.32"/>
    <m/>
    <s v="6295550519353462,32"/>
    <s v="09/00012749648-5"/>
    <x v="1"/>
    <n v="62.32"/>
    <n v="0"/>
    <m/>
  </r>
  <r>
    <x v="0"/>
    <s v="10/908866-7"/>
    <n v="67992637973"/>
    <n v="62955505358630"/>
    <s v="energisa_ms"/>
    <s v="Igreja do Evangelho Quadrangular"/>
    <d v="2025-01-01T00:00:00"/>
    <s v="10/399338-345658"/>
    <s v="SIM"/>
    <n v="83"/>
    <n v="231.99999999999997"/>
    <n v="211.31499999999997"/>
    <s v="Aprovado"/>
    <n v="82.740000000000009"/>
    <n v="62.06"/>
    <m/>
    <m/>
    <n v="62.06"/>
    <m/>
    <s v="6295550535863062,06"/>
    <m/>
    <x v="1"/>
    <n v="62.06"/>
    <n v="0"/>
    <m/>
  </r>
  <r>
    <x v="0"/>
    <s v="10/78338-1"/>
    <s v="67 984742936"/>
    <n v="62955505016837"/>
    <s v="energisa_ms"/>
    <s v="Igreja do Evangelho Quadrangular"/>
    <d v="2025-07-01T00:00:00"/>
    <s v="10/218777-145931"/>
    <s v="SIM"/>
    <n v="77"/>
    <n v="218.46793103448277"/>
    <n v="200.69678765517241"/>
    <s v="Aprovado"/>
    <n v="79.497931034482775"/>
    <n v="61.73"/>
    <d v="2025-09-10T00:00:00"/>
    <d v="2025-09-20T00:00:00"/>
    <n v="61.73"/>
    <m/>
    <s v="6295550501683761,73"/>
    <s v="09/00012683516-2"/>
    <x v="1"/>
    <n v="61.73"/>
    <n v="0"/>
    <m/>
  </r>
  <r>
    <x v="0"/>
    <s v="10/237441-1"/>
    <n v="67992637973"/>
    <n v="62955505017213"/>
    <s v="energisa_ms"/>
    <s v="Igreja do Evangelho Quadrangular"/>
    <d v="2025-05-01T00:00:00"/>
    <s v="10/276283-945839"/>
    <s v="SIM"/>
    <n v="74"/>
    <n v="210.7595918367347"/>
    <n v="190.22219387755104"/>
    <s v="Aprovado"/>
    <n v="82.149591836734686"/>
    <n v="61.61"/>
    <m/>
    <m/>
    <n v="61.61"/>
    <m/>
    <s v="6295550501721361,61"/>
    <m/>
    <x v="1"/>
    <n v="61.61"/>
    <n v="0"/>
    <m/>
  </r>
  <r>
    <x v="1"/>
    <s v="10/530195-7"/>
    <n v="67999516782"/>
    <n v="62955505367117"/>
    <s v="energisa_ms"/>
    <s v="Igreja do Evangelho Quadrangular"/>
    <d v="2025-01-01T00:00:00"/>
    <s v="10/127464-645748"/>
    <s v="SIM"/>
    <n v="73"/>
    <n v="165.78"/>
    <n v="145.41000000000003"/>
    <s v="Aprovado"/>
    <n v="81.48"/>
    <n v="61.11"/>
    <m/>
    <m/>
    <n v="61.11"/>
    <m/>
    <s v="6295550536711761,11"/>
    <m/>
    <x v="1"/>
    <n v="61.11"/>
    <n v="0"/>
    <d v="2025-09-25T00:00:00"/>
  </r>
  <r>
    <x v="0"/>
    <s v="10/1695011-5"/>
    <n v="67991767866"/>
    <n v="62955505461210"/>
    <s v="energisa_ms"/>
    <s v="Igreja do Evangelho Quadrangular"/>
    <d v="2025-04-01T00:00:00"/>
    <s v="10/510330-445839"/>
    <s v="SIM"/>
    <n v="72"/>
    <n v="1112.08"/>
    <n v="1091.9724999999999"/>
    <s v="Aprovado"/>
    <n v="80.430000000000007"/>
    <n v="60.32"/>
    <m/>
    <m/>
    <n v="60.32"/>
    <m/>
    <s v="6295550546121060,32"/>
    <m/>
    <x v="1"/>
    <n v="60.32"/>
    <n v="0"/>
    <m/>
  </r>
  <r>
    <x v="0"/>
    <s v="10/1672452-8"/>
    <n v="67992637973"/>
    <n v="62955505017213"/>
    <s v="energisa_ms"/>
    <s v="Igreja do Evangelho Quadrangular"/>
    <d v="2025-07-01T00:00:00"/>
    <s v="10/257864-945809"/>
    <s v="SIM"/>
    <n v="64"/>
    <n v="208.61680000000001"/>
    <n v="191.54329208000001"/>
    <s v="Aprovado"/>
    <n v="77.136800000000008"/>
    <n v="60.06"/>
    <d v="2025-09-10T00:00:00"/>
    <d v="2025-09-20T00:00:00"/>
    <n v="60.06"/>
    <m/>
    <s v="6295550501721360,06"/>
    <s v="09/00012683530-3"/>
    <x v="1"/>
    <n v="60.06"/>
    <n v="0"/>
    <m/>
  </r>
  <r>
    <x v="0"/>
    <s v="10/1117293-9"/>
    <n v="67999516782"/>
    <n v="62955505892114"/>
    <s v="energisa_ms"/>
    <s v="Igreja do Evangelho Quadrangular"/>
    <d v="2025-02-01T00:00:00"/>
    <s v="10/61344-845658"/>
    <s v="SIM"/>
    <n v="75"/>
    <n v="227.65"/>
    <n v="207.68"/>
    <s v="Aprovado"/>
    <n v="79.88"/>
    <n v="59.91"/>
    <m/>
    <m/>
    <n v="59.91"/>
    <m/>
    <s v="6295550589211459,91"/>
    <m/>
    <x v="1"/>
    <n v="59.91"/>
    <n v="0"/>
    <m/>
  </r>
  <r>
    <x v="1"/>
    <s v="10/3125732-2"/>
    <n v="65999839279"/>
    <n v="62955505015512"/>
    <s v="energisa_ms"/>
    <s v="Igreja do Evangelho Quadrangular"/>
    <d v="2025-06-01T00:00:00"/>
    <s v="10/10232-745778"/>
    <s v="SIM"/>
    <n v="79"/>
    <n v="284.10422680412375"/>
    <n v="265.26049095390317"/>
    <s v="Aprovado"/>
    <n v="79.42422680412372"/>
    <n v="59.57"/>
    <d v="2025-07-22T00:00:00"/>
    <d v="2025-08-02T00:00:00"/>
    <n v="59.57"/>
    <m/>
    <s v="6295550501551259,57"/>
    <s v="09/00012472801-3"/>
    <x v="1"/>
    <n v="59.57"/>
    <n v="0"/>
    <e v="#N/A"/>
  </r>
  <r>
    <x v="1"/>
    <s v="10/466560-0"/>
    <n v="67998302932"/>
    <n v="62955505015512"/>
    <s v="energisa_ms"/>
    <s v="Igreja do Evangelho Quadrangular"/>
    <d v="2025-06-01T00:00:00"/>
    <s v="10/218777-145658"/>
    <s v="SIM"/>
    <n v="79"/>
    <n v="252.79301075268819"/>
    <n v="234.06344545879551"/>
    <s v="Aprovado"/>
    <n v="78.943010752688181"/>
    <n v="59.21"/>
    <d v="2025-07-22T00:00:00"/>
    <d v="2025-08-02T00:00:00"/>
    <n v="59.21"/>
    <m/>
    <s v="6295550501551259,21"/>
    <s v="09/00012472802-1"/>
    <x v="1"/>
    <n v="59.21"/>
    <n v="0"/>
    <m/>
  </r>
  <r>
    <x v="0"/>
    <s v="10/24514-2"/>
    <n v="67996266684"/>
    <n v="62955505157066"/>
    <s v="energisa_ms"/>
    <s v="Igreja do Evangelho Quadrangular"/>
    <d v="2025-04-01T00:00:00"/>
    <s v="10/109074-545778"/>
    <s v="SIM"/>
    <n v="81"/>
    <n v="187.69"/>
    <n v="167.97499999999999"/>
    <s v="Aprovado"/>
    <n v="78.86"/>
    <n v="59.15"/>
    <m/>
    <m/>
    <n v="59.15"/>
    <m/>
    <s v="6295550515706659,15"/>
    <m/>
    <x v="1"/>
    <n v="59.15"/>
    <n v="0"/>
    <m/>
  </r>
  <r>
    <x v="0"/>
    <s v="10/1288241-1"/>
    <n v="67991133770"/>
    <n v="62955505335851"/>
    <s v="energisa_ms"/>
    <s v="Igreja do Evangelho Quadrangular"/>
    <d v="2025-06-01T00:00:00"/>
    <s v="10/384823-145748"/>
    <s v="SIM"/>
    <n v="79"/>
    <n v="238.16161290322583"/>
    <n v="219.47033993605058"/>
    <s v="Aprovado"/>
    <n v="78.78161290322582"/>
    <n v="59.09"/>
    <d v="2025-07-22T00:00:00"/>
    <d v="2025-08-02T00:00:00"/>
    <n v="59.09"/>
    <m/>
    <s v="6295550533585159,09"/>
    <s v="09/00012472794-0"/>
    <x v="1"/>
    <n v="78.78"/>
    <n v="19.689999999999998"/>
    <d v="2025-11-07T00:00:00"/>
  </r>
  <r>
    <x v="0"/>
    <s v="10/435964-2"/>
    <n v="67992021114"/>
    <n v="62955505357405"/>
    <s v="energisa_ms"/>
    <s v="Igreja do Evangelho Quadrangular"/>
    <d v="2025-06-01T00:00:00"/>
    <s v="10/218777-145717"/>
    <s v="SIM"/>
    <n v="78"/>
    <n v="279.40666666666664"/>
    <n v="260.76401806639575"/>
    <s v="Aprovado"/>
    <n v="78.576666666666668"/>
    <n v="58.93"/>
    <d v="2025-07-22T00:00:00"/>
    <d v="2025-08-02T00:00:00"/>
    <n v="58.93"/>
    <m/>
    <s v="6295550535740558,93"/>
    <s v="09/00012472771-8"/>
    <x v="1"/>
    <n v="58.93"/>
    <n v="0"/>
    <s v="05/08/2025"/>
  </r>
  <r>
    <x v="1"/>
    <s v="10/1130988-7"/>
    <n v="67992637973"/>
    <n v="62955505040894"/>
    <s v="energisa_ms"/>
    <s v="Igreja do Evangelho Quadrangular"/>
    <d v="2025-05-01T00:00:00"/>
    <s v="10/218777-145748"/>
    <s v="SIM"/>
    <n v="79"/>
    <n v="351.9324644549763"/>
    <n v="332.47934834123225"/>
    <s v="Aprovado"/>
    <n v="77.812464454976308"/>
    <n v="58.36"/>
    <m/>
    <m/>
    <n v="58.36"/>
    <m/>
    <s v="6295550504089458,36"/>
    <m/>
    <x v="1"/>
    <n v="58.36"/>
    <n v="0"/>
    <m/>
  </r>
  <r>
    <x v="0"/>
    <s v="10/1184751-4"/>
    <s v="67 96034976"/>
    <n v="62955505149047"/>
    <s v="energisa_ms"/>
    <s v="Igreja do Evangelho Quadrangular"/>
    <d v="2025-01-01T00:00:00"/>
    <s v="10/18015-845870"/>
    <s v="SIM"/>
    <n v="68"/>
    <n v="229.68"/>
    <n v="210.70500000000001"/>
    <s v="Aprovado"/>
    <n v="75.900000000000006"/>
    <n v="56.93"/>
    <m/>
    <m/>
    <n v="56.93"/>
    <m/>
    <s v="6295550514904756,93"/>
    <m/>
    <x v="1"/>
    <n v="56.93"/>
    <n v="0"/>
    <m/>
  </r>
  <r>
    <x v="3"/>
    <s v="10/1548741-6"/>
    <s v="67 81355403"/>
    <n v="62955505084751"/>
    <s v="energisa_ms"/>
    <s v="Igreja do Evangelho Quadrangular"/>
    <d v="2025-10-01T00:00:00"/>
    <s v="10/162736-345870"/>
    <s v="SIM"/>
    <n v="131"/>
    <n v="283.1723076923077"/>
    <n v="240.36395906371354"/>
    <s v="Aprovado"/>
    <n v="153.06230769230768"/>
    <n v="110.25"/>
    <d v="2025-11-06T00:00:00"/>
    <d v="2025-11-13T00:00:00"/>
    <n v="110.25"/>
    <m/>
    <s v="62955505084751110,25"/>
    <s v="09/00013026983-8"/>
    <x v="2"/>
    <m/>
    <n v="0"/>
    <m/>
  </r>
  <r>
    <x v="0"/>
    <s v="10/3092868-3"/>
    <s v=" 67 91285460"/>
    <n v="62955505419443"/>
    <s v="energisa_ms"/>
    <s v="Igreja do Evangelho Quadrangular"/>
    <d v="2025-06-01T00:00:00"/>
    <s v="10/52987-545778"/>
    <s v="SIM"/>
    <n v="64"/>
    <n v="252.8026315789474"/>
    <n v="235.03166344046014"/>
    <s v="Aprovado"/>
    <n v="74.902631578947378"/>
    <n v="56.18"/>
    <d v="2025-07-22T00:00:00"/>
    <d v="2025-08-02T00:00:00"/>
    <n v="56.18"/>
    <m/>
    <s v="6295550541944356,18"/>
    <s v="09/00012472744-5"/>
    <x v="1"/>
    <n v="56.18"/>
    <n v="0"/>
    <s v="06/08/2025"/>
  </r>
  <r>
    <x v="1"/>
    <s v="10/226667-4"/>
    <n v="0"/>
    <n v="62955505040894"/>
    <s v="energisa_ms"/>
    <s v="Igreja do Evangelho Quadrangular"/>
    <d v="2025-09-01T00:00:00"/>
    <s v="10/104720-845689"/>
    <s v="SIM"/>
    <n v="63"/>
    <n v="167.3322"/>
    <n v="146.89273016246096"/>
    <s v="Aprovado"/>
    <n v="76.102199999999996"/>
    <n v="55.66"/>
    <d v="2025-10-03T00:00:00"/>
    <d v="2025-10-13T00:00:00"/>
    <n v="55.66"/>
    <m/>
    <s v="6295550504089455,66"/>
    <s v="09/00012851426-0"/>
    <x v="1"/>
    <n v="55.66"/>
    <n v="0"/>
    <m/>
  </r>
  <r>
    <x v="0"/>
    <s v="10/76927-3"/>
    <s v="67 999373813"/>
    <n v="62955505058599"/>
    <s v="energisa_ms"/>
    <s v="Igreja do Evangelho Quadrangular"/>
    <d v="2025-07-01T00:00:00"/>
    <s v="10/530195-745689"/>
    <s v="SIM"/>
    <n v="69"/>
    <n v="212.52640449438204"/>
    <n v="196.5999873033708"/>
    <s v="Aprovado"/>
    <n v="71.446404494382023"/>
    <n v="55.52"/>
    <d v="2025-09-10T00:00:00"/>
    <d v="2025-09-20T00:00:00"/>
    <n v="55.52"/>
    <m/>
    <s v="6295550505859955,52"/>
    <s v="09/00012683511-3"/>
    <x v="1"/>
    <n v="71.45"/>
    <n v="15.93"/>
    <d v="2025-09-04T00:00:00"/>
  </r>
  <r>
    <x v="0"/>
    <s v="10/1695011-5"/>
    <n v="67991767866"/>
    <n v="62955505461210"/>
    <s v="energisa_ms"/>
    <s v="Igreja do Evangelho Quadrangular"/>
    <d v="2025-05-01T00:00:00"/>
    <s v="10/1672452-845901"/>
    <s v="SIM"/>
    <n v="65"/>
    <n v="1006.5371572871572"/>
    <n v="988.16536796536798"/>
    <s v="Aprovado"/>
    <n v="73.487157287157288"/>
    <n v="55.12"/>
    <m/>
    <m/>
    <n v="55.12"/>
    <m/>
    <s v="6295550546121055,12"/>
    <m/>
    <x v="1"/>
    <n v="55.12"/>
    <n v="0"/>
    <m/>
  </r>
  <r>
    <x v="1"/>
    <s v="10/530195-7"/>
    <n v="67999516782"/>
    <n v="62955505367117"/>
    <s v="energisa_ms"/>
    <s v="Igreja do Evangelho Quadrangular"/>
    <d v="2025-10-01T00:00:00"/>
    <s v="10/925970-645778"/>
    <s v="SIM"/>
    <n v="69"/>
    <n v="161.06076923076921"/>
    <n v="140.36988452642535"/>
    <s v="Aprovado"/>
    <n v="73.980769230769226"/>
    <n v="53.29"/>
    <d v="2025-11-06T00:00:00"/>
    <d v="2025-11-13T00:00:00"/>
    <n v="53.29"/>
    <m/>
    <s v="6295550536711753,29"/>
    <s v="09/00013026920-0"/>
    <x v="1"/>
    <n v="53.29"/>
    <n v="0"/>
    <d v="2025-11-26T00:00:00"/>
  </r>
  <r>
    <x v="1"/>
    <s v="10/13786-9"/>
    <n v="67996266684"/>
    <n v="62955505197521"/>
    <s v="energisa_ms"/>
    <s v="Igreja do Evangelho Quadrangular"/>
    <d v="2025-06-01T00:00:00"/>
    <s v="10/113971-645839"/>
    <s v="SIM"/>
    <n v="70"/>
    <n v="266.24375796178339"/>
    <n v="249.44526503436441"/>
    <s v="Aprovado"/>
    <n v="70.803757961783418"/>
    <n v="53.1"/>
    <d v="2025-07-22T00:00:00"/>
    <d v="2025-08-02T00:00:00"/>
    <n v="53.1"/>
    <m/>
    <s v="6295550519752153,1"/>
    <s v="09/00012472789-0"/>
    <x v="1"/>
    <n v="53.1"/>
    <n v="0"/>
    <s v="04/08/2025"/>
  </r>
  <r>
    <x v="0"/>
    <s v="10/3054052-0"/>
    <n v="67996266684"/>
    <n v="62955505312487"/>
    <s v="energisa_ms"/>
    <s v="Igreja do Evangelho Quadrangular"/>
    <d v="2025-02-01T00:00:00"/>
    <s v="10/127464-645839"/>
    <s v="SIM"/>
    <n v="71"/>
    <n v="227.63"/>
    <n v="210.34"/>
    <s v="Aprovado"/>
    <n v="69.16"/>
    <n v="51.87"/>
    <m/>
    <m/>
    <n v="51.87"/>
    <m/>
    <s v="6295550531248751,87"/>
    <m/>
    <x v="1"/>
    <n v="51.87"/>
    <n v="0"/>
    <m/>
  </r>
  <r>
    <x v="0"/>
    <s v="10/3054052-0"/>
    <n v="67996266684"/>
    <n v="62955505312487"/>
    <s v="energisa_ms"/>
    <s v="Igreja do Evangelho Quadrangular"/>
    <d v="2025-03-01T00:00:00"/>
    <s v="10/1939035-045809"/>
    <s v="SIM"/>
    <n v="71"/>
    <n v="227.63"/>
    <n v="210.34"/>
    <s v="Aprovado"/>
    <n v="69.16"/>
    <n v="51.87"/>
    <m/>
    <m/>
    <n v="51.87"/>
    <m/>
    <s v="6295550531248751,87"/>
    <m/>
    <x v="1"/>
    <n v="51.87"/>
    <n v="0"/>
    <m/>
  </r>
  <r>
    <x v="0"/>
    <s v="10/1288241-1"/>
    <n v="0"/>
    <n v="62955505335851"/>
    <s v="energisa_ms"/>
    <s v="Igreja do Evangelho Quadrangular"/>
    <d v="2025-09-01T00:00:00"/>
    <s v="10/76927-345717"/>
    <s v="SIM"/>
    <n v="66"/>
    <n v="236.74390624999998"/>
    <n v="218.10883053592721"/>
    <s v="Aprovado"/>
    <n v="69.383906249999995"/>
    <n v="50.75"/>
    <d v="2025-10-03T00:00:00"/>
    <d v="2025-10-13T00:00:00"/>
    <n v="50.75"/>
    <m/>
    <s v="6295550533585150,75"/>
    <s v="09/00012851539-0"/>
    <x v="1"/>
    <n v="50.75"/>
    <n v="0"/>
    <m/>
  </r>
  <r>
    <x v="1"/>
    <s v="10/466560-0"/>
    <n v="0"/>
    <n v="62955505015512"/>
    <s v="energisa_ms"/>
    <s v="Igreja do Evangelho Quadrangular"/>
    <d v="2025-09-01T00:00:00"/>
    <s v="10/142353-245717"/>
    <s v="SIM"/>
    <n v="66"/>
    <n v="279.26213114754097"/>
    <n v="260.62753218910962"/>
    <s v="Aprovado"/>
    <n v="69.382131147540989"/>
    <n v="50.75"/>
    <d v="2025-10-03T00:00:00"/>
    <d v="2025-10-13T00:00:00"/>
    <n v="50.75"/>
    <m/>
    <s v="6295550501551250,75"/>
    <s v="09/00012851540-8"/>
    <x v="1"/>
    <n v="50.75"/>
    <n v="0"/>
    <m/>
  </r>
  <r>
    <x v="1"/>
    <s v="10/218777-1"/>
    <n v="67999031330"/>
    <n v="62955505017051"/>
    <s v="energisa_ms"/>
    <s v="Igreja do Evangelho Quadrangular"/>
    <d v="2025-10-01T00:00:00"/>
    <s v="10/512142-145839"/>
    <s v="SIM"/>
    <n v="61"/>
    <n v="143.60111111111112"/>
    <n v="124.02325413238742"/>
    <s v="Aprovado"/>
    <n v="70.001111111111115"/>
    <n v="50.42"/>
    <d v="2025-11-06T00:00:00"/>
    <d v="2025-11-13T00:00:00"/>
    <n v="50.42"/>
    <m/>
    <s v="6295550501705150,42"/>
    <s v="09/00013026973-9"/>
    <x v="1"/>
    <n v="50.42"/>
    <n v="0"/>
    <m/>
  </r>
  <r>
    <x v="1"/>
    <s v="10/129490-9"/>
    <n v="67996446178"/>
    <n v="62955505405140"/>
    <s v="energisa_ms"/>
    <s v="Igreja do Evangelho Quadrangular"/>
    <d v="2025-10-01T00:00:00"/>
    <s v="10/113971-645748"/>
    <s v="SIM"/>
    <n v="75"/>
    <n v="387.314798206278"/>
    <n v="365.21879693766488"/>
    <s v="Aprovado"/>
    <n v="79.004798206278011"/>
    <n v="56.91"/>
    <d v="2025-11-06T00:00:00"/>
    <d v="2025-11-13T00:00:00"/>
    <n v="56.91"/>
    <m/>
    <s v="6295550540514056,91"/>
    <s v="09/00013026899-6"/>
    <x v="2"/>
    <m/>
    <n v="0"/>
    <m/>
  </r>
  <r>
    <x v="0"/>
    <s v="10/1698130-0"/>
    <n v="67991767866"/>
    <n v="62955505461210"/>
    <s v="energisa_ms"/>
    <s v="Igreja do Evangelho Quadrangular"/>
    <d v="2025-07-01T00:00:00"/>
    <s v="10/2794432-145778"/>
    <s v="SIM"/>
    <n v="54"/>
    <n v="240.79019999999997"/>
    <n v="226.38383411999999"/>
    <s v="Aprovado"/>
    <n v="64.420200000000008"/>
    <n v="50.01"/>
    <d v="2025-09-10T00:00:00"/>
    <d v="2025-09-20T00:00:00"/>
    <n v="50.01"/>
    <m/>
    <s v="6295550546121050,01"/>
    <s v="09/00012683483-5"/>
    <x v="1"/>
    <n v="50.01"/>
    <n v="0"/>
    <m/>
  </r>
  <r>
    <x v="0"/>
    <s v="10/156956-5"/>
    <s v="67 998338301"/>
    <n v="62955505015350"/>
    <s v="energisa_ms"/>
    <s v="Igreja do Evangelho Quadrangular"/>
    <d v="2025-07-01T00:00:00"/>
    <s v="10/952579-145717"/>
    <s v="SIM"/>
    <n v="54"/>
    <n v="217.73019999999997"/>
    <n v="203.32383411999999"/>
    <s v="Aprovado"/>
    <n v="64.120200000000011"/>
    <n v="49.71"/>
    <d v="2025-09-10T00:00:00"/>
    <d v="2025-09-20T00:00:00"/>
    <n v="49.71"/>
    <m/>
    <s v="6295550501535049,71"/>
    <s v="09/00012683485-0"/>
    <x v="1"/>
    <n v="49.71"/>
    <n v="0"/>
    <m/>
  </r>
  <r>
    <x v="0"/>
    <s v="10/237441-1"/>
    <n v="67992637973"/>
    <n v="62955505017213"/>
    <s v="energisa_ms"/>
    <s v="Igreja do Evangelho Quadrangular"/>
    <d v="2025-02-01T00:00:00"/>
    <s v="10/1035655-845689"/>
    <s v="SIM"/>
    <n v="59"/>
    <n v="192.79999999999998"/>
    <n v="176.33749999999998"/>
    <s v="Aprovado"/>
    <n v="65.849999999999994"/>
    <n v="49.39"/>
    <m/>
    <m/>
    <n v="49.39"/>
    <m/>
    <s v="6295550501721349,39"/>
    <m/>
    <x v="1"/>
    <n v="49.39"/>
    <n v="0"/>
    <m/>
  </r>
  <r>
    <x v="1"/>
    <s v="10/530195-7"/>
    <n v="67999516782"/>
    <n v="62955505367117"/>
    <s v="energisa_ms"/>
    <s v="Igreja do Evangelho Quadrangular"/>
    <d v="2025-06-01T00:00:00"/>
    <s v="10/24514-245931"/>
    <s v="SIM"/>
    <n v="65"/>
    <n v="150.02666666666667"/>
    <n v="134.59644069458483"/>
    <s v="Aprovado"/>
    <n v="65.036666666666676"/>
    <n v="48.78"/>
    <d v="2025-07-22T00:00:00"/>
    <d v="2025-08-02T00:00:00"/>
    <n v="48.78"/>
    <m/>
    <s v="6295550536711748,78"/>
    <s v="09/00012472799-9"/>
    <x v="1"/>
    <n v="48.78"/>
    <n v="0"/>
    <d v="2025-09-25T00:00:00"/>
  </r>
  <r>
    <x v="0"/>
    <s v="10/135237-6"/>
    <n v="67996446178"/>
    <n v="62955505080098"/>
    <s v="energisa_ms"/>
    <s v="Igreja do Evangelho Quadrangular"/>
    <d v="2025-02-01T00:00:00"/>
    <s v="10/2794432-145901"/>
    <s v="SIM"/>
    <n v="58"/>
    <m/>
    <m/>
    <s v="Aprovado"/>
    <n v="64.739999999999995"/>
    <n v="48.56"/>
    <m/>
    <m/>
    <m/>
    <s v="não emitido pela EGS"/>
    <s v="62955505080098"/>
    <m/>
    <x v="0"/>
    <n v="0"/>
    <n v="0"/>
    <m/>
  </r>
  <r>
    <x v="0"/>
    <s v="10/283183-2"/>
    <s v="16 988508102"/>
    <n v="62955505287601"/>
    <s v="energisa_ms"/>
    <s v="Igreja do Evangelho Quadrangular"/>
    <d v="2025-05-01T00:00:00"/>
    <s v="10/466560-045658"/>
    <s v="SIM"/>
    <n v="66"/>
    <n v="213.24213483146065"/>
    <n v="197.09660112359546"/>
    <s v="Aprovado"/>
    <n v="64.582134831460664"/>
    <n v="48.44"/>
    <m/>
    <m/>
    <n v="48.44"/>
    <m/>
    <s v="6295550528760148,44"/>
    <m/>
    <x v="1"/>
    <n v="48.44"/>
    <n v="0"/>
    <m/>
  </r>
  <r>
    <x v="0"/>
    <s v="10/135237-6"/>
    <n v="67996446178"/>
    <n v="62955505080098"/>
    <s v="energisa_ms"/>
    <s v="Igreja do Evangelho Quadrangular"/>
    <d v="2025-04-01T00:00:00"/>
    <s v="10/81222-245870"/>
    <s v="SIM"/>
    <n v="57"/>
    <n v="191.6"/>
    <n v="175.655"/>
    <s v="Aprovado"/>
    <n v="63.78"/>
    <n v="47.84"/>
    <m/>
    <m/>
    <n v="47.84"/>
    <m/>
    <s v="6295550508009847,84"/>
    <e v="#N/A"/>
    <x v="1"/>
    <n v="63.78"/>
    <n v="15.939999999999998"/>
    <d v="2025-10-01T00:00:00"/>
  </r>
  <r>
    <x v="0"/>
    <s v="10/24514-2"/>
    <n v="67996266684"/>
    <n v="62955505157066"/>
    <s v="energisa_ms"/>
    <s v="Igreja do Evangelho Quadrangular"/>
    <d v="2025-06-01T00:00:00"/>
    <s v="10/252817-245748"/>
    <s v="SIM"/>
    <n v="62"/>
    <n v="176.63133333333337"/>
    <n v="161.8453317514344"/>
    <s v="Aprovado"/>
    <n v="62.321333333333321"/>
    <n v="46.74"/>
    <d v="2025-07-22T00:00:00"/>
    <d v="2025-08-02T00:00:00"/>
    <n v="46.74"/>
    <m/>
    <s v="6295550515706646,74"/>
    <s v="09/00012472787-4"/>
    <x v="1"/>
    <n v="46.74"/>
    <n v="0"/>
    <e v="#N/A"/>
  </r>
  <r>
    <x v="0"/>
    <s v="10/1266128-6"/>
    <n v="67991306665"/>
    <n v="62955505379395"/>
    <s v="energisa_ms"/>
    <s v="Igreja do Evangelho Quadrangular"/>
    <d v="2025-07-01T00:00:00"/>
    <s v="10/466560-045809"/>
    <s v="SIM"/>
    <n v="60"/>
    <n v="174.45333333333332"/>
    <n v="160.60369066666664"/>
    <s v="Aprovado"/>
    <n v="60.473333333333343"/>
    <n v="46.62"/>
    <d v="2025-09-10T00:00:00"/>
    <d v="2025-09-20T00:00:00"/>
    <n v="46.62"/>
    <m/>
    <s v="6295550537939546,62"/>
    <s v="09/00012683500-6"/>
    <x v="1"/>
    <n v="46.62"/>
    <n v="0"/>
    <m/>
  </r>
  <r>
    <x v="3"/>
    <s v="10/384823-1"/>
    <n v="67999159477"/>
    <n v="62955505000167"/>
    <s v="energisa_ms"/>
    <s v="Igreja do Evangelho Quadrangular"/>
    <d v="2025-01-01T00:00:00"/>
    <s v="10/202838-945748"/>
    <s v="SIM"/>
    <n v="55"/>
    <n v="95.63"/>
    <n v="80.284999999999997"/>
    <s v="Aprovado"/>
    <n v="61.379999999999995"/>
    <n v="46.04"/>
    <m/>
    <m/>
    <n v="46.04"/>
    <m/>
    <s v="6295550500016746,04"/>
    <m/>
    <x v="1"/>
    <n v="46.04"/>
    <n v="0"/>
    <m/>
  </r>
  <r>
    <x v="1"/>
    <s v="10/530195-7"/>
    <n v="67999516782"/>
    <n v="62955505367117"/>
    <s v="energisa_ms"/>
    <s v="Igreja do Evangelho Quadrangular"/>
    <d v="2025-03-01T00:00:00"/>
    <s v="10/109074-545839"/>
    <s v="SIM"/>
    <n v="0"/>
    <m/>
    <m/>
    <s v="Aprovado"/>
    <n v="0"/>
    <n v="46.03"/>
    <m/>
    <m/>
    <m/>
    <s v="não emitido pela EGS"/>
    <s v="62955505367117"/>
    <m/>
    <x v="0"/>
    <n v="0"/>
    <n v="0"/>
    <m/>
  </r>
  <r>
    <x v="1"/>
    <s v="10/530195-7"/>
    <n v="67999516782"/>
    <n v="62955505367117"/>
    <s v="energisa_ms"/>
    <s v="Igreja do Evangelho Quadrangular"/>
    <d v="2025-02-01T00:00:00"/>
    <s v="10/3139326-745901"/>
    <s v="SIM"/>
    <n v="63"/>
    <n v="220.91000000000003"/>
    <n v="205.56750000000002"/>
    <s v="Aprovado"/>
    <n v="61.370000000000005"/>
    <n v="46.03"/>
    <m/>
    <m/>
    <n v="46.03"/>
    <m/>
    <s v="6295550536711746,03"/>
    <m/>
    <x v="1"/>
    <n v="46.03"/>
    <n v="0"/>
    <m/>
  </r>
  <r>
    <x v="1"/>
    <s v="10/257864-9"/>
    <n v="67981311823"/>
    <n v="62955505182176"/>
    <s v="energisa_ms"/>
    <s v="Igreja do Evangelho Quadrangular"/>
    <d v="2025-05-01T00:00:00"/>
    <s v="10/1288241-145870"/>
    <s v="SIM"/>
    <n v="54"/>
    <n v="272.07826347305394"/>
    <n v="256.81619760479049"/>
    <s v="Aprovado"/>
    <n v="61.048263473053893"/>
    <n v="45.79"/>
    <m/>
    <m/>
    <n v="45.79"/>
    <m/>
    <s v="6295550518217645,79"/>
    <m/>
    <x v="2"/>
    <n v="0"/>
    <n v="-45.79"/>
    <m/>
  </r>
  <r>
    <x v="0"/>
    <s v="10/1117293-9"/>
    <n v="67999516782"/>
    <n v="62955505892114"/>
    <s v="energisa_ms"/>
    <s v="Igreja do Evangelho Quadrangular"/>
    <d v="2025-10-01T00:00:00"/>
    <s v="10/135237-645870"/>
    <s v="SIM"/>
    <n v="58"/>
    <n v="230.40979999999996"/>
    <n v="210.84629367341319"/>
    <s v="Aprovado"/>
    <n v="69.94980000000001"/>
    <n v="50.39"/>
    <d v="2025-11-06T00:00:00"/>
    <d v="2025-11-13T00:00:00"/>
    <n v="50.39"/>
    <m/>
    <s v="6295550589211450,39"/>
    <s v="09/00013026985-3"/>
    <x v="2"/>
    <m/>
    <n v="0"/>
    <m/>
  </r>
  <r>
    <x v="0"/>
    <s v="10/1117293-9"/>
    <n v="67999516782"/>
    <n v="62955505892114"/>
    <s v="energisa_ms"/>
    <s v="Igreja do Evangelho Quadrangular"/>
    <d v="2025-05-01T00:00:00"/>
    <s v="10/511753-645778"/>
    <s v="SIM"/>
    <n v="53"/>
    <n v="257.7688"/>
    <n v="242.64910000000003"/>
    <s v="Aprovado"/>
    <n v="60.478800000000007"/>
    <n v="45.36"/>
    <m/>
    <m/>
    <n v="45.36"/>
    <m/>
    <s v="6295550589211445,36"/>
    <m/>
    <x v="1"/>
    <n v="45.36"/>
    <n v="0"/>
    <d v="2025-09-01T00:00:00"/>
  </r>
  <r>
    <x v="0"/>
    <s v="10/501586-2"/>
    <s v="67 92480766"/>
    <n v="62955505273058"/>
    <s v="energisa_ms"/>
    <s v="Igreja do Evangelho Quadrangular"/>
    <d v="2025-10-01T00:00:00"/>
    <s v="10/505854-045839"/>
    <s v="SIM"/>
    <n v="51"/>
    <n v="186.82545454545456"/>
    <n v="169.57051721437358"/>
    <s v="Aprovado"/>
    <n v="61.69545454545456"/>
    <n v="44.44"/>
    <d v="2025-11-06T00:00:00"/>
    <d v="2025-11-13T00:00:00"/>
    <n v="44.44"/>
    <m/>
    <s v="6295550527305844,44"/>
    <s v="09/00013026977-0"/>
    <x v="1"/>
    <n v="61.7"/>
    <n v="0"/>
    <d v="2025-12-01T00:00:00"/>
  </r>
  <r>
    <x v="0"/>
    <s v="10/237441-1"/>
    <n v="67992637973"/>
    <n v="62955505017213"/>
    <s v="energisa_ms"/>
    <s v="Igreja do Evangelho Quadrangular"/>
    <d v="2025-04-01T00:00:00"/>
    <s v="10/257864-945717"/>
    <s v="SIM"/>
    <n v="55"/>
    <n v="185.56"/>
    <n v="171.01250000000002"/>
    <s v="Aprovado"/>
    <n v="58.190000000000005"/>
    <n v="43.64"/>
    <m/>
    <m/>
    <n v="43.64"/>
    <m/>
    <s v="6295550501721343,64"/>
    <m/>
    <x v="1"/>
    <n v="43.64"/>
    <n v="0"/>
    <m/>
  </r>
  <r>
    <x v="0"/>
    <s v="10/501586-2"/>
    <s v="67 92480766"/>
    <n v="62955505273058"/>
    <s v="energisa_ms"/>
    <s v="Igreja do Evangelho Quadrangular"/>
    <d v="2025-06-01T00:00:00"/>
    <s v="10/1698130-045809"/>
    <s v="SIM"/>
    <n v="53"/>
    <n v="175.9555670103093"/>
    <n v="162.18163664426331"/>
    <s v="Aprovado"/>
    <n v="58.055567010309268"/>
    <n v="43.54"/>
    <d v="2025-07-22T00:00:00"/>
    <d v="2025-08-02T00:00:00"/>
    <n v="43.54"/>
    <m/>
    <s v="6295550527305843,54"/>
    <s v="09/00012472757-7"/>
    <x v="1"/>
    <n v="43.54"/>
    <n v="0"/>
    <s v="05/08/2025"/>
  </r>
  <r>
    <x v="1"/>
    <s v="10/257864-9"/>
    <n v="67981311823"/>
    <n v="62955505182176"/>
    <s v="energisa_ms"/>
    <s v="Igreja do Evangelho Quadrangular"/>
    <d v="2025-06-01T00:00:00"/>
    <s v="10/384823-145689"/>
    <s v="SIM"/>
    <n v="49"/>
    <n v="127.76460000000002"/>
    <n v="114.25899637070827"/>
    <s v="Aprovado"/>
    <n v="56.924599999999998"/>
    <n v="42.69"/>
    <d v="2025-07-22T00:00:00"/>
    <d v="2025-08-02T00:00:00"/>
    <n v="42.69"/>
    <m/>
    <s v="6295550518217642,69"/>
    <s v="09/00012472761-9"/>
    <x v="2"/>
    <n v="0"/>
    <n v="-42.69"/>
    <m/>
  </r>
  <r>
    <x v="1"/>
    <s v="10/175073-6"/>
    <n v="0"/>
    <n v="62955505134449"/>
    <s v="energisa_ms"/>
    <s v="Igreja do Evangelho Quadrangular"/>
    <d v="2025-08-01T00:00:00"/>
    <s v="10/202838-945627"/>
    <s v="SIM"/>
    <n v="53"/>
    <n v="130.60523809523809"/>
    <n v="118.35244728161385"/>
    <s v="Aprovado"/>
    <n v="54.225238095238083"/>
    <n v="41.97"/>
    <d v="2025-09-10T00:00:00"/>
    <d v="2025-09-20T00:00:00"/>
    <n v="41.97"/>
    <m/>
    <s v="6295550513444941,97"/>
    <s v="09/00012749709-5"/>
    <x v="3"/>
    <n v="0"/>
    <n v="-41.97"/>
    <m/>
  </r>
  <r>
    <x v="0"/>
    <s v="10/501586-2"/>
    <s v="67 92480766"/>
    <n v="62955505273058"/>
    <s v="energisa_ms"/>
    <s v="Igreja do Evangelho Quadrangular"/>
    <d v="2025-01-01T00:00:00"/>
    <s v="10/2247256-745658"/>
    <s v="SIM"/>
    <n v="50"/>
    <n v="169.8"/>
    <n v="155.84750000000003"/>
    <s v="Aprovado"/>
    <n v="55.81"/>
    <n v="41.86"/>
    <m/>
    <m/>
    <n v="41.86"/>
    <m/>
    <s v="6295550527305841,86"/>
    <m/>
    <x v="1"/>
    <n v="41.86"/>
    <n v="0"/>
    <m/>
  </r>
  <r>
    <x v="0"/>
    <s v="10/987178-1"/>
    <n v="0"/>
    <n v="62955505015512"/>
    <s v="energisa_ms"/>
    <s v="Igreja do Evangelho Quadrangular"/>
    <d v="2025-09-01T00:00:00"/>
    <s v="10/15297-545689"/>
    <s v="SIM"/>
    <n v="47"/>
    <n v="230.01179999999999"/>
    <n v="214.76675979059183"/>
    <s v="Aprovado"/>
    <n v="56.761799999999994"/>
    <n v="41.52"/>
    <d v="2025-10-03T00:00:00"/>
    <d v="2025-10-13T00:00:00"/>
    <n v="41.52"/>
    <m/>
    <s v="6295550501551241,52"/>
    <s v="09/00012851432-8"/>
    <x v="1"/>
    <n v="56.76"/>
    <n v="15.239999999999995"/>
    <d v="2025-10-27T00:00:00"/>
  </r>
  <r>
    <x v="1"/>
    <s v="10/530195-7"/>
    <n v="67999516782"/>
    <n v="62955505367117"/>
    <s v="energisa_ms"/>
    <s v="Igreja do Evangelho Quadrangular"/>
    <d v="2025-05-01T00:00:00"/>
    <s v="10/239312-245658"/>
    <s v="SIM"/>
    <n v="57"/>
    <n v="136.012"/>
    <n v="122.17900000000002"/>
    <s v="Aprovado"/>
    <n v="55.331999999999994"/>
    <n v="41.5"/>
    <m/>
    <m/>
    <n v="41.5"/>
    <m/>
    <s v="6295550536711741,5"/>
    <m/>
    <x v="1"/>
    <n v="41.5"/>
    <n v="0"/>
    <d v="2025-09-25T00:00:00"/>
  </r>
  <r>
    <x v="0"/>
    <s v="10/510330-4"/>
    <n v="67992637973"/>
    <n v="62955505367117"/>
    <s v="energisa_ms"/>
    <s v="Igreja do Evangelho Quadrangular"/>
    <d v="2025-06-01T00:00:00"/>
    <s v="10/3040565-845658"/>
    <s v="SIM"/>
    <n v="47"/>
    <n v="442.86706093189963"/>
    <n v="429.8519897462586"/>
    <s v="Aprovado"/>
    <n v="54.857060931899646"/>
    <n v="41.14"/>
    <d v="2025-07-22T00:00:00"/>
    <d v="2025-08-02T00:00:00"/>
    <n v="41.14"/>
    <m/>
    <s v="6295550536711741,14"/>
    <s v="09/00012472742-9"/>
    <x v="1"/>
    <n v="41.14"/>
    <n v="0"/>
    <e v="#N/A"/>
  </r>
  <r>
    <x v="1"/>
    <s v="10/226667-4"/>
    <n v="67992637973"/>
    <n v="62955505040894"/>
    <s v="energisa_ms"/>
    <s v="Igreja do Evangelho Quadrangular"/>
    <d v="2025-04-01T00:00:00"/>
    <s v="10/142353-245809"/>
    <s v="SIM"/>
    <n v="52"/>
    <n v="134.32999999999998"/>
    <n v="120.80749999999999"/>
    <s v="Aprovado"/>
    <n v="54.090000000000011"/>
    <n v="40.57"/>
    <m/>
    <m/>
    <n v="40.57"/>
    <m/>
    <s v="6295550504089440,57"/>
    <m/>
    <x v="1"/>
    <n v="40.57"/>
    <n v="0"/>
    <m/>
  </r>
  <r>
    <x v="0"/>
    <s v="10/1695011-5"/>
    <n v="67991767866"/>
    <n v="62955505461210"/>
    <s v="energisa_ms"/>
    <s v="Igreja do Evangelho Quadrangular"/>
    <d v="2025-06-01T00:00:00"/>
    <s v="10/384823-145901"/>
    <s v="SIM"/>
    <n v="46"/>
    <n v="788.56786618444846"/>
    <n v="775.88713245037593"/>
    <s v="Aprovado"/>
    <n v="53.447866184448472"/>
    <n v="40.090000000000003"/>
    <d v="2025-07-22T00:00:00"/>
    <d v="2025-08-02T00:00:00"/>
    <n v="40.090000000000003"/>
    <m/>
    <s v="6295550546121040,09"/>
    <s v="09/00012472755-1"/>
    <x v="1"/>
    <n v="40.090000000000003"/>
    <n v="0"/>
    <m/>
  </r>
  <r>
    <x v="0"/>
    <s v="10/283183-2"/>
    <s v="16 988508102"/>
    <n v="62955505287601"/>
    <s v="energisa_ms"/>
    <s v="Igreja do Evangelho Quadrangular"/>
    <d v="2025-10-01T00:00:00"/>
    <s v="10/10731-845778"/>
    <s v="SIM"/>
    <n v="52"/>
    <n v="198.8365217391304"/>
    <n v="183.45793358133039"/>
    <s v="Aprovado"/>
    <n v="54.986521739130417"/>
    <n v="39.61"/>
    <d v="2025-11-06T00:00:00"/>
    <d v="2025-11-13T00:00:00"/>
    <n v="39.61"/>
    <m/>
    <s v="6295550528760139,61"/>
    <s v="09/00013026921-8"/>
    <x v="1"/>
    <n v="39.61"/>
    <n v="0"/>
    <m/>
  </r>
  <r>
    <x v="1"/>
    <s v="10/1130988-7"/>
    <n v="67992637973"/>
    <n v="62955505040894"/>
    <s v="energisa_ms"/>
    <s v="Igreja do Evangelho Quadrangular"/>
    <d v="2025-07-01T00:00:00"/>
    <s v="10/1288241-145901"/>
    <s v="SIM"/>
    <n v="51"/>
    <n v="108.17785714285716"/>
    <n v="96.405540714285735"/>
    <s v="Aprovado"/>
    <n v="51.31785714285715"/>
    <n v="39.549999999999997"/>
    <d v="2025-09-10T00:00:00"/>
    <d v="2025-09-20T00:00:00"/>
    <n v="39.549999999999997"/>
    <m/>
    <s v="6295550504089439,55"/>
    <s v="09/00012683515-4"/>
    <x v="1"/>
    <n v="39.549999999999997"/>
    <n v="0"/>
    <m/>
  </r>
  <r>
    <x v="1"/>
    <s v="10/41548-9"/>
    <s v="Solicitação de distrato"/>
    <n v="62955505269026"/>
    <s v="energisa_ms"/>
    <s v="Igreja do Evangelho Quadrangular"/>
    <d v="2025-08-01T00:00:00"/>
    <s v="10/530195-745839"/>
    <s v="SIM"/>
    <n v="51"/>
    <n v="110.06214285714287"/>
    <n v="98.544424803903212"/>
    <s v="Aprovado"/>
    <n v="50.972142857142863"/>
    <n v="39.450000000000003"/>
    <d v="2025-09-10T00:00:00"/>
    <d v="2025-09-20T00:00:00"/>
    <n v="39.450000000000003"/>
    <m/>
    <s v="6295550526902639,45"/>
    <s v="09/00012749693-1"/>
    <x v="1"/>
    <n v="50.97"/>
    <n v="11.519999999999996"/>
    <d v="2025-11-18T00:00:00"/>
  </r>
  <r>
    <x v="0"/>
    <s v="10/283183-2"/>
    <n v="0"/>
    <n v="62955505287601"/>
    <s v="energisa_ms"/>
    <s v="Igreja do Evangelho Quadrangular"/>
    <d v="2025-09-01T00:00:00"/>
    <s v="10/399338-345717"/>
    <s v="SIM"/>
    <n v="51"/>
    <n v="196.74228260869563"/>
    <n v="182.34313733691567"/>
    <s v="Aprovado"/>
    <n v="53.612282608695651"/>
    <n v="39.21"/>
    <d v="2025-10-03T00:00:00"/>
    <d v="2025-10-13T00:00:00"/>
    <n v="39.21"/>
    <m/>
    <s v="6295550528760139,21"/>
    <s v="09/00012851546-5"/>
    <x v="1"/>
    <n v="39.21"/>
    <n v="0"/>
    <m/>
  </r>
  <r>
    <x v="1"/>
    <s v="10/952579-1"/>
    <n v="67996150274"/>
    <n v="62955505897930"/>
    <s v="energisa_ms"/>
    <s v="Igreja do Evangelho Quadrangular"/>
    <d v="2025-01-01T00:00:00"/>
    <s v="10/1939035-045689"/>
    <s v="SIM"/>
    <n v="52"/>
    <n v="113.31"/>
    <n v="100.37"/>
    <s v="Aprovado"/>
    <n v="51.76"/>
    <n v="38.82"/>
    <m/>
    <m/>
    <n v="38.82"/>
    <m/>
    <s v="6295550589793038,82"/>
    <m/>
    <x v="1"/>
    <n v="38.82"/>
    <n v="0"/>
    <m/>
  </r>
  <r>
    <x v="0"/>
    <s v="10/283183-2"/>
    <s v="16 988508102"/>
    <n v="62955505287601"/>
    <s v="energisa_ms"/>
    <s v="Igreja do Evangelho Quadrangular"/>
    <d v="2025-03-01T00:00:00"/>
    <s v="10/52987-545931"/>
    <s v="SIM"/>
    <n v="53"/>
    <n v="237.90999999999997"/>
    <n v="225.00249999999997"/>
    <s v="Aprovado"/>
    <n v="121.75999999999999"/>
    <n v="38.72"/>
    <m/>
    <m/>
    <n v="38.72"/>
    <m/>
    <s v="6295550528760138,72"/>
    <m/>
    <x v="1"/>
    <n v="38.72"/>
    <n v="0"/>
    <m/>
  </r>
  <r>
    <x v="0"/>
    <s v="10/252817-2"/>
    <n v="67992637973"/>
    <n v="62955505274020"/>
    <s v="energisa_ms"/>
    <s v="Igreja do Evangelho Quadrangular"/>
    <d v="2025-06-01T00:00:00"/>
    <s v="10/1672452-845870"/>
    <s v="SIM"/>
    <n v="51"/>
    <n v="204.15463917525773"/>
    <n v="191.91833652183948"/>
    <s v="Aprovado"/>
    <n v="51.574639175257737"/>
    <n v="38.68"/>
    <d v="2025-07-22T00:00:00"/>
    <d v="2025-08-02T00:00:00"/>
    <n v="38.68"/>
    <m/>
    <s v="6295550527402038,68"/>
    <s v="09/00012472779-1"/>
    <x v="1"/>
    <n v="38.68"/>
    <n v="0"/>
    <s v="01/08/2025"/>
  </r>
  <r>
    <x v="1"/>
    <s v="10/175073-6"/>
    <n v="67999516782"/>
    <n v="62955505134449"/>
    <s v="energisa_ms"/>
    <s v="Igreja do Evangelho Quadrangular"/>
    <d v="2025-05-01T00:00:00"/>
    <s v="10/395471-645839"/>
    <s v="SIM"/>
    <n v="52"/>
    <n v="127.35560975609756"/>
    <n v="114.62920731707317"/>
    <s v="Aprovado"/>
    <n v="50.905609756097569"/>
    <n v="38.18"/>
    <m/>
    <m/>
    <n v="38.18"/>
    <m/>
    <s v="6295550513444938,18"/>
    <m/>
    <x v="1"/>
    <n v="38.18"/>
    <n v="0"/>
    <m/>
  </r>
  <r>
    <x v="1"/>
    <s v="10/218777-1"/>
    <n v="0"/>
    <n v="62955505017051"/>
    <s v="energisa_ms"/>
    <s v="Igreja do Evangelho Quadrangular"/>
    <d v="2025-08-01T00:00:00"/>
    <s v="10/15297-545809"/>
    <s v="SIM"/>
    <n v="45"/>
    <n v="97.907173913043493"/>
    <n v="86.937404347358665"/>
    <s v="Aprovado"/>
    <n v="48.54717391304348"/>
    <n v="37.58"/>
    <d v="2025-09-10T00:00:00"/>
    <d v="2025-09-20T00:00:00"/>
    <n v="37.58"/>
    <m/>
    <s v="6295550501705137,58"/>
    <s v="09/00012749663-4"/>
    <x v="1"/>
    <n v="37.58"/>
    <n v="0"/>
    <m/>
  </r>
  <r>
    <x v="0"/>
    <s v="10/52987-5"/>
    <n v="67996983476"/>
    <n v="62955505182257"/>
    <s v="energisa_ms"/>
    <s v="Igreja do Evangelho Quadrangular"/>
    <d v="2025-07-01T00:00:00"/>
    <s v="10/135237-645748"/>
    <s v="SIM"/>
    <n v="47"/>
    <n v="192.61119565217393"/>
    <n v="181.76259536956522"/>
    <s v="Aprovado"/>
    <n v="47.871195652173924"/>
    <n v="37.020000000000003"/>
    <d v="2025-09-10T00:00:00"/>
    <d v="2025-09-20T00:00:00"/>
    <n v="37.020000000000003"/>
    <m/>
    <s v="6295550518225737,02"/>
    <s v="09/00012683524-6"/>
    <x v="1"/>
    <n v="37.020000000000003"/>
    <n v="0"/>
    <m/>
  </r>
  <r>
    <x v="1"/>
    <s v="10/10232-7"/>
    <s v="67 996415566"/>
    <n v="62955505393207"/>
    <s v="energisa_ms"/>
    <s v="Igreja do Evangelho Quadrangular"/>
    <d v="2025-01-01T00:00:00"/>
    <s v="10/3170252-545689"/>
    <s v="SIM"/>
    <n v="45"/>
    <n v="120.97"/>
    <n v="108.98250000000002"/>
    <s v="Aprovado"/>
    <n v="47.949999999999989"/>
    <n v="35.96"/>
    <m/>
    <m/>
    <n v="35.96"/>
    <m/>
    <s v="6295550539320735,96"/>
    <m/>
    <x v="1"/>
    <n v="35.96"/>
    <n v="0"/>
    <m/>
  </r>
  <r>
    <x v="0"/>
    <s v="10/24514-2"/>
    <n v="67996266684"/>
    <n v="62955505157066"/>
    <s v="energisa_ms"/>
    <s v="Igreja do Evangelho Quadrangular"/>
    <d v="2025-07-01T00:00:00"/>
    <s v="10/283183-245778"/>
    <s v="SIM"/>
    <n v="45"/>
    <n v="160.50064516129032"/>
    <n v="150.11555916129032"/>
    <s v="Aprovado"/>
    <n v="46.070645161290315"/>
    <n v="35.69"/>
    <d v="2025-09-10T00:00:00"/>
    <d v="2025-09-20T00:00:00"/>
    <n v="35.69"/>
    <m/>
    <s v="6295550515706635,69"/>
    <s v="09/00012683523-8"/>
    <x v="1"/>
    <n v="35.69"/>
    <n v="0"/>
    <m/>
  </r>
  <r>
    <x v="0"/>
    <s v="10/987178-1"/>
    <n v="67993496482"/>
    <n v="62955505015512"/>
    <s v="energisa_ms"/>
    <s v="Igreja do Evangelho Quadrangular"/>
    <d v="2025-10-01T00:00:00"/>
    <s v="10/925970-645870"/>
    <s v="SIM"/>
    <n v="40"/>
    <n v="225.56399999999999"/>
    <n v="211.74113364891355"/>
    <s v="Aprovado"/>
    <n v="49.423999999999999"/>
    <n v="35.6"/>
    <d v="2025-11-06T00:00:00"/>
    <d v="2025-11-13T00:00:00"/>
    <n v="35.6"/>
    <m/>
    <s v="6295550501551235,6"/>
    <s v="09/00013026991-1"/>
    <x v="1"/>
    <n v="49.42"/>
    <n v="0"/>
    <d v="2025-12-04T00:00:00"/>
  </r>
  <r>
    <x v="1"/>
    <s v="10/218777-1"/>
    <n v="67999031330"/>
    <n v="62955505017051"/>
    <s v="energisa_ms"/>
    <s v="Igreja do Evangelho Quadrangular"/>
    <d v="2025-06-01T00:00:00"/>
    <s v="10/1130988-745870"/>
    <s v="SIM"/>
    <n v="44"/>
    <n v="103.93304347826088"/>
    <n v="92.733920510095714"/>
    <s v="Aprovado"/>
    <n v="47.203043478260867"/>
    <n v="35.4"/>
    <d v="2025-07-22T00:00:00"/>
    <d v="2025-08-02T00:00:00"/>
    <n v="35.4"/>
    <m/>
    <s v="6295550501705135,4"/>
    <s v="09/00012472759-3"/>
    <x v="1"/>
    <n v="35.4"/>
    <n v="0"/>
    <s v="04/08/2025"/>
  </r>
  <r>
    <x v="0"/>
    <s v="10/69319-2"/>
    <n v="67998363594"/>
    <n v="62955505182257"/>
    <s v="energisa_ms"/>
    <s v="Igreja do Evangelho Quadrangular"/>
    <d v="2025-07-01T00:00:00"/>
    <s v="10/175073-645870"/>
    <s v="SIM"/>
    <n v="43"/>
    <n v="188.09279569892476"/>
    <n v="178.16601636559142"/>
    <s v="Aprovado"/>
    <n v="44.85279569892473"/>
    <n v="34.93"/>
    <d v="2025-09-10T00:00:00"/>
    <d v="2025-09-20T00:00:00"/>
    <n v="34.93"/>
    <m/>
    <s v="6295550518225734,93"/>
    <s v="09/00012683542-8"/>
    <x v="1"/>
    <n v="44.85"/>
    <n v="9.9200000000000017"/>
    <d v="2025-09-19T00:00:00"/>
  </r>
  <r>
    <x v="0"/>
    <s v="10/908866-7"/>
    <n v="67992637973"/>
    <n v="62955505358630"/>
    <s v="energisa_ms"/>
    <s v="Igreja do Evangelho Quadrangular"/>
    <d v="2025-10-01T00:00:00"/>
    <s v="10/2247256-745778"/>
    <s v="SIM"/>
    <n v="45"/>
    <n v="193.9983870967742"/>
    <n v="180.67212279838594"/>
    <s v="Aprovado"/>
    <n v="47.648387096774194"/>
    <n v="34.32"/>
    <d v="2025-11-06T00:00:00"/>
    <d v="2025-11-13T00:00:00"/>
    <n v="34.32"/>
    <m/>
    <s v="6295550535863034,32"/>
    <s v="09/00013026918-4"/>
    <x v="1"/>
    <n v="34.32"/>
    <n v="0"/>
    <m/>
  </r>
  <r>
    <x v="0"/>
    <s v="10/52987-5"/>
    <n v="67996983476"/>
    <n v="62955505182257"/>
    <s v="energisa_ms"/>
    <s v="Igreja do Evangelho Quadrangular"/>
    <d v="2025-06-01T00:00:00"/>
    <s v="10/283183-245658"/>
    <s v="SIM"/>
    <n v="45"/>
    <n v="256.31"/>
    <n v="245.49120591983601"/>
    <s v="Aprovado"/>
    <n v="45.6"/>
    <n v="34.200000000000003"/>
    <d v="2025-07-22T00:00:00"/>
    <d v="2025-08-02T00:00:00"/>
    <n v="34.200000000000003"/>
    <m/>
    <s v="6295550518225734,2"/>
    <s v="09/00012472792-4"/>
    <x v="1"/>
    <n v="45.6"/>
    <n v="11.399999999999999"/>
    <d v="2025-09-19T00:00:00"/>
  </r>
  <r>
    <x v="0"/>
    <s v="10/237441-1"/>
    <n v="67992637973"/>
    <n v="62955505017213"/>
    <s v="energisa_ms"/>
    <s v="Igreja do Evangelho Quadrangular"/>
    <d v="2025-10-01T00:00:00"/>
    <s v="10/237441-145839"/>
    <s v="SIM"/>
    <n v="39"/>
    <n v="178.06960000000001"/>
    <n v="164.82410345498315"/>
    <s v="Aprovado"/>
    <n v="47.359599999899999"/>
    <n v="34.11"/>
    <d v="2025-11-06T00:00:00"/>
    <d v="2025-11-13T00:00:00"/>
    <n v="34.11"/>
    <m/>
    <s v="6295550501721334,11"/>
    <s v="09/00013026979-6"/>
    <x v="1"/>
    <n v="34.11"/>
    <n v="0"/>
    <m/>
  </r>
  <r>
    <x v="1"/>
    <s v="10/218777-1"/>
    <n v="0"/>
    <n v="62955505017051"/>
    <s v="energisa_ms"/>
    <s v="Igreja do Evangelho Quadrangular"/>
    <d v="2025-09-01T00:00:00"/>
    <s v="10/505854-045658"/>
    <s v="SIM"/>
    <n v="41"/>
    <n v="106.34127659574469"/>
    <n v="93.962117284287331"/>
    <s v="Aprovado"/>
    <n v="46.091276595744681"/>
    <n v="33.71"/>
    <d v="2025-10-03T00:00:00"/>
    <d v="2025-10-13T00:00:00"/>
    <n v="33.71"/>
    <m/>
    <s v="6295550501705133,71"/>
    <s v="09/00012851422-9"/>
    <x v="1"/>
    <n v="33.71"/>
    <n v="0"/>
    <m/>
  </r>
  <r>
    <x v="0"/>
    <s v="10/505854-0"/>
    <n v="67996446178"/>
    <n v="62955505887382"/>
    <s v="energisa_ms"/>
    <s v="Igreja do Evangelho Quadrangular"/>
    <d v="2025-02-01T00:00:00"/>
    <s v="10/2794432-145870"/>
    <s v="SIM"/>
    <n v="46"/>
    <m/>
    <m/>
    <s v="Aprovado"/>
    <n v="44.800000000000004"/>
    <n v="33.6"/>
    <m/>
    <m/>
    <m/>
    <s v="não emitido pela EGS"/>
    <s v="62955505887382"/>
    <m/>
    <x v="0"/>
    <n v="0"/>
    <n v="0"/>
    <m/>
  </r>
  <r>
    <x v="0"/>
    <s v="10/1117293-9"/>
    <n v="0"/>
    <n v="62955505892114"/>
    <s v="energisa_ms"/>
    <s v="Igreja do Evangelho Quadrangular"/>
    <d v="2025-09-01T00:00:00"/>
    <s v="10/10731-845689"/>
    <s v="SIM"/>
    <n v="38"/>
    <n v="188.13099999999997"/>
    <n v="175.80294502901521"/>
    <s v="Aprovado"/>
    <n v="45.900999999999996"/>
    <n v="33.57"/>
    <d v="2025-10-03T00:00:00"/>
    <d v="2025-10-13T00:00:00"/>
    <n v="33.57"/>
    <m/>
    <s v="6295550589211433,57"/>
    <s v="09/00012851429-4"/>
    <x v="1"/>
    <n v="33.57"/>
    <n v="0"/>
    <m/>
  </r>
  <r>
    <x v="1"/>
    <s v="10/452884-0"/>
    <n v="0"/>
    <n v="62955505000167"/>
    <s v="energisa_ms"/>
    <s v="Igreja do Evangelho Quadrangular"/>
    <d v="2025-08-01T00:00:00"/>
    <s v="10/1288241-145689"/>
    <s v="SIM"/>
    <n v="36"/>
    <n v="102.30000000000001"/>
    <n v="92.624348567766575"/>
    <s v="Aprovado"/>
    <n v="42.82"/>
    <n v="33.14"/>
    <d v="2025-09-10T00:00:00"/>
    <d v="2025-09-20T00:00:00"/>
    <n v="33.14"/>
    <m/>
    <s v="6295550500016733,14"/>
    <s v="09/00012749657-6"/>
    <x v="1"/>
    <n v="33.14"/>
    <n v="0"/>
    <m/>
  </r>
  <r>
    <x v="1"/>
    <s v="10/31292-6"/>
    <n v="67996266684"/>
    <n v="62955505016080"/>
    <s v="energisa_ms"/>
    <s v="Igreja do Evangelho Quadrangular"/>
    <d v="2025-03-01T00:00:00"/>
    <s v="10/78338-145778"/>
    <s v="SIM"/>
    <n v="0"/>
    <m/>
    <m/>
    <s v="Aprovado"/>
    <n v="0"/>
    <n v="32.15"/>
    <m/>
    <m/>
    <m/>
    <s v="não emitido pela EGS"/>
    <s v="62955505016080"/>
    <m/>
    <x v="0"/>
    <n v="0"/>
    <n v="0"/>
    <m/>
  </r>
  <r>
    <x v="1"/>
    <s v="10/31292-6"/>
    <n v="67996266684"/>
    <n v="62955505016080"/>
    <s v="energisa_ms"/>
    <s v="Igreja do Evangelho Quadrangular"/>
    <d v="2025-02-01T00:00:00"/>
    <s v="10/511753-645689"/>
    <s v="SIM"/>
    <n v="44"/>
    <n v="255.73"/>
    <n v="245.01499999999999"/>
    <s v="Aprovado"/>
    <n v="42.86"/>
    <n v="32.15"/>
    <m/>
    <m/>
    <n v="32.15"/>
    <m/>
    <s v="6295550501608032,15"/>
    <m/>
    <x v="1"/>
    <n v="32.15"/>
    <n v="0"/>
    <m/>
  </r>
  <r>
    <x v="1"/>
    <s v="10/511753-6"/>
    <n v="67996266684"/>
    <n v="62955505016080"/>
    <s v="energisa_ms"/>
    <s v="Igreja do Evangelho Quadrangular"/>
    <d v="2025-07-01T00:00:00"/>
    <s v="10/1548741-645870"/>
    <s v="SIM"/>
    <n v="32"/>
    <n v="120.03840000000001"/>
    <n v="111.50279304"/>
    <s v="Aprovado"/>
    <n v="40.148399999999995"/>
    <n v="31.61"/>
    <d v="2025-09-10T00:00:00"/>
    <d v="2025-09-20T00:00:00"/>
    <n v="31.61"/>
    <m/>
    <s v="6295550501608031,61"/>
    <s v="09/00012683490-0"/>
    <x v="1"/>
    <n v="31.61"/>
    <n v="0"/>
    <m/>
  </r>
  <r>
    <x v="0"/>
    <s v="10/987178-1"/>
    <n v="67993496482"/>
    <n v="62955505015512"/>
    <s v="energisa_ms"/>
    <s v="Igreja do Evangelho Quadrangular"/>
    <d v="2025-03-01T00:00:00"/>
    <s v="10/1939035-045901"/>
    <s v="SIM"/>
    <n v="37"/>
    <n v="204.92"/>
    <n v="194.5975"/>
    <s v="Aprovado"/>
    <n v="41.29"/>
    <n v="30.97"/>
    <m/>
    <m/>
    <n v="30.97"/>
    <m/>
    <s v="6295550501551230,97"/>
    <m/>
    <x v="1"/>
    <n v="30.97"/>
    <n v="0"/>
    <m/>
  </r>
  <r>
    <x v="1"/>
    <s v="10/3125732-2"/>
    <s v="Solicitação de distrato"/>
    <n v="62955505015512"/>
    <s v="energisa_ms"/>
    <s v="Igreja do Evangelho Quadrangular"/>
    <d v="2025-09-01T00:00:00"/>
    <s v="10/10731-845717"/>
    <s v="SIM"/>
    <n v="40"/>
    <n v="297"/>
    <n v="285.70624362149175"/>
    <s v="Aprovado"/>
    <n v="42.05"/>
    <n v="30.76"/>
    <d v="2025-10-03T00:00:00"/>
    <d v="2025-10-13T00:00:00"/>
    <n v="30.76"/>
    <m/>
    <s v="6295550501551230,76"/>
    <s v="09/00012851538-2"/>
    <x v="1"/>
    <n v="30.76"/>
    <n v="0"/>
    <m/>
  </r>
  <r>
    <x v="1"/>
    <s v="10/175073-6"/>
    <n v="67999516782"/>
    <n v="62955505134449"/>
    <s v="energisa_ms"/>
    <s v="Igreja do Evangelho Quadrangular"/>
    <d v="2025-04-01T00:00:00"/>
    <s v="10/239312-245778"/>
    <s v="SIM"/>
    <n v="40"/>
    <n v="112.53000000000002"/>
    <n v="102.80500000000001"/>
    <s v="Aprovado"/>
    <n v="38.900000000000006"/>
    <n v="29.18"/>
    <m/>
    <m/>
    <n v="29.18"/>
    <m/>
    <s v="6295550513444929,18"/>
    <m/>
    <x v="1"/>
    <n v="29.18"/>
    <n v="0"/>
    <m/>
  </r>
  <r>
    <x v="1"/>
    <s v="10/10232-7"/>
    <n v="0"/>
    <n v="62955505393207"/>
    <s v="energisa_ms"/>
    <s v="Igreja do Evangelho Quadrangular"/>
    <d v="2025-08-01T00:00:00"/>
    <s v="10/283183-245748"/>
    <s v="SIM"/>
    <n v="31"/>
    <n v="113.4804"/>
    <n v="105.16042438123755"/>
    <s v="Aprovado"/>
    <n v="36.820399999999999"/>
    <n v="28.5"/>
    <d v="2025-09-10T00:00:00"/>
    <d v="2025-09-20T00:00:00"/>
    <n v="28.5"/>
    <m/>
    <s v="6295550539320728,5"/>
    <s v="09/00012749659-2"/>
    <x v="1"/>
    <n v="28.5"/>
    <n v="0"/>
    <m/>
  </r>
  <r>
    <x v="1"/>
    <s v="10/466560-0"/>
    <n v="67998302932"/>
    <n v="62955505015512"/>
    <s v="energisa_ms"/>
    <s v="Igreja do Evangelho Quadrangular"/>
    <d v="2025-03-01T00:00:00"/>
    <s v="10/40190-145748"/>
    <s v="SIM"/>
    <n v="0"/>
    <m/>
    <m/>
    <s v="Aprovado"/>
    <n v="0"/>
    <n v="28.49"/>
    <m/>
    <m/>
    <m/>
    <s v="não emitido pela EGS"/>
    <s v="62955505015512"/>
    <m/>
    <x v="0"/>
    <n v="0"/>
    <n v="0"/>
    <m/>
  </r>
  <r>
    <x v="1"/>
    <s v="10/466560-0"/>
    <n v="67998302932"/>
    <n v="62955505015512"/>
    <s v="energisa_ms"/>
    <s v="Igreja do Evangelho Quadrangular"/>
    <d v="2025-02-01T00:00:00"/>
    <s v="10/489076-045658"/>
    <s v="SIM"/>
    <n v="39"/>
    <n v="245.91"/>
    <n v="236.41249999999999"/>
    <s v="Aprovado"/>
    <n v="37.99"/>
    <n v="28.49"/>
    <m/>
    <m/>
    <n v="28.49"/>
    <m/>
    <s v="6295550501551228,49"/>
    <m/>
    <x v="1"/>
    <n v="28.49"/>
    <n v="0"/>
    <m/>
  </r>
  <r>
    <x v="1"/>
    <s v="10/175073-6"/>
    <n v="67999516782"/>
    <n v="62955505134449"/>
    <s v="energisa_ms"/>
    <s v="Igreja do Evangelho Quadrangular"/>
    <d v="2025-02-01T00:00:00"/>
    <s v="10/29964-445901"/>
    <s v="SIM"/>
    <n v="38"/>
    <n v="109.91"/>
    <n v="100.6575"/>
    <s v="Aprovado"/>
    <n v="37.009999999999991"/>
    <n v="27.76"/>
    <m/>
    <m/>
    <n v="27.76"/>
    <m/>
    <s v="6295550513444927,76"/>
    <m/>
    <x v="1"/>
    <n v="27.76"/>
    <n v="0"/>
    <m/>
  </r>
  <r>
    <x v="1"/>
    <s v="10/175073-6"/>
    <n v="67999516782"/>
    <n v="62955505134449"/>
    <s v="energisa_ms"/>
    <s v="Igreja do Evangelho Quadrangular"/>
    <d v="2025-07-01T00:00:00"/>
    <s v="10/218777-145870"/>
    <s v="SIM"/>
    <n v="33"/>
    <n v="106.17533333333333"/>
    <n v="98.558029866666658"/>
    <s v="Aprovado"/>
    <n v="34.435333333333318"/>
    <n v="26.82"/>
    <d v="2025-09-10T00:00:00"/>
    <d v="2025-09-20T00:00:00"/>
    <n v="26.82"/>
    <m/>
    <s v="6295550513444926,82"/>
    <s v="09/00012683543-6"/>
    <x v="1"/>
    <n v="26.82"/>
    <n v="0"/>
    <m/>
  </r>
  <r>
    <x v="1"/>
    <s v="10/218777-1"/>
    <n v="67999031330"/>
    <n v="62955505017051"/>
    <s v="energisa_ms"/>
    <s v="Igreja do Evangelho Quadrangular"/>
    <d v="2025-07-01T00:00:00"/>
    <s v="10/41548-945870"/>
    <s v="SIM"/>
    <n v="30"/>
    <n v="90.717499999999987"/>
    <n v="83.292395499999984"/>
    <s v="Aprovado"/>
    <n v="32.967499999999994"/>
    <n v="25.54"/>
    <d v="2025-09-10T00:00:00"/>
    <d v="2025-09-20T00:00:00"/>
    <n v="25.54"/>
    <m/>
    <s v="6295550501705125,54"/>
    <s v="09/00012683537-8"/>
    <x v="1"/>
    <n v="25.54"/>
    <n v="0"/>
    <m/>
  </r>
  <r>
    <x v="1"/>
    <s v="10/10232-7"/>
    <s v="67 996415566"/>
    <n v="62955505393207"/>
    <s v="energisa_ms"/>
    <s v="Igreja do Evangelho Quadrangular"/>
    <d v="2025-06-01T00:00:00"/>
    <s v="10/1433087-245931"/>
    <s v="SIM"/>
    <n v="28"/>
    <n v="91.931600000000003"/>
    <n v="84.104202483001345"/>
    <s v="Aprovado"/>
    <n v="32.991600000000005"/>
    <n v="24.74"/>
    <d v="2025-07-22T00:00:00"/>
    <d v="2025-08-02T00:00:00"/>
    <n v="24.74"/>
    <m/>
    <s v="6295550539320724,74"/>
    <s v="09/00012472762-7"/>
    <x v="1"/>
    <n v="24.74"/>
    <n v="0"/>
    <s v="01/08/2025"/>
  </r>
  <r>
    <x v="1"/>
    <s v="10/226667-4"/>
    <n v="67992637973"/>
    <n v="62955505040894"/>
    <s v="energisa_ms"/>
    <s v="Igreja do Evangelho Quadrangular"/>
    <d v="2025-05-01T00:00:00"/>
    <s v="10/1548741-645689"/>
    <s v="SIM"/>
    <n v="27"/>
    <n v="87.330200000000005"/>
    <n v="79.675150000000002"/>
    <s v="Aprovado"/>
    <n v="30.620200000000001"/>
    <n v="22.97"/>
    <m/>
    <m/>
    <n v="22.97"/>
    <m/>
    <s v="6295550504089422,97"/>
    <m/>
    <x v="1"/>
    <n v="30.62"/>
    <n v="7.6500000000000021"/>
    <d v="2025-09-26T00:00:00"/>
  </r>
  <r>
    <x v="0"/>
    <s v="10/1288241-1"/>
    <n v="67991133770"/>
    <n v="62955505335851"/>
    <s v="energisa_ms"/>
    <s v="Igreja do Evangelho Quadrangular"/>
    <d v="2025-03-01T00:00:00"/>
    <s v="10/63920-345839"/>
    <s v="SIM"/>
    <n v="0"/>
    <m/>
    <m/>
    <s v="Aprovado"/>
    <n v="0"/>
    <n v="22.65"/>
    <m/>
    <m/>
    <m/>
    <s v="não emitido pela EGS"/>
    <s v="62955505335851"/>
    <m/>
    <x v="0"/>
    <n v="0"/>
    <n v="0"/>
    <m/>
  </r>
  <r>
    <x v="0"/>
    <s v="10/1288241-1"/>
    <n v="67991133770"/>
    <n v="62955505335851"/>
    <s v="energisa_ms"/>
    <s v="Igreja do Evangelho Quadrangular"/>
    <d v="2025-02-01T00:00:00"/>
    <s v="10/532081-745658"/>
    <s v="SIM"/>
    <n v="31"/>
    <n v="282.41000000000003"/>
    <n v="274.86"/>
    <s v="Aprovado"/>
    <n v="30.200000000000003"/>
    <n v="22.65"/>
    <m/>
    <m/>
    <n v="22.65"/>
    <m/>
    <s v="6295550533585122,65"/>
    <m/>
    <x v="1"/>
    <n v="22.65"/>
    <n v="0"/>
    <m/>
  </r>
  <r>
    <x v="0"/>
    <s v="10/908866-7"/>
    <n v="67992637973"/>
    <n v="62955505358630"/>
    <s v="energisa_ms"/>
    <s v="Igreja do Evangelho Quadrangular"/>
    <d v="2025-04-01T00:00:00"/>
    <s v="10/276283-945870"/>
    <s v="SIM"/>
    <n v="31"/>
    <n v="167.21"/>
    <n v="159.67000000000002"/>
    <s v="Aprovado"/>
    <n v="30.159999999999997"/>
    <n v="22.62"/>
    <m/>
    <m/>
    <n v="22.62"/>
    <m/>
    <s v="6295550535863022,62"/>
    <m/>
    <x v="1"/>
    <n v="22.62"/>
    <n v="0"/>
    <m/>
  </r>
  <r>
    <x v="0"/>
    <s v="10/283183-2"/>
    <s v="16 988508102"/>
    <n v="62955505287601"/>
    <s v="energisa_ms"/>
    <s v="Igreja do Evangelho Quadrangular"/>
    <d v="2025-04-01T00:00:00"/>
    <s v="10/1433087-245689"/>
    <s v="SIM"/>
    <n v="31"/>
    <n v="165.03"/>
    <n v="157.49250000000001"/>
    <s v="Aprovado"/>
    <n v="30.150000000000002"/>
    <n v="22.61"/>
    <m/>
    <m/>
    <n v="22.61"/>
    <m/>
    <s v="6295550528760122,61"/>
    <m/>
    <x v="1"/>
    <n v="22.61"/>
    <n v="0"/>
    <m/>
  </r>
  <r>
    <x v="0"/>
    <s v="10/1184751-4"/>
    <s v="67 96034976"/>
    <n v="62955505149047"/>
    <s v="energisa_ms"/>
    <s v="Igreja do Evangelho Quadrangular"/>
    <d v="2025-10-01T00:00:00"/>
    <s v="10/1433087-245839"/>
    <s v="SIM"/>
    <n v="118"/>
    <n v="444.05747368421055"/>
    <n v="403.58300182026369"/>
    <s v="Aprovado"/>
    <n v="62.507473684110522"/>
    <n v="22.03"/>
    <d v="2025-11-06T00:00:00"/>
    <d v="2025-11-13T00:00:00"/>
    <n v="22.03"/>
    <m/>
    <s v="6295550514904722,03"/>
    <s v="09/00013026968-9"/>
    <x v="1"/>
    <n v="22.03"/>
    <n v="0"/>
    <m/>
  </r>
  <r>
    <x v="0"/>
    <s v="10/908866-7"/>
    <n v="0"/>
    <n v="62955505358630"/>
    <s v="energisa_ms"/>
    <s v="Igreja do Evangelho Quadrangular"/>
    <d v="2025-09-01T00:00:00"/>
    <s v="10/252817-245717"/>
    <s v="SIM"/>
    <n v="27"/>
    <n v="177.2759375"/>
    <n v="169.65206442745389"/>
    <s v="Aprovado"/>
    <n v="28.385937500000001"/>
    <n v="20.76"/>
    <d v="2025-10-03T00:00:00"/>
    <d v="2025-10-13T00:00:00"/>
    <n v="20.76"/>
    <m/>
    <s v="6295550535863020,76"/>
    <s v="09/00012851547-3"/>
    <x v="1"/>
    <n v="20.76"/>
    <n v="0"/>
    <m/>
  </r>
  <r>
    <x v="0"/>
    <s v="10/3054052-0"/>
    <n v="67996266684"/>
    <n v="62955505312487"/>
    <s v="energisa_ms"/>
    <s v="Igreja do Evangelho Quadrangular"/>
    <d v="2025-05-01T00:00:00"/>
    <s v="10/113971-645658"/>
    <s v="SIM"/>
    <n v="27"/>
    <n v="178.00218749999999"/>
    <n v="171.47414062499999"/>
    <s v="Aprovado"/>
    <n v="26.112187499999997"/>
    <n v="19.579999999999998"/>
    <m/>
    <m/>
    <n v="19.579999999999998"/>
    <m/>
    <s v="6295550531248719,58"/>
    <m/>
    <x v="1"/>
    <n v="19.579999999999998"/>
    <n v="0"/>
    <m/>
  </r>
  <r>
    <x v="0"/>
    <s v="10/1117293-9"/>
    <n v="0"/>
    <n v="62955505892114"/>
    <s v="energisa_ms"/>
    <s v="Igreja do Evangelho Quadrangular"/>
    <d v="2025-08-01T00:00:00"/>
    <s v="10/908866-745901"/>
    <s v="SIM"/>
    <n v="21"/>
    <n v="165.29850000000002"/>
    <n v="159.66111116868112"/>
    <s v="Aprovado"/>
    <n v="24.948500000000003"/>
    <n v="19.309999999999999"/>
    <d v="2025-09-10T00:00:00"/>
    <d v="2025-09-20T00:00:00"/>
    <n v="19.309999999999999"/>
    <m/>
    <s v="6295550589211419,31"/>
    <s v="09/00012749661-8"/>
    <x v="1"/>
    <n v="19.309999999999999"/>
    <n v="0"/>
    <m/>
  </r>
  <r>
    <x v="0"/>
    <s v="10/15297-5"/>
    <n v="67996266684"/>
    <n v="62955505312487"/>
    <s v="energisa_ms"/>
    <s v="Igreja do Evangelho Quadrangular"/>
    <d v="2025-06-01T00:00:00"/>
    <s v="10/191945-545748"/>
    <s v="SIM"/>
    <n v="24"/>
    <n v="443.50685393258431"/>
    <n v="437.75418463897807"/>
    <s v="Aprovado"/>
    <n v="24.246853932584273"/>
    <n v="18.190000000000001"/>
    <d v="2025-07-22T00:00:00"/>
    <d v="2025-08-02T00:00:00"/>
    <n v="18.190000000000001"/>
    <m/>
    <s v="6295550531248718,19"/>
    <s v="09/00012472773-4"/>
    <x v="1"/>
    <n v="18.190000000000001"/>
    <n v="0"/>
    <s v="05/08/2025"/>
  </r>
  <r>
    <x v="0"/>
    <s v="10/987178-1"/>
    <n v="67993496482"/>
    <n v="62955505015512"/>
    <s v="energisa_ms"/>
    <s v="Igreja do Evangelho Quadrangular"/>
    <d v="2025-05-01T00:00:00"/>
    <s v="10/532081-745901"/>
    <s v="SIM"/>
    <n v="21"/>
    <n v="188.55560000000003"/>
    <n v="182.65670000000003"/>
    <s v="Aprovado"/>
    <n v="23.595599999999997"/>
    <n v="17.7"/>
    <m/>
    <m/>
    <n v="17.7"/>
    <m/>
    <s v="6295550501551217,7"/>
    <m/>
    <x v="1"/>
    <n v="17.7"/>
    <n v="0"/>
    <m/>
  </r>
  <r>
    <x v="0"/>
    <s v="10/501586-2"/>
    <n v="0"/>
    <n v="62955505273058"/>
    <s v="energisa_ms"/>
    <s v="Igreja do Evangelho Quadrangular"/>
    <d v="2025-09-01T00:00:00"/>
    <s v="10/2344751-945658"/>
    <s v="SIM"/>
    <n v="21"/>
    <n v="144.96939393939394"/>
    <n v="138.5370842945797"/>
    <s v="Aprovado"/>
    <n v="23.949393939393943"/>
    <n v="17.52"/>
    <d v="2025-10-03T00:00:00"/>
    <d v="2025-10-13T00:00:00"/>
    <n v="17.52"/>
    <m/>
    <s v="6295550527305817,52"/>
    <s v="09/00012851425-2"/>
    <x v="1"/>
    <n v="17.52"/>
    <n v="0"/>
    <m/>
  </r>
  <r>
    <x v="1"/>
    <s v="10/175073-6"/>
    <n v="67999516782"/>
    <n v="62955505134449"/>
    <s v="energisa_ms"/>
    <s v="Igreja do Evangelho Quadrangular"/>
    <d v="2025-03-01T00:00:00"/>
    <s v="10/162736-345658"/>
    <s v="SIM"/>
    <n v="23"/>
    <n v="91.509999999999991"/>
    <n v="85.91"/>
    <s v="Aprovado"/>
    <n v="22.400000000000002"/>
    <n v="16.8"/>
    <m/>
    <m/>
    <n v="16.8"/>
    <m/>
    <s v="6295550513444916,8"/>
    <m/>
    <x v="1"/>
    <n v="16.8"/>
    <n v="0"/>
    <m/>
  </r>
  <r>
    <x v="0"/>
    <s v="10/505854-0"/>
    <n v="67996446178"/>
    <n v="62955505887382"/>
    <s v="energisa_ms"/>
    <s v="Igreja do Evangelho Quadrangular"/>
    <d v="2025-03-01T00:00:00"/>
    <s v="10/257864-945689"/>
    <s v="SIM"/>
    <n v="23"/>
    <n v="136.1"/>
    <n v="130.5"/>
    <s v="Aprovado"/>
    <n v="56"/>
    <n v="16.8"/>
    <m/>
    <m/>
    <n v="16.8"/>
    <m/>
    <s v="6295550588738216,8"/>
    <m/>
    <x v="1"/>
    <n v="16.8"/>
    <n v="0"/>
    <m/>
  </r>
  <r>
    <x v="0"/>
    <s v="10/283183-2"/>
    <s v="16 988508102"/>
    <n v="62955505287601"/>
    <s v="energisa_ms"/>
    <s v="Igreja do Evangelho Quadrangular"/>
    <d v="2025-06-01T00:00:00"/>
    <s v="10/52987-545748"/>
    <s v="SIM"/>
    <n v="22"/>
    <n v="163.26845360824743"/>
    <n v="157.97805058426238"/>
    <s v="Aprovado"/>
    <n v="22.298453608247428"/>
    <n v="16.72"/>
    <d v="2025-07-22T00:00:00"/>
    <d v="2025-08-02T00:00:00"/>
    <n v="16.72"/>
    <m/>
    <s v="6295550528760116,72"/>
    <s v="09/00012472788-2"/>
    <x v="1"/>
    <n v="16.72"/>
    <n v="0"/>
    <s v="05/08/2025"/>
  </r>
  <r>
    <x v="1"/>
    <s v="10/257864-9"/>
    <n v="67981311823"/>
    <n v="62955505182176"/>
    <s v="energisa_ms"/>
    <s v="Igreja do Evangelho Quadrangular"/>
    <d v="2025-07-01T00:00:00"/>
    <s v="10/530195-745778"/>
    <s v="SIM"/>
    <n v="17"/>
    <n v="104.2654"/>
    <n v="99.731217240000007"/>
    <s v="Aprovado"/>
    <n v="20.495400000000004"/>
    <n v="15.96"/>
    <d v="2025-09-10T00:00:00"/>
    <d v="2025-09-20T00:00:00"/>
    <n v="15.96"/>
    <m/>
    <s v="6295550518217615,96"/>
    <s v="09/00012683486-8"/>
    <x v="2"/>
    <m/>
    <n v="0"/>
    <m/>
  </r>
  <r>
    <x v="0"/>
    <s v="10/1117293-9"/>
    <n v="67999516782"/>
    <n v="62955505892114"/>
    <s v="energisa_ms"/>
    <s v="Igreja do Evangelho Quadrangular"/>
    <d v="2025-06-01T00:00:00"/>
    <s v="10/252817-245778"/>
    <s v="SIM"/>
    <n v="18"/>
    <n v="161.14240000000001"/>
    <n v="156.11204035953358"/>
    <s v="Aprovado"/>
    <n v="21.202400000000001"/>
    <n v="15.9"/>
    <d v="2025-07-22T00:00:00"/>
    <d v="2025-08-02T00:00:00"/>
    <n v="15.9"/>
    <m/>
    <s v="6295550589211415,9"/>
    <s v="09/00012472756-9"/>
    <x v="1"/>
    <n v="15.9"/>
    <n v="0"/>
    <d v="2025-09-01T00:00:00"/>
  </r>
  <r>
    <x v="0"/>
    <s v="10/252817-2"/>
    <n v="0"/>
    <n v="62955505274020"/>
    <s v="energisa_ms"/>
    <s v="Igreja do Evangelho Quadrangular"/>
    <d v="2025-08-01T00:00:00"/>
    <s v="10/257864-945870"/>
    <s v="SIM"/>
    <n v="20"/>
    <n v="135.06701030927834"/>
    <n v="130.45130195908646"/>
    <s v="Aprovado"/>
    <n v="21.087010309278348"/>
    <n v="15.81"/>
    <d v="2025-09-10T00:00:00"/>
    <d v="2025-09-20T00:00:00"/>
    <n v="15.81"/>
    <m/>
    <s v="6295550527402015,81"/>
    <s v="09/00012749688-1"/>
    <x v="1"/>
    <n v="15.81"/>
    <n v="0"/>
    <m/>
  </r>
  <r>
    <x v="1"/>
    <s v="10/10232-7"/>
    <s v="67 996415566"/>
    <n v="62955505393207"/>
    <s v="energisa_ms"/>
    <s v="Igreja do Evangelho Quadrangular"/>
    <d v="2025-07-01T00:00:00"/>
    <s v="10/952579-145658"/>
    <s v="SIM"/>
    <n v="17"/>
    <n v="77.915400000000005"/>
    <n v="73.381217240000012"/>
    <s v="Aprovado"/>
    <n v="20.185400000000001"/>
    <n v="15.65"/>
    <d v="2025-09-10T00:00:00"/>
    <d v="2025-09-20T00:00:00"/>
    <n v="15.65"/>
    <m/>
    <s v="6295550539320715,65"/>
    <s v="09/00012683539-4"/>
    <x v="1"/>
    <n v="15.65"/>
    <n v="0"/>
    <m/>
  </r>
  <r>
    <x v="0"/>
    <s v="10/283183-2"/>
    <n v="0"/>
    <n v="62955505287601"/>
    <s v="energisa_ms"/>
    <s v="Igreja do Evangelho Quadrangular"/>
    <d v="2025-08-01T00:00:00"/>
    <s v="10/226667-445627"/>
    <s v="SIM"/>
    <n v="18"/>
    <n v="162.23855670103094"/>
    <n v="158.07442099252265"/>
    <s v="Aprovado"/>
    <n v="20.268556701030928"/>
    <n v="14.26"/>
    <d v="2025-09-10T00:00:00"/>
    <d v="2025-09-20T00:00:00"/>
    <n v="14.26"/>
    <m/>
    <s v="6295550528760114,26"/>
    <s v="09/00012749710-3"/>
    <x v="1"/>
    <n v="14.26"/>
    <n v="0"/>
    <m/>
  </r>
  <r>
    <x v="0"/>
    <s v="10/1117293-9"/>
    <n v="67999516782"/>
    <n v="62955505892114"/>
    <s v="energisa_ms"/>
    <s v="Igreja do Evangelho Quadrangular"/>
    <d v="2025-07-01T00:00:00"/>
    <s v="10/226667-445748"/>
    <s v="SIM"/>
    <n v="15"/>
    <n v="156.45300000000003"/>
    <n v="152.45157580000003"/>
    <s v="Aprovado"/>
    <n v="17.713000000000001"/>
    <n v="13.71"/>
    <d v="2025-09-10T00:00:00"/>
    <d v="2025-09-20T00:00:00"/>
    <n v="13.71"/>
    <m/>
    <s v="6295550589211413,71"/>
    <s v="09/00012683535-2"/>
    <x v="1"/>
    <n v="13.71"/>
    <n v="0"/>
    <d v="2025-09-01T00:00:00"/>
  </r>
  <r>
    <x v="1"/>
    <s v="10/452884-0"/>
    <s v="67 996469842"/>
    <n v="62955505000167"/>
    <s v="energisa_ms"/>
    <s v="Igreja do Evangelho Quadrangular"/>
    <d v="2025-07-01T00:00:00"/>
    <s v="10/218777-145778"/>
    <s v="SIM"/>
    <n v="14"/>
    <n v="166.31790697674418"/>
    <n v="162.58375511627906"/>
    <s v="Aprovado"/>
    <n v="16.277906976744188"/>
    <n v="12.54"/>
    <d v="2025-09-10T00:00:00"/>
    <d v="2025-09-20T00:00:00"/>
    <n v="12.54"/>
    <m/>
    <s v="6295550500016712,54"/>
    <s v="09/00012683487-6"/>
    <x v="1"/>
    <n v="12.54"/>
    <n v="0"/>
    <m/>
  </r>
  <r>
    <x v="0"/>
    <s v="10/72605-9"/>
    <n v="67996071169"/>
    <n v="62955505136492"/>
    <s v="energisa_ms"/>
    <s v="Igreja do Evangelho Quadrangular"/>
    <d v="2025-07-01T00:00:00"/>
    <s v="10/156956-545839"/>
    <s v="SIM"/>
    <n v="14"/>
    <n v="157.70857142857142"/>
    <n v="154.47665314285715"/>
    <s v="Aprovado"/>
    <n v="15.368571428571432"/>
    <n v="12.14"/>
    <d v="2025-09-10T00:00:00"/>
    <d v="2025-09-20T00:00:00"/>
    <n v="12.14"/>
    <m/>
    <s v="6295550513649212,14"/>
    <s v="09/00012683519-6"/>
    <x v="1"/>
    <n v="12.14"/>
    <n v="0"/>
    <m/>
  </r>
  <r>
    <x v="1"/>
    <s v="10/530195-7"/>
    <n v="0"/>
    <n v="62955505367117"/>
    <s v="energisa_ms"/>
    <s v="Igreja do Evangelho Quadrangular"/>
    <d v="2025-09-01T00:00:00"/>
    <s v="10/504844-245717"/>
    <s v="SIM"/>
    <n v="15"/>
    <n v="93.410624999999996"/>
    <n v="89.177648564256174"/>
    <s v="Aprovado"/>
    <n v="16.590625000000003"/>
    <n v="11.53"/>
    <d v="2025-10-03T00:00:00"/>
    <d v="2025-10-13T00:00:00"/>
    <n v="11.53"/>
    <m/>
    <s v="6295550536711711,53"/>
    <s v="09/00012851545-7"/>
    <x v="1"/>
    <n v="11.53"/>
    <n v="0"/>
    <m/>
  </r>
  <r>
    <x v="1"/>
    <s v="10/226667-4"/>
    <n v="67992637973"/>
    <n v="62955505040894"/>
    <s v="energisa_ms"/>
    <s v="Igreja do Evangelho Quadrangular"/>
    <d v="2025-06-01T00:00:00"/>
    <s v="10/1017804-445870"/>
    <s v="SIM"/>
    <n v="14"/>
    <n v="73.59571428571428"/>
    <n v="70.014191821895579"/>
    <s v="Aprovado"/>
    <n v="15.095714285714283"/>
    <n v="11.32"/>
    <d v="2025-07-22T00:00:00"/>
    <d v="2025-08-02T00:00:00"/>
    <n v="11.32"/>
    <m/>
    <s v="6295550504089411,32"/>
    <s v="09/00012472758-5"/>
    <x v="1"/>
    <n v="11.32"/>
    <n v="0"/>
    <s v="01/08/2025"/>
  </r>
  <r>
    <x v="1"/>
    <s v="10/226667-4"/>
    <n v="0"/>
    <n v="62955505040894"/>
    <s v="energisa_ms"/>
    <s v="Igreja do Evangelho Quadrangular"/>
    <d v="2025-08-01T00:00:00"/>
    <s v="10/987178-145778"/>
    <s v="SIM"/>
    <n v="13"/>
    <n v="73.003469387755104"/>
    <n v="69.794038772988245"/>
    <s v="Aprovado"/>
    <n v="14.393469387755102"/>
    <n v="10.99"/>
    <d v="2025-09-10T00:00:00"/>
    <d v="2025-09-20T00:00:00"/>
    <n v="10.99"/>
    <m/>
    <s v="6295550504089410,99"/>
    <s v="09/00012749664-2"/>
    <x v="1"/>
    <n v="10.99"/>
    <n v="0"/>
    <m/>
  </r>
  <r>
    <x v="0"/>
    <s v="10/987178-1"/>
    <n v="67993496482"/>
    <n v="62955505015512"/>
    <s v="energisa_ms"/>
    <s v="Igreja do Evangelho Quadrangular"/>
    <d v="2025-04-01T00:00:00"/>
    <s v="10/532723-445931"/>
    <s v="SIM"/>
    <n v="13"/>
    <n v="178.5"/>
    <n v="174.8725"/>
    <s v="Aprovado"/>
    <n v="14.509999999999998"/>
    <n v="10.88"/>
    <m/>
    <m/>
    <n v="10.88"/>
    <m/>
    <s v="6295550501551210,88"/>
    <m/>
    <x v="1"/>
    <n v="10.88"/>
    <n v="0"/>
    <d v="2025-08-26T00:00:00"/>
  </r>
  <r>
    <x v="0"/>
    <s v="10/135237-6"/>
    <n v="67996446178"/>
    <n v="62955505080098"/>
    <s v="energisa_ms"/>
    <s v="Igreja do Evangelho Quadrangular"/>
    <d v="2025-10-01T00:00:00"/>
    <s v="10/512142-145870"/>
    <s v="SIM"/>
    <n v="12"/>
    <n v="147.54240000000001"/>
    <n v="143.46400557061179"/>
    <s v="Aprovado"/>
    <n v="14.582399999899998"/>
    <n v="10.5"/>
    <d v="2025-11-06T00:00:00"/>
    <d v="2025-11-13T00:00:00"/>
    <n v="10.5"/>
    <m/>
    <s v="6295550508009810,5"/>
    <s v="09/00013026988-7"/>
    <x v="1"/>
    <n v="10.5"/>
    <n v="0"/>
    <m/>
  </r>
  <r>
    <x v="0"/>
    <s v="10/908866-7"/>
    <n v="67992637973"/>
    <n v="62955505358630"/>
    <s v="energisa_ms"/>
    <s v="Igreja do Evangelho Quadrangular"/>
    <d v="2025-05-01T00:00:00"/>
    <s v="10/13786-945658"/>
    <s v="SIM"/>
    <n v="14"/>
    <n v="153.23571428571429"/>
    <n v="149.81428571428572"/>
    <s v="Aprovado"/>
    <n v="13.685714285714289"/>
    <n v="10.26"/>
    <m/>
    <m/>
    <n v="10.26"/>
    <m/>
    <s v="6295550535863010,26"/>
    <m/>
    <x v="1"/>
    <n v="10.26"/>
    <n v="0"/>
    <m/>
  </r>
  <r>
    <x v="0"/>
    <s v="10/987178-1"/>
    <n v="67993496482"/>
    <n v="62955505015512"/>
    <s v="energisa_ms"/>
    <s v="Igreja do Evangelho Quadrangular"/>
    <d v="2025-01-01T00:00:00"/>
    <s v="10/3005226-045931"/>
    <s v="SIM"/>
    <n v="12"/>
    <n v="174.07"/>
    <n v="170.7225"/>
    <s v="Aprovado"/>
    <n v="13.39"/>
    <n v="10.039999999999999"/>
    <m/>
    <m/>
    <n v="10.039999999999999"/>
    <m/>
    <s v="6295550501551210,04"/>
    <m/>
    <x v="1"/>
    <n v="10.039999999999999"/>
    <n v="0"/>
    <m/>
  </r>
  <r>
    <x v="0"/>
    <s v="10/987178-1"/>
    <n v="67993496482"/>
    <n v="62955505015512"/>
    <s v="energisa_ms"/>
    <s v="Igreja do Evangelho Quadrangular"/>
    <d v="2025-02-01T00:00:00"/>
    <s v="10/435964-245931"/>
    <s v="SIM"/>
    <n v="9"/>
    <n v="171.82999999999998"/>
    <n v="169.32000000000002"/>
    <s v="Aprovado"/>
    <n v="10.039999999999999"/>
    <n v="7.53"/>
    <m/>
    <m/>
    <n v="7.53"/>
    <m/>
    <s v="629555050155127,53"/>
    <m/>
    <x v="1"/>
    <n v="7.53"/>
    <n v="0"/>
    <m/>
  </r>
  <r>
    <x v="1"/>
    <s v="10/175073-6"/>
    <n v="67999516782"/>
    <n v="62955505134449"/>
    <s v="energisa_ms"/>
    <s v="Igreja do Evangelho Quadrangular"/>
    <d v="2025-10-01T00:00:00"/>
    <s v="10/2338577-645778"/>
    <s v="SIM"/>
    <n v="60"/>
    <n v="139.88499999999999"/>
    <n v="122.14914151719518"/>
    <s v="Aprovado"/>
    <n v="-57.36500000000099"/>
    <n v="45.68"/>
    <d v="2025-11-06T00:00:00"/>
    <d v="2025-11-13T00:00:00"/>
    <n v="45.68"/>
    <m/>
    <s v="6295550513444945,68"/>
    <s v="09/00013026924-2"/>
    <x v="2"/>
    <m/>
    <n v="0"/>
    <m/>
  </r>
  <r>
    <x v="1"/>
    <s v="10/175073-6"/>
    <n v="67999516782"/>
    <n v="62955505134449"/>
    <s v="energisa_ms"/>
    <s v="Igreja do Evangelho Quadrangular"/>
    <d v="2025-01-01T00:00:00"/>
    <s v="10/61344-845748"/>
    <s v="SIM"/>
    <n v="8"/>
    <n v="75.87"/>
    <n v="73.877500000000012"/>
    <s v="Aprovado"/>
    <n v="7.97"/>
    <n v="5.98"/>
    <m/>
    <m/>
    <n v="5.98"/>
    <m/>
    <s v="629555051344495,98"/>
    <m/>
    <x v="1"/>
    <n v="5.98"/>
    <n v="0"/>
    <m/>
  </r>
  <r>
    <x v="0"/>
    <s v="10/1433087-2"/>
    <s v="Solicitação de distrato"/>
    <n v="62955505419443"/>
    <s v="energisa_ms"/>
    <s v="Igreja do Evangelho Quadrangular"/>
    <d v="2025-08-01T00:00:00"/>
    <s v="10/908866-745748"/>
    <s v="SIM"/>
    <n v="6"/>
    <n v="137.16920000000002"/>
    <n v="135.57409587598266"/>
    <s v="Aprovado"/>
    <n v="7.0592000000000006"/>
    <n v="5.46"/>
    <d v="2025-09-10T00:00:00"/>
    <d v="2025-09-20T00:00:00"/>
    <n v="5.46"/>
    <m/>
    <s v="629555054194435,46"/>
    <s v="09/00012749658-4"/>
    <x v="1"/>
    <n v="5.46"/>
    <n v="0"/>
    <m/>
  </r>
  <r>
    <x v="0"/>
    <s v="10/1266128-6"/>
    <n v="67991306665"/>
    <n v="62955505379395"/>
    <s v="energisa_ms"/>
    <s v="Igreja do Evangelho Quadrangular"/>
    <d v="2025-06-01T00:00:00"/>
    <s v="10/31292-645748"/>
    <s v="SIM"/>
    <n v="7"/>
    <n v="465.06596401028276"/>
    <n v="463.37529871971458"/>
    <s v="Aprovado"/>
    <n v="7.125964010282777"/>
    <n v="5.34"/>
    <d v="2025-07-22T00:00:00"/>
    <d v="2025-08-02T00:00:00"/>
    <n v="5.34"/>
    <m/>
    <s v="629555053793955,34"/>
    <s v="09/00012472785-8"/>
    <x v="1"/>
    <n v="5.34"/>
    <n v="0"/>
    <s v="06/08/2025"/>
  </r>
  <r>
    <x v="0"/>
    <s v="10/135237-6"/>
    <n v="67996446178"/>
    <n v="62955505080098"/>
    <s v="energisa_ms"/>
    <s v="Igreja do Evangelho Quadrangular"/>
    <d v="2025-05-01T00:00:00"/>
    <s v="10/2794432-145658"/>
    <s v="SIM"/>
    <n v="6"/>
    <n v="131.58499999999998"/>
    <n v="129.88624999999999"/>
    <s v="Aprovado"/>
    <n v="6.794999999999999"/>
    <n v="5.0999999999999996"/>
    <m/>
    <m/>
    <n v="5.0999999999999996"/>
    <m/>
    <s v="629555050800985,1"/>
    <m/>
    <x v="1"/>
    <n v="5.0999999999999996"/>
    <n v="0"/>
    <m/>
  </r>
  <r>
    <x v="1"/>
    <s v="10/257864-9"/>
    <n v="67981311823"/>
    <n v="62955505182176"/>
    <s v="energisa_ms"/>
    <s v="Igreja do Evangelho Quadrangular"/>
    <d v="2025-10-01T00:00:00"/>
    <s v="10/908866-745839"/>
    <s v="SIM"/>
    <n v="5"/>
    <n v="80.125"/>
    <n v="78.411964705398105"/>
    <s v="Aprovado"/>
    <n v="6.125"/>
    <n v="4.41"/>
    <d v="2025-11-06T00:00:00"/>
    <d v="2025-11-13T00:00:00"/>
    <n v="4.41"/>
    <m/>
    <s v="629555051821764,41"/>
    <s v="09/00013026976-2"/>
    <x v="2"/>
    <m/>
    <n v="0"/>
    <m/>
  </r>
  <r>
    <x v="1"/>
    <s v="10/257864-9"/>
    <n v="67981311823"/>
    <n v="62955505182176"/>
    <s v="energisa_ms"/>
    <s v="Igreja do Evangelho Quadrangular"/>
    <d v="2025-08-01T00:00:00"/>
    <s v="10/1288241-145717"/>
    <s v="SIM"/>
    <n v="4"/>
    <n v="75.975599999999986"/>
    <n v="74.919096594195452"/>
    <s v="Aprovado"/>
    <n v="4.6755999999999993"/>
    <n v="3.62"/>
    <d v="2025-09-10T00:00:00"/>
    <d v="2025-09-20T00:00:00"/>
    <n v="3.62"/>
    <m/>
    <s v="629555051821763,62"/>
    <s v="09/00012749656-8"/>
    <x v="2"/>
    <n v="0"/>
    <n v="-3.62"/>
    <m/>
  </r>
  <r>
    <x v="0"/>
    <s v="10/3030784-7"/>
    <n v="67996266684"/>
    <n v="62955505016080"/>
    <s v="energisa_ms"/>
    <s v="Igreja do Evangelho Quadrangular"/>
    <d v="2025-07-01T00:00:00"/>
    <s v="10/1433087-245901"/>
    <s v="SIM"/>
    <n v="0"/>
    <n v="437.91000000000008"/>
    <n v="437.91000000000008"/>
    <s v="Aprovado"/>
    <n v="2.5900000000000034"/>
    <n v="2.5900000000000034"/>
    <d v="2025-09-10T00:00:00"/>
    <d v="2025-09-20T00:00:00"/>
    <n v="2.59"/>
    <m/>
    <s v="629555050160802,59"/>
    <s v="09/00012683479-3"/>
    <x v="1"/>
    <n v="2.59"/>
    <n v="0"/>
    <m/>
  </r>
  <r>
    <x v="1"/>
    <s v="10/41548-9"/>
    <n v="67996687077"/>
    <n v="62955505269026"/>
    <s v="energisa_ms"/>
    <s v="Igreja do Evangelho Quadrangular"/>
    <d v="2025-07-01T00:00:00"/>
    <s v="10/175073-645778"/>
    <s v="SIM"/>
    <n v="0"/>
    <n v="111.08"/>
    <n v="111.08"/>
    <s v="Aprovado"/>
    <n v="2"/>
    <n v="2"/>
    <d v="2025-09-10T00:00:00"/>
    <d v="2025-09-20T00:00:00"/>
    <n v="2"/>
    <m/>
    <s v="629555052690262"/>
    <s v="09/00012683518-8"/>
    <x v="1"/>
    <n v="2"/>
    <n v="0"/>
    <d v="2025-11-12T00:00:00"/>
  </r>
  <r>
    <x v="0"/>
    <s v="10/283183-2"/>
    <s v="16 988508102"/>
    <n v="62955505287601"/>
    <s v="energisa_ms"/>
    <s v="Igreja do Evangelho Quadrangular"/>
    <d v="2025-07-01T00:00:00"/>
    <s v="10/501586-245809"/>
    <s v="SIM"/>
    <n v="2"/>
    <m/>
    <m/>
    <s v="Aprovado"/>
    <n v="2.3024000000000027"/>
    <n v="1.84"/>
    <d v="2025-09-10T00:00:00"/>
    <d v="2025-09-20T00:00:00"/>
    <n v="0"/>
    <s v="Valor abaixo do mínimo"/>
    <s v="629555052876010"/>
    <m/>
    <x v="0"/>
    <m/>
    <n v="0"/>
    <m/>
  </r>
  <r>
    <x v="1"/>
    <s v="10/452884-0"/>
    <s v="67 996469842"/>
    <n v="62955505000167"/>
    <s v="energisa_ms"/>
    <s v="Igreja do Evangelho Quadrangular"/>
    <d v="2025-10-01T00:00:00"/>
    <s v="10/260761-245809"/>
    <s v="SIM"/>
    <n v="55"/>
    <n v="126.22"/>
    <n v="107.73040598757032"/>
    <s v="Aprovado"/>
    <n v="19.599999999900014"/>
    <n v="1.1100000000000001"/>
    <d v="2025-11-06T00:00:00"/>
    <d v="2025-11-13T00:00:00"/>
    <n v="1.1100000000000001"/>
    <m/>
    <s v="629555050001671,11"/>
    <s v="09/00013026963-0"/>
    <x v="1"/>
    <n v="19.600000000000001"/>
    <n v="0"/>
    <d v="2025-12-04T00:00:00"/>
  </r>
  <r>
    <x v="1"/>
    <s v="10/530195-7"/>
    <n v="67999516782"/>
    <n v="62955505367117"/>
    <s v="energisa_ms"/>
    <s v="Igreja do Evangelho Quadrangular"/>
    <d v="2025-07-01T00:00:00"/>
    <s v="10/1117293-945778"/>
    <s v="SIM"/>
    <n v="0"/>
    <m/>
    <m/>
    <s v="Aprovado"/>
    <n v="0.82999999999999829"/>
    <n v="0.82999999999999829"/>
    <d v="2025-09-10T00:00:00"/>
    <d v="2025-09-20T00:00:00"/>
    <n v="0"/>
    <s v="Valor abaixo do mínimo"/>
    <s v="629555053671170"/>
    <m/>
    <x v="0"/>
    <m/>
    <n v="0"/>
    <m/>
  </r>
  <r>
    <x v="1"/>
    <s v="10/530195-7"/>
    <n v="0"/>
    <n v="62955505367117"/>
    <s v="energisa_ms"/>
    <s v="Igreja do Evangelho Quadrangular"/>
    <d v="2025-08-01T00:00:00"/>
    <s v="10/162736-345627"/>
    <s v="SIM"/>
    <n v="0"/>
    <m/>
    <m/>
    <s v="Não emitido"/>
    <n v="0.82999999999999829"/>
    <n v="0.82999999999999829"/>
    <m/>
    <m/>
    <m/>
    <s v="Sem valor liberado para emissão"/>
    <s v="629555053671170,829999999999998"/>
    <e v="#N/A"/>
    <x v="0"/>
    <m/>
    <n v="0"/>
    <m/>
  </r>
  <r>
    <x v="0"/>
    <s v="10/252817-2"/>
    <n v="67992637973"/>
    <n v="62955505274020"/>
    <s v="energisa_ms"/>
    <s v="Igreja do Evangelho Quadrangular"/>
    <d v="2025-07-01T00:00:00"/>
    <s v="10/466560-045901"/>
    <s v="SIM"/>
    <n v="0"/>
    <m/>
    <m/>
    <s v="Aprovado"/>
    <n v="0.66000000000000369"/>
    <n v="0.66000000000000369"/>
    <d v="2025-09-10T00:00:00"/>
    <d v="2025-09-20T00:00:00"/>
    <n v="0"/>
    <s v="Valor abaixo do mínimo"/>
    <s v="629555052740200"/>
    <m/>
    <x v="0"/>
    <m/>
    <n v="0"/>
    <m/>
  </r>
  <r>
    <x v="1"/>
    <s v="10/226667-4"/>
    <n v="67992637973"/>
    <n v="62955505040894"/>
    <s v="energisa_ms"/>
    <s v="Igreja do Evangelho Quadrangular"/>
    <d v="2025-07-01T00:00:00"/>
    <s v="10/283183-245931"/>
    <s v="SIM"/>
    <n v="0"/>
    <m/>
    <m/>
    <s v="Aprovado"/>
    <n v="0.1899999999999995"/>
    <n v="0.1899999999999995"/>
    <d v="2025-09-10T00:00:00"/>
    <d v="2025-09-20T00:00:00"/>
    <n v="0"/>
    <s v="Valor abaixo do mínimo"/>
    <s v="629555050408940"/>
    <m/>
    <x v="0"/>
    <m/>
    <n v="0"/>
    <m/>
  </r>
  <r>
    <x v="1"/>
    <s v="10/10232-7"/>
    <s v="67 996415566"/>
    <n v="62955505393207"/>
    <s v="energisa_ms"/>
    <s v="Igreja do Evangelho Quadrangular"/>
    <d v="2024-12-01T00:00:00"/>
    <s v="10/237441-145901"/>
    <s v="SIM"/>
    <n v="32"/>
    <m/>
    <m/>
    <s v="Não emitido"/>
    <n v="35.796799999999998"/>
    <n v="0"/>
    <m/>
    <m/>
    <m/>
    <s v="Sem valor liberado para emissão"/>
    <s v="62955505393207"/>
    <m/>
    <x v="0"/>
    <n v="0"/>
    <n v="0"/>
    <m/>
  </r>
  <r>
    <x v="0"/>
    <s v="10/1035655-8"/>
    <n v="67996135721"/>
    <n v="62955505182257"/>
    <s v="energisa_ms"/>
    <s v="Igreja do Evangelho Quadrangular"/>
    <d v="2024-12-01T00:00:00"/>
    <s v="10/135237-645901"/>
    <s v="SIM"/>
    <n v="246"/>
    <m/>
    <m/>
    <s v="Não emitido"/>
    <n v="275.48106382978727"/>
    <n v="0"/>
    <m/>
    <m/>
    <m/>
    <s v="Sem valor liberado para emissão"/>
    <s v="62955505182257"/>
    <m/>
    <x v="0"/>
    <n v="0"/>
    <n v="0"/>
    <m/>
  </r>
  <r>
    <x v="0"/>
    <s v="10/1117293-9"/>
    <n v="67999516782"/>
    <n v="62955505892114"/>
    <s v="energisa_ms"/>
    <s v="Igreja do Evangelho Quadrangular"/>
    <d v="2024-12-01T00:00:00"/>
    <s v="10/512142-145901"/>
    <s v="SIM"/>
    <n v="61"/>
    <m/>
    <m/>
    <s v="Não emitido"/>
    <n v="68.2547"/>
    <n v="0"/>
    <m/>
    <m/>
    <m/>
    <s v="Sem valor liberado para emissão"/>
    <s v="62955505892114"/>
    <m/>
    <x v="0"/>
    <n v="0"/>
    <n v="0"/>
    <m/>
  </r>
  <r>
    <x v="0"/>
    <s v="10/113971-6"/>
    <n v="67996575782"/>
    <n v="62955505015601"/>
    <s v="energisa_ms"/>
    <s v="Igreja do Evangelho Quadrangular"/>
    <d v="2024-12-01T00:00:00"/>
    <s v="10/31292-645901"/>
    <s v="SIM"/>
    <n v="145"/>
    <m/>
    <m/>
    <s v="Não emitido"/>
    <n v="164.37932330827067"/>
    <n v="0"/>
    <m/>
    <m/>
    <m/>
    <s v="Sem valor liberado para emissão"/>
    <s v="62955505015601"/>
    <m/>
    <x v="0"/>
    <n v="0"/>
    <n v="0"/>
    <m/>
  </r>
  <r>
    <x v="0"/>
    <s v="10/1184751-4"/>
    <s v="67 96034976"/>
    <n v="62955505149047"/>
    <s v="energisa_ms"/>
    <s v="Igreja do Evangelho Quadrangular"/>
    <d v="2024-12-01T00:00:00"/>
    <s v="10/3054052-045901"/>
    <s v="SIM"/>
    <n v="96"/>
    <m/>
    <m/>
    <s v="Não emitido"/>
    <n v="108.75319999999999"/>
    <n v="0"/>
    <m/>
    <m/>
    <m/>
    <s v="Sem valor liberado para emissão"/>
    <s v="62955505149047"/>
    <m/>
    <x v="0"/>
    <n v="0"/>
    <n v="0"/>
    <m/>
  </r>
  <r>
    <x v="0"/>
    <s v="10/135237-6"/>
    <n v="67996446178"/>
    <n v="62955505080098"/>
    <s v="energisa_ms"/>
    <s v="Igreja do Evangelho Quadrangular"/>
    <d v="2024-12-01T00:00:00"/>
    <s v="10/505854-045901"/>
    <s v="SIM"/>
    <n v="38"/>
    <m/>
    <m/>
    <s v="Não emitido"/>
    <n v="42.776199999999996"/>
    <n v="0"/>
    <m/>
    <m/>
    <m/>
    <s v="Sem valor liberado para emissão"/>
    <s v="62955505080098"/>
    <m/>
    <x v="0"/>
    <n v="0"/>
    <n v="0"/>
    <m/>
  </r>
  <r>
    <x v="3"/>
    <s v="10/1548741-6"/>
    <s v="67 81355403"/>
    <n v="62955505084751"/>
    <s v="energisa_ms"/>
    <s v="Igreja do Evangelho Quadrangular"/>
    <d v="2024-12-01T00:00:00"/>
    <s v="10/364440-845839"/>
    <s v="SIM"/>
    <n v="126"/>
    <m/>
    <m/>
    <s v="Aprovado"/>
    <n v="141.56400000000005"/>
    <n v="0"/>
    <m/>
    <m/>
    <m/>
    <s v="Sem valor liberado para emissão"/>
    <s v="62955505084751"/>
    <m/>
    <x v="0"/>
    <n v="0"/>
    <n v="0"/>
    <m/>
  </r>
  <r>
    <x v="0"/>
    <s v="10/156956-5"/>
    <s v="67 998338301"/>
    <n v="62955505015350"/>
    <s v="energisa_ms"/>
    <s v="Igreja do Evangelho Quadrangular"/>
    <d v="2024-12-01T00:00:00"/>
    <s v="10/364440-845870"/>
    <s v="SIM"/>
    <n v="391"/>
    <m/>
    <m/>
    <s v="Aprovado"/>
    <n v="442.43230000000005"/>
    <n v="0"/>
    <m/>
    <m/>
    <m/>
    <s v="Sem valor liberado para emissão"/>
    <s v="62955505015350"/>
    <m/>
    <x v="0"/>
    <n v="0"/>
    <n v="0"/>
    <m/>
  </r>
  <r>
    <x v="0"/>
    <s v="10/2794432-1"/>
    <n v="67991162146"/>
    <n v="62955505015199"/>
    <s v="energisa_ms"/>
    <s v="Igreja do Evangelho Quadrangular"/>
    <d v="2024-12-01T00:00:00"/>
    <s v="10/364440-845901"/>
    <s v="SIM"/>
    <n v="0"/>
    <m/>
    <m/>
    <s v="Aprovado"/>
    <n v="0"/>
    <n v="0"/>
    <m/>
    <m/>
    <m/>
    <s v="Sem valor liberado para emissão"/>
    <s v="62955505015199"/>
    <m/>
    <x v="0"/>
    <n v="0"/>
    <n v="0"/>
    <m/>
  </r>
  <r>
    <x v="0"/>
    <s v="10/162736-3"/>
    <n v="67996150274"/>
    <n v="62955505197360"/>
    <s v="energisa_ms"/>
    <s v="Igreja do Evangelho Quadrangular"/>
    <d v="2024-12-01T00:00:00"/>
    <s v="10/364440-845809"/>
    <s v="SIM"/>
    <n v="135"/>
    <m/>
    <m/>
    <s v="Aprovado"/>
    <n v="152.0265"/>
    <n v="0"/>
    <m/>
    <m/>
    <m/>
    <s v="Sem valor liberado para emissão"/>
    <s v="62955505197360"/>
    <m/>
    <x v="0"/>
    <n v="0"/>
    <n v="0"/>
    <m/>
  </r>
  <r>
    <x v="0"/>
    <s v="10/1672452-8"/>
    <n v="67992637973"/>
    <n v="62955505017213"/>
    <s v="energisa_ms"/>
    <s v="Igreja do Evangelho Quadrangular"/>
    <d v="2024-12-01T00:00:00"/>
    <s v="10/5202-745717"/>
    <s v="SIM"/>
    <n v="277"/>
    <m/>
    <m/>
    <s v="Aprovado"/>
    <n v="313.21649999999994"/>
    <n v="0"/>
    <m/>
    <m/>
    <m/>
    <s v="Sem valor liberado para emissão"/>
    <s v="62955505017213"/>
    <m/>
    <x v="0"/>
    <n v="0"/>
    <n v="0"/>
    <m/>
  </r>
  <r>
    <x v="0"/>
    <s v="10/1695011-5"/>
    <n v="67991767866"/>
    <n v="62955505461210"/>
    <s v="energisa_ms"/>
    <s v="Igreja do Evangelho Quadrangular"/>
    <d v="2024-12-01T00:00:00"/>
    <s v="10/364440-845748"/>
    <s v="SIM"/>
    <n v="256"/>
    <m/>
    <m/>
    <s v="Aprovado"/>
    <n v="289.68452830188676"/>
    <n v="0"/>
    <m/>
    <m/>
    <m/>
    <s v="Sem valor liberado para emissão"/>
    <s v="62955505461210"/>
    <m/>
    <x v="0"/>
    <n v="0"/>
    <n v="0"/>
    <m/>
  </r>
  <r>
    <x v="0"/>
    <s v="10/1698130-0"/>
    <n v="67991767866"/>
    <n v="62955505461210"/>
    <s v="energisa_ms"/>
    <s v="Igreja do Evangelho Quadrangular"/>
    <d v="2024-12-01T00:00:00"/>
    <s v="10/364440-845717"/>
    <s v="SIM"/>
    <n v="223"/>
    <m/>
    <m/>
    <s v="Aprovado"/>
    <n v="252.32190000000006"/>
    <n v="0"/>
    <m/>
    <m/>
    <m/>
    <s v="Sem valor liberado para emissão"/>
    <s v="62955505461210"/>
    <m/>
    <x v="0"/>
    <n v="0"/>
    <n v="0"/>
    <m/>
  </r>
  <r>
    <x v="0"/>
    <s v="10/18015-8"/>
    <n v="67996266684"/>
    <n v="62955505016080"/>
    <s v="energisa_ms"/>
    <s v="Igreja do Evangelho Quadrangular"/>
    <d v="2024-12-01T00:00:00"/>
    <s v="10/364440-845689"/>
    <s v="SIM"/>
    <n v="739"/>
    <m/>
    <m/>
    <s v="Aprovado"/>
    <n v="827.61053398058255"/>
    <n v="0"/>
    <m/>
    <m/>
    <m/>
    <s v="Sem valor liberado para emissão"/>
    <s v="62955505016080"/>
    <m/>
    <x v="0"/>
    <n v="0"/>
    <n v="0"/>
    <m/>
  </r>
  <r>
    <x v="0"/>
    <s v="10/191945-5"/>
    <s v="67 81355403"/>
    <n v="62955505215791"/>
    <s v="energisa_ms"/>
    <s v="Igreja do Evangelho Quadrangular"/>
    <d v="2024-12-01T00:00:00"/>
    <s v="10/364440-845658"/>
    <s v="SIM"/>
    <n v="493"/>
    <m/>
    <m/>
    <s v="Aprovado"/>
    <n v="551.84623217922604"/>
    <n v="0"/>
    <m/>
    <m/>
    <m/>
    <s v="Sem valor liberado para emissão"/>
    <s v="62955505215791"/>
    <m/>
    <x v="0"/>
    <n v="0"/>
    <n v="0"/>
    <m/>
  </r>
  <r>
    <x v="1"/>
    <s v="10/1939035-0"/>
    <s v=" 67 91285460"/>
    <n v="62955505419443"/>
    <s v="energisa_ms"/>
    <s v="Igreja do Evangelho Quadrangular"/>
    <d v="2024-12-01T00:00:00"/>
    <s v="10/364440-845778"/>
    <s v="SIM"/>
    <n v="401"/>
    <m/>
    <m/>
    <s v="Aprovado"/>
    <n v="452.58240000000001"/>
    <n v="0"/>
    <m/>
    <m/>
    <m/>
    <s v="Sem valor liberado para emissão"/>
    <s v="62955505419443"/>
    <m/>
    <x v="0"/>
    <n v="0"/>
    <n v="0"/>
    <m/>
  </r>
  <r>
    <x v="0"/>
    <s v="10/202838-9"/>
    <n v="67992637973"/>
    <n v="62955505016403"/>
    <s v="energisa_ms"/>
    <s v="Igreja do Evangelho Quadrangular"/>
    <d v="2024-12-01T00:00:00"/>
    <s v="10/5202-745931"/>
    <s v="SIM"/>
    <n v="385"/>
    <m/>
    <m/>
    <s v="Aprovado"/>
    <n v="433.28146666666669"/>
    <n v="0"/>
    <m/>
    <m/>
    <m/>
    <s v="Sem valor liberado para emissão"/>
    <s v="62955505016403"/>
    <m/>
    <x v="0"/>
    <n v="0"/>
    <n v="0"/>
    <m/>
  </r>
  <r>
    <x v="1"/>
    <s v="10/218777-1"/>
    <n v="67999031330"/>
    <n v="62955505017051"/>
    <s v="energisa_ms"/>
    <s v="Igreja do Evangelho Quadrangular"/>
    <d v="2024-12-01T00:00:00"/>
    <s v="10/5202-745748"/>
    <s v="SIM"/>
    <n v="108"/>
    <m/>
    <m/>
    <s v="Aprovado"/>
    <n v="122.69999999999999"/>
    <n v="0"/>
    <m/>
    <m/>
    <m/>
    <s v="Sem valor liberado para emissão"/>
    <s v="62955505017051"/>
    <m/>
    <x v="0"/>
    <n v="0"/>
    <n v="0"/>
    <m/>
  </r>
  <r>
    <x v="1"/>
    <s v="10/226667-4"/>
    <n v="67992637973"/>
    <n v="62955505040894"/>
    <s v="energisa_ms"/>
    <s v="Igreja do Evangelho Quadrangular"/>
    <d v="2024-12-01T00:00:00"/>
    <s v="10/5202-745689"/>
    <s v="SIM"/>
    <n v="83"/>
    <m/>
    <m/>
    <s v="Aprovado"/>
    <n v="93.48"/>
    <n v="0"/>
    <m/>
    <m/>
    <m/>
    <s v="Sem valor liberado para emissão"/>
    <s v="62955505040894"/>
    <m/>
    <x v="0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">
  <r>
    <s v="TRIFÁSICO"/>
    <s v="10/237441-1"/>
    <n v="0"/>
    <n v="62955505017213"/>
    <s v="energisa_ms"/>
    <s v="Igreja do Evangelho Quadrangular"/>
    <x v="0"/>
    <s v="10/2338577-645658"/>
    <s v="SIM"/>
    <n v="0"/>
    <m/>
    <m/>
    <s v="Não emitido"/>
    <n v="0"/>
    <s v=""/>
    <m/>
    <m/>
    <m/>
    <s v="Sem valor liberado para emissão"/>
    <s v="62955505017213"/>
    <m/>
    <x v="0"/>
    <m/>
    <n v="0"/>
    <m/>
    <m/>
    <m/>
    <m/>
    <m/>
    <m/>
    <m/>
    <m/>
    <m/>
    <m/>
    <m/>
  </r>
  <r>
    <s v="TRIFÁSICO"/>
    <s v="10/135237-6"/>
    <n v="0"/>
    <n v="62955505080098"/>
    <s v="energisa_ms"/>
    <s v="Igreja do Evangelho Quadrangular"/>
    <x v="0"/>
    <s v="10/142353-245689"/>
    <s v="SIM"/>
    <n v="0"/>
    <m/>
    <m/>
    <s v="Não emitido"/>
    <n v="0"/>
    <s v=""/>
    <m/>
    <m/>
    <m/>
    <s v="Sem valor liberado para emissão"/>
    <s v="62955505080098"/>
    <m/>
    <x v="0"/>
    <m/>
    <n v="0"/>
    <m/>
    <m/>
    <m/>
    <m/>
    <m/>
    <m/>
    <m/>
    <m/>
    <m/>
    <m/>
    <m/>
  </r>
  <r>
    <s v="TRIFÁSICO"/>
    <s v="10/512142-1"/>
    <s v="Solicitação de distrato"/>
    <n v="62955505189340"/>
    <s v="energisa_ms"/>
    <s v="Igreja do Evangelho Quadrangular"/>
    <x v="0"/>
    <s v="10/104720-845717"/>
    <s v="SIM"/>
    <n v="0"/>
    <m/>
    <m/>
    <s v="Não emitido"/>
    <n v="0"/>
    <s v=""/>
    <m/>
    <m/>
    <m/>
    <s v="Sem valor liberado para emissão"/>
    <s v="62955505189340"/>
    <m/>
    <x v="0"/>
    <m/>
    <n v="0"/>
    <m/>
    <m/>
    <m/>
    <m/>
    <m/>
    <m/>
    <m/>
    <m/>
    <m/>
    <m/>
    <m/>
  </r>
  <r>
    <s v="BIFÁSICO"/>
    <s v="10/31292-6"/>
    <s v="Solicitação de distrato"/>
    <n v="62955505016080"/>
    <s v="energisa_ms"/>
    <s v="Igreja do Evangelho Quadrangular"/>
    <x v="0"/>
    <s v="10/1081489-545717"/>
    <s v="SIM"/>
    <n v="0"/>
    <m/>
    <m/>
    <s v="Não emitido"/>
    <n v="0"/>
    <s v=""/>
    <m/>
    <m/>
    <m/>
    <s v="Sem valor liberado para emissão"/>
    <s v="62955505016080"/>
    <m/>
    <x v="0"/>
    <m/>
    <n v="0"/>
    <m/>
    <m/>
    <m/>
    <m/>
    <m/>
    <m/>
    <m/>
    <m/>
    <m/>
    <m/>
    <m/>
  </r>
  <r>
    <s v="TRIFÁSICO"/>
    <s v="10/3054052-0"/>
    <n v="0"/>
    <n v="62955505312487"/>
    <s v="energisa_ms"/>
    <s v="Igreja do Evangelho Quadrangular"/>
    <x v="0"/>
    <s v="10/69319-245717"/>
    <s v="SIM"/>
    <n v="0"/>
    <m/>
    <m/>
    <s v="Não emitido"/>
    <n v="0"/>
    <s v=""/>
    <m/>
    <m/>
    <m/>
    <s v="Sem valor liberado para emissão"/>
    <s v="62955505312487"/>
    <m/>
    <x v="0"/>
    <m/>
    <n v="0"/>
    <m/>
    <m/>
    <m/>
    <m/>
    <m/>
    <m/>
    <m/>
    <m/>
    <m/>
    <m/>
    <m/>
  </r>
  <r>
    <s v="TRIFÁSICO"/>
    <s v="10/505854-0"/>
    <n v="0"/>
    <n v="62955505887382"/>
    <s v="energisa_ms"/>
    <s v="Igreja do Evangelho Quadrangular"/>
    <x v="0"/>
    <s v="10/3139326-745717"/>
    <s v="SIM"/>
    <n v="0"/>
    <m/>
    <m/>
    <s v="Não emitido"/>
    <n v="0"/>
    <s v=""/>
    <m/>
    <m/>
    <m/>
    <s v="Sem valor liberado para emissão"/>
    <s v="62955505887382"/>
    <m/>
    <x v="0"/>
    <m/>
    <n v="0"/>
    <m/>
    <m/>
    <m/>
    <m/>
    <m/>
    <m/>
    <m/>
    <m/>
    <m/>
    <m/>
    <m/>
  </r>
  <r>
    <s v="TRIFÁSICO"/>
    <s v="10/364440-8"/>
    <n v="67991120875"/>
    <n v="62955505015199"/>
    <s v="energisa_ms"/>
    <s v="Igreja do Evangelho Quadrangular"/>
    <x v="1"/>
    <s v="10/175073-645809"/>
    <s v="SIM"/>
    <n v="2565"/>
    <n v="3099.7895000000003"/>
    <n v="2415.3815967000005"/>
    <s v="Aprovado"/>
    <n v="3021.3294999999998"/>
    <n v="2336.92"/>
    <d v="2025-09-10T00:00:00"/>
    <d v="2025-09-20T00:00:00"/>
    <n v="2336.92"/>
    <m/>
    <s v="629555050151992336,92"/>
    <s v="09/00012683468-6"/>
    <x v="1"/>
    <n v="2336.92"/>
    <n v="0"/>
    <m/>
    <m/>
    <m/>
    <m/>
    <m/>
    <m/>
    <m/>
    <m/>
    <m/>
    <m/>
    <m/>
  </r>
  <r>
    <s v="TRIFÁSICO"/>
    <s v="10/364440-8"/>
    <s v="Inadimplência"/>
    <n v="62955505015199"/>
    <s v="energisa_ms"/>
    <s v="Igreja do Evangelho Quadrangular"/>
    <x v="2"/>
    <s v="10/24514-245839"/>
    <s v="SIM"/>
    <n v="2565"/>
    <n v="3108.5835000000002"/>
    <n v="2433.0722010405912"/>
    <s v="Aprovado"/>
    <n v="2989.5035000000003"/>
    <n v="2313.9899999999998"/>
    <d v="2025-09-10T00:00:00"/>
    <d v="2025-09-20T00:00:00"/>
    <n v="2313.9899999999998"/>
    <m/>
    <s v="629555050151992313,99"/>
    <s v="09/00012749632-9"/>
    <x v="1"/>
    <n v="2313.9899999999998"/>
    <n v="0"/>
    <m/>
    <m/>
    <m/>
    <m/>
    <m/>
    <m/>
    <m/>
    <m/>
    <m/>
    <m/>
    <m/>
  </r>
  <r>
    <s v="TRIFÁSICO"/>
    <s v="10/364440-8"/>
    <s v="Inadimplência"/>
    <n v="62955505015199"/>
    <s v="energisa_ms"/>
    <s v="Igreja do Evangelho Quadrangular"/>
    <x v="0"/>
    <s v="10/2605731-545627"/>
    <s v="SIM"/>
    <n v="2565"/>
    <n v="3219.9539999999997"/>
    <n v="2387.5909945219505"/>
    <s v="Aprovado"/>
    <n v="3099.1339999999996"/>
    <n v="2266.77"/>
    <d v="2025-10-03T00:00:00"/>
    <d v="2025-10-13T00:00:00"/>
    <n v="2266.77"/>
    <m/>
    <s v="629555050151992266,77"/>
    <s v="09/00012851397-3"/>
    <x v="1"/>
    <n v="2266.77"/>
    <n v="0"/>
    <m/>
    <m/>
    <m/>
    <m/>
    <m/>
    <m/>
    <m/>
    <m/>
    <m/>
    <m/>
    <m/>
  </r>
  <r>
    <s v="TRIFÁSICO"/>
    <s v="10/364440-8"/>
    <n v="67991120875"/>
    <n v="62955505015199"/>
    <s v="energisa_ms"/>
    <s v="Igreja do Evangelho Quadrangular"/>
    <x v="3"/>
    <s v="10/395471-645658"/>
    <s v="SIM"/>
    <n v="2579"/>
    <n v="3065.7900000000004"/>
    <n v="2361.0523300925806"/>
    <s v="Aprovado"/>
    <n v="2970.3900000000003"/>
    <n v="2227.79"/>
    <d v="2025-07-22T00:00:00"/>
    <d v="2025-08-02T00:00:00"/>
    <n v="2227.79"/>
    <m/>
    <s v="629555050151992227,79"/>
    <s v="09/00012472737-9"/>
    <x v="1"/>
    <n v="2227.79"/>
    <n v="0"/>
    <s v="05/08/2025"/>
    <m/>
    <m/>
    <m/>
    <m/>
    <m/>
    <m/>
    <m/>
    <m/>
    <m/>
    <m/>
  </r>
  <r>
    <s v="TRIFÁSICO"/>
    <s v="10/5202-7"/>
    <s v="67 996469842"/>
    <n v="62955505393207"/>
    <s v="energisa_ms"/>
    <s v="Igreja do Evangelho Quadrangular"/>
    <x v="4"/>
    <s v="10/63920-345931"/>
    <s v="SIM"/>
    <n v="2733"/>
    <n v="3308.3"/>
    <n v="2597.8525"/>
    <s v="Aprovado"/>
    <n v="2841.79"/>
    <n v="2131.34"/>
    <m/>
    <m/>
    <n v="2131.34"/>
    <m/>
    <s v="629555053932072131,34"/>
    <m/>
    <x v="1"/>
    <n v="2131.34"/>
    <n v="0"/>
    <m/>
    <m/>
    <m/>
    <m/>
    <m/>
    <m/>
    <m/>
    <m/>
    <m/>
    <m/>
    <s v="DEPÓSITO UNIFICADO ITAU - R$3.541,82 03/06/2025"/>
  </r>
  <r>
    <s v="TRIFÁSICO"/>
    <s v="10/364440-8"/>
    <n v="67991120875"/>
    <n v="62955505015199"/>
    <s v="energisa_ms"/>
    <s v="Igreja do Evangelho Quadrangular"/>
    <x v="5"/>
    <s v="10/129490-945717"/>
    <s v="SIM"/>
    <n v="2722"/>
    <n v="3042.89"/>
    <n v="2336.3525048500001"/>
    <s v="Aprovado"/>
    <n v="2826.1499805999997"/>
    <n v="2119.61"/>
    <m/>
    <m/>
    <n v="2119.61"/>
    <m/>
    <s v="629555050151992119,61"/>
    <e v="#N/A"/>
    <x v="2"/>
    <n v="0"/>
    <n v="-2119.61"/>
    <m/>
    <s v="Cobrança Regular"/>
    <m/>
    <m/>
    <m/>
    <m/>
    <m/>
    <m/>
    <m/>
    <m/>
    <m/>
  </r>
  <r>
    <s v="TRIFÁSICO"/>
    <s v="10/364440-8"/>
    <n v="67991120875"/>
    <n v="62955505015199"/>
    <s v="energisa_ms"/>
    <s v="Igreja do Evangelho Quadrangular"/>
    <x v="4"/>
    <s v="10/40190-145658"/>
    <s v="SIM"/>
    <n v="2706"/>
    <n v="3024.93"/>
    <n v="2323.2125000000001"/>
    <s v="Aprovado"/>
    <n v="2806.8699999999994"/>
    <n v="2105.15"/>
    <m/>
    <m/>
    <n v="2105.15"/>
    <m/>
    <s v="629555050151992105,15"/>
    <m/>
    <x v="1"/>
    <n v="2105.15"/>
    <n v="0"/>
    <m/>
    <m/>
    <m/>
    <m/>
    <m/>
    <m/>
    <m/>
    <m/>
    <m/>
    <m/>
    <m/>
  </r>
  <r>
    <s v="TRIFÁSICO"/>
    <s v="10/364440-8"/>
    <n v="67991120875"/>
    <n v="62955505015199"/>
    <s v="energisa_ms"/>
    <s v="Igreja do Evangelho Quadrangular"/>
    <x v="6"/>
    <s v="10/1081489-545839"/>
    <s v="SIM"/>
    <n v="2675"/>
    <n v="2986.0100000000007"/>
    <n v="2292.3025000000007"/>
    <s v="Aprovado"/>
    <n v="2774.83"/>
    <n v="2081.12"/>
    <m/>
    <m/>
    <n v="2081.12"/>
    <m/>
    <s v="629555050151992081,12"/>
    <m/>
    <x v="1"/>
    <n v="2081.12"/>
    <n v="0"/>
    <m/>
    <m/>
    <m/>
    <m/>
    <m/>
    <m/>
    <m/>
    <m/>
    <m/>
    <m/>
    <m/>
  </r>
  <r>
    <s v="TRIFÁSICO"/>
    <s v="10/364440-8"/>
    <n v="67991120875"/>
    <n v="62955505015199"/>
    <s v="energisa_ms"/>
    <s v="Igreja do Evangelho Quadrangular"/>
    <x v="7"/>
    <s v="10/925970-645717"/>
    <s v="SIM"/>
    <n v="2468"/>
    <n v="2959.6100000000006"/>
    <n v="2270.8750000000005"/>
    <s v="Aprovado"/>
    <n v="2754.94"/>
    <n v="2066.21"/>
    <m/>
    <m/>
    <n v="2066.21"/>
    <m/>
    <s v="629555050151992066,21"/>
    <m/>
    <x v="1"/>
    <n v="2066.21"/>
    <n v="0"/>
    <m/>
    <m/>
    <m/>
    <m/>
    <m/>
    <m/>
    <m/>
    <m/>
    <m/>
    <m/>
    <m/>
  </r>
  <r>
    <s v="TRIFÁSICO"/>
    <s v="10/364440-8"/>
    <n v="67991120875"/>
    <n v="62955505015199"/>
    <s v="energisa_ms"/>
    <s v="Igreja do Evangelho Quadrangular"/>
    <x v="8"/>
    <s v="10/1035655-845778"/>
    <s v="SIM"/>
    <n v="2659"/>
    <n v="2986.81"/>
    <n v="2298.085"/>
    <s v="Aprovado"/>
    <n v="2754.8999999999996"/>
    <n v="2066.1799999999998"/>
    <m/>
    <m/>
    <n v="2066.1799999999998"/>
    <m/>
    <s v="629555050151992066,18"/>
    <m/>
    <x v="2"/>
    <n v="0"/>
    <n v="-2066.1799999999998"/>
    <m/>
    <s v="Cobrança Regular"/>
    <m/>
    <m/>
    <m/>
    <m/>
    <m/>
    <m/>
    <m/>
    <m/>
    <m/>
  </r>
  <r>
    <s v="TRIFÁSICO"/>
    <s v="10/5202-7"/>
    <s v="67 996469842"/>
    <n v="62955505016160"/>
    <s v="energisa_ms"/>
    <s v="Igreja do Evangelho Quadrangular"/>
    <x v="9"/>
    <s v="10/2344751-945778"/>
    <s v="SIM"/>
    <n v="1901"/>
    <n v="2715.2642570918474"/>
    <n v="2062.9084615717707"/>
    <s v="Aprovado"/>
    <n v="2332.5142570918474"/>
    <n v="1680.16"/>
    <d v="2025-11-06T00:00:00"/>
    <d v="2025-11-13T00:00:00"/>
    <n v="1680.16"/>
    <m/>
    <s v="629555050161601680,16"/>
    <s v="09/00013026927-5"/>
    <x v="1"/>
    <n v="1680.16"/>
    <n v="0"/>
    <m/>
    <m/>
    <m/>
    <m/>
    <m/>
    <m/>
    <m/>
    <m/>
    <m/>
    <m/>
    <m/>
  </r>
  <r>
    <s v="TRIFÁSICO"/>
    <s v="10/5202-7"/>
    <s v="67 996469842"/>
    <n v="62955505393207"/>
    <s v="energisa_ms"/>
    <s v="Igreja do Evangelho Quadrangular"/>
    <x v="5"/>
    <s v="10/109074-545748"/>
    <s v="SIM"/>
    <n v="2042"/>
    <n v="2540.4899999999998"/>
    <n v="1993.3099999999997"/>
    <s v="Aprovado"/>
    <n v="2188.7200000000003"/>
    <n v="1641.54"/>
    <m/>
    <m/>
    <n v="1641.54"/>
    <m/>
    <s v="629555053932071641,54"/>
    <m/>
    <x v="1"/>
    <n v="1641.54"/>
    <n v="0"/>
    <m/>
    <m/>
    <m/>
    <m/>
    <m/>
    <m/>
    <m/>
    <m/>
    <m/>
    <m/>
    <m/>
  </r>
  <r>
    <s v="TRIFÁSICO"/>
    <s v="10/5202-7"/>
    <s v="67 996469842"/>
    <n v="62955505393207"/>
    <s v="energisa_ms"/>
    <s v="Igreja do Evangelho Quadrangular"/>
    <x v="6"/>
    <s v="10/3092868-345931"/>
    <s v="SIM"/>
    <n v="1810"/>
    <n v="2324.4"/>
    <n v="1854.2399999999998"/>
    <s v="Aprovado"/>
    <n v="1880.64"/>
    <n v="1410.48"/>
    <m/>
    <m/>
    <n v="1410.48"/>
    <m/>
    <s v="629555053932071410,48"/>
    <m/>
    <x v="1"/>
    <n v="1410.48"/>
    <n v="0"/>
    <m/>
    <m/>
    <m/>
    <m/>
    <m/>
    <m/>
    <m/>
    <m/>
    <m/>
    <m/>
    <m/>
  </r>
  <r>
    <s v="TRIFÁSICO"/>
    <s v="10/2605731-5"/>
    <n v="67992637973"/>
    <n v="62955505017213"/>
    <s v="energisa_ms"/>
    <s v="Igreja do Evangelho Quadrangular"/>
    <x v="7"/>
    <s v="10/202838-945901"/>
    <s v="SIM"/>
    <n v="1682"/>
    <n v="2029.18"/>
    <n v="1593.43"/>
    <s v="Aprovado"/>
    <n v="1743.0000000000002"/>
    <n v="1307.25"/>
    <m/>
    <m/>
    <n v="1307.25"/>
    <m/>
    <s v="629555050172131307,25"/>
    <m/>
    <x v="1"/>
    <n v="1307.25"/>
    <n v="0"/>
    <m/>
    <m/>
    <m/>
    <m/>
    <m/>
    <m/>
    <m/>
    <m/>
    <m/>
    <m/>
    <m/>
  </r>
  <r>
    <s v="TRIFÁSICO"/>
    <s v="10/364440-8"/>
    <n v="67991120875"/>
    <n v="62955505015199"/>
    <s v="energisa_ms"/>
    <s v="Igreja do Evangelho Quadrangular"/>
    <x v="9"/>
    <s v="10/31292-645778"/>
    <s v="SIM"/>
    <n v="1399"/>
    <n v="3275.3773933649286"/>
    <n v="2794.8836086181395"/>
    <s v="Aprovado"/>
    <n v="1718.0173933649287"/>
    <n v="1237.52"/>
    <d v="2025-11-06T00:00:00"/>
    <d v="2025-11-13T00:00:00"/>
    <n v="1237.52"/>
    <m/>
    <s v="629555050151991237,52"/>
    <s v="09/00013026929-1"/>
    <x v="1"/>
    <n v="1237.52"/>
    <n v="0"/>
    <m/>
    <m/>
    <m/>
    <m/>
    <m/>
    <m/>
    <m/>
    <m/>
    <m/>
    <m/>
    <m/>
  </r>
  <r>
    <s v="TRIFÁSICO"/>
    <s v="10/5202-7"/>
    <s v="67 996469842"/>
    <n v="62955505393207"/>
    <s v="energisa_ms"/>
    <s v="Igreja do Evangelho Quadrangular"/>
    <x v="8"/>
    <s v="10/162736-345748"/>
    <s v="SIM"/>
    <n v="1458"/>
    <n v="2221.764890979051"/>
    <n v="1810.298668234288"/>
    <s v="Aprovado"/>
    <n v="1645.8648909790506"/>
    <n v="1234.4000000000001"/>
    <m/>
    <m/>
    <n v="1234.4000000000001"/>
    <m/>
    <s v="629555053932071234,4"/>
    <m/>
    <x v="1"/>
    <n v="1234.4000000000001"/>
    <n v="0"/>
    <m/>
    <m/>
    <m/>
    <m/>
    <m/>
    <m/>
    <m/>
    <m/>
    <m/>
    <m/>
    <m/>
  </r>
  <r>
    <s v="TRIFÁSICO"/>
    <s v="10/2605731-5"/>
    <n v="67992637973"/>
    <n v="62955505017213"/>
    <s v="energisa_ms"/>
    <s v="Igreja do Evangelho Quadrangular"/>
    <x v="6"/>
    <s v="10/399338-345778"/>
    <s v="SIM"/>
    <n v="1500"/>
    <n v="1894.11"/>
    <n v="1506.335"/>
    <s v="Aprovado"/>
    <n v="1551.0999999999997"/>
    <n v="1163.33"/>
    <m/>
    <m/>
    <n v="1163.33"/>
    <m/>
    <s v="629555050172131163,33"/>
    <m/>
    <x v="1"/>
    <n v="1163.33"/>
    <n v="0"/>
    <m/>
    <m/>
    <m/>
    <m/>
    <m/>
    <m/>
    <m/>
    <m/>
    <m/>
    <m/>
    <m/>
  </r>
  <r>
    <s v="TRIFÁSICO"/>
    <s v="10/2599101-9"/>
    <n v="67991120875"/>
    <n v="62955505379395"/>
    <s v="energisa_ms"/>
    <s v="Igreja do Evangelho Quadrangular"/>
    <x v="4"/>
    <s v="10/76927-345658"/>
    <s v="SIM"/>
    <n v="1430"/>
    <n v="1598.22"/>
    <n v="1231.5075000000002"/>
    <s v="Aprovado"/>
    <n v="1466.85"/>
    <n v="1100.1400000000001"/>
    <m/>
    <m/>
    <n v="1100.1400000000001"/>
    <m/>
    <s v="629555053793951100,14"/>
    <m/>
    <x v="1"/>
    <n v="1100.1400000000001"/>
    <n v="0"/>
    <m/>
    <m/>
    <m/>
    <m/>
    <m/>
    <m/>
    <m/>
    <m/>
    <m/>
    <m/>
    <m/>
  </r>
  <r>
    <s v="TRIFÁSICO"/>
    <s v="10/2605731-5"/>
    <n v="67992637973"/>
    <n v="62955505017213"/>
    <s v="energisa_ms"/>
    <s v="Igreja do Evangelho Quadrangular"/>
    <x v="9"/>
    <s v="10/113971-645809"/>
    <s v="SIM"/>
    <n v="1216"/>
    <n v="1692.8924000000002"/>
    <n v="1284.0985796506814"/>
    <s v="Aprovado"/>
    <n v="1461.6524000000002"/>
    <n v="1052.8599999999999"/>
    <d v="2025-11-06T00:00:00"/>
    <d v="2025-11-13T00:00:00"/>
    <n v="1052.8599999999999"/>
    <m/>
    <s v="629555050172131052,86"/>
    <s v="09/00013026934-1"/>
    <x v="1"/>
    <n v="1052.8599999999999"/>
    <n v="0"/>
    <m/>
    <m/>
    <m/>
    <m/>
    <m/>
    <m/>
    <m/>
    <m/>
    <m/>
    <m/>
    <m/>
  </r>
  <r>
    <s v="TRIFÁSICO"/>
    <s v="10/2599101-9"/>
    <n v="67991120875"/>
    <n v="62955505379395"/>
    <s v="energisa_ms"/>
    <s v="Igreja do Evangelho Quadrangular"/>
    <x v="9"/>
    <s v="10/1433087-245809"/>
    <s v="SIM"/>
    <n v="1171"/>
    <n v="1568.9311000000002"/>
    <n v="1165.3788320370852"/>
    <s v="Aprovado"/>
    <n v="1442.9111"/>
    <n v="1039.3599999999999"/>
    <d v="2025-11-06T00:00:00"/>
    <d v="2025-11-13T00:00:00"/>
    <n v="1039.3599999999999"/>
    <m/>
    <s v="629555053793951039,36"/>
    <s v="09/00013026937-4"/>
    <x v="1"/>
    <n v="1039.3599999999999"/>
    <n v="0"/>
    <m/>
    <m/>
    <m/>
    <m/>
    <m/>
    <m/>
    <m/>
    <m/>
    <m/>
    <m/>
    <m/>
  </r>
  <r>
    <s v="TRIFÁSICO"/>
    <s v="10/5202-7"/>
    <s v="67 996469842"/>
    <n v="62955505393207"/>
    <s v="energisa_ms"/>
    <s v="Igreja do Evangelho Quadrangular"/>
    <x v="7"/>
    <s v="10/1674177-945931"/>
    <s v="SIM"/>
    <n v="1233"/>
    <n v="2315.08"/>
    <n v="1970.9925000000003"/>
    <s v="Aprovado"/>
    <n v="1376.35"/>
    <n v="1032.26"/>
    <m/>
    <m/>
    <n v="1032.26"/>
    <m/>
    <s v="629555053932071032,26"/>
    <m/>
    <x v="1"/>
    <n v="1032.26"/>
    <n v="0"/>
    <m/>
    <m/>
    <m/>
    <m/>
    <m/>
    <m/>
    <m/>
    <m/>
    <m/>
    <m/>
    <m/>
  </r>
  <r>
    <s v="TRIFÁSICO"/>
    <s v="10/18015-8"/>
    <n v="67996266684"/>
    <n v="62955505016080"/>
    <s v="energisa_ms"/>
    <s v="Igreja do Evangelho Quadrangular"/>
    <x v="9"/>
    <s v="10/18015-845809"/>
    <s v="SIM"/>
    <n v="1150"/>
    <n v="1509.5350000000001"/>
    <n v="1121.1262716885208"/>
    <s v="Aprovado"/>
    <n v="1388.7650000000003"/>
    <n v="1000.36"/>
    <d v="2025-11-06T00:00:00"/>
    <d v="2025-11-13T00:00:00"/>
    <n v="1000.36"/>
    <m/>
    <s v="629555050160801000,36"/>
    <s v="09/00013026931-7"/>
    <x v="1"/>
    <n v="1000.36"/>
    <n v="0"/>
    <m/>
    <m/>
    <m/>
    <m/>
    <m/>
    <m/>
    <m/>
    <m/>
    <m/>
    <m/>
    <m/>
  </r>
  <r>
    <e v="#N/A"/>
    <s v="10/3170252-5"/>
    <e v="#N/A"/>
    <n v="62955505035629"/>
    <s v="energisa_ms"/>
    <s v="Igreja do Evangelho Quadrangular"/>
    <x v="4"/>
    <s v="10/127464-645870"/>
    <s v="SIM"/>
    <n v="1313"/>
    <m/>
    <m/>
    <s v="Aprovado"/>
    <n v="1278.94"/>
    <n v="959.21"/>
    <m/>
    <m/>
    <m/>
    <s v="não emitido pela EGS"/>
    <s v="62955505035629"/>
    <m/>
    <x v="0"/>
    <n v="0"/>
    <n v="0"/>
    <m/>
    <m/>
    <m/>
    <m/>
    <m/>
    <m/>
    <m/>
    <m/>
    <m/>
    <m/>
    <m/>
  </r>
  <r>
    <s v="TRIFÁSICO"/>
    <s v="10/18015-8"/>
    <n v="67996266684"/>
    <n v="62955505016080"/>
    <s v="energisa_ms"/>
    <s v="Igreja do Evangelho Quadrangular"/>
    <x v="7"/>
    <s v="10/2605731-545870"/>
    <s v="SIM"/>
    <n v="1161"/>
    <n v="1414.3000000000002"/>
    <n v="1100.9575"/>
    <s v="Aprovado"/>
    <n v="1253.3699999999999"/>
    <n v="940.03"/>
    <m/>
    <m/>
    <n v="940.03"/>
    <m/>
    <s v="62955505016080940,03"/>
    <m/>
    <x v="1"/>
    <n v="940.03"/>
    <n v="0"/>
    <m/>
    <m/>
    <n v="283032"/>
    <n v="502"/>
    <s v="Igreja do Evangelho Quadrangular"/>
    <s v="'62955505239119'"/>
    <n v="64.91"/>
    <m/>
    <s v="A Unidade Consumidora 10/341308-5 economizou R$21,64 na fatura referente à jun/2025  consumindo 86 kWh em créditos de energia renovável conforme fatura de energia. A economia foi de 25% em relação ao que seria pago para a Energisa considerando os créditos consumidos. Atenção: Mantenha as contas da Energisa em dia para evitar cortes."/>
    <s v="monicadossantosfonseca@hotmail.com"/>
    <m/>
  </r>
  <r>
    <s v="TRIFÁSICO"/>
    <s v="10/2605731-5"/>
    <n v="0"/>
    <n v="62955505017213"/>
    <s v="energisa_ms"/>
    <s v="Igreja do Evangelho Quadrangular"/>
    <x v="0"/>
    <s v="10/3005226-045627"/>
    <s v="SIM"/>
    <n v="1005"/>
    <n v="1446.0074999999999"/>
    <n v="1119.9073347752083"/>
    <s v="Aprovado"/>
    <n v="1214.1675"/>
    <n v="888.07"/>
    <d v="2025-10-03T00:00:00"/>
    <d v="2025-10-13T00:00:00"/>
    <n v="888.07"/>
    <m/>
    <s v="62955505017213888,07"/>
    <s v="09/00012851400-5"/>
    <x v="1"/>
    <n v="888.07"/>
    <n v="0"/>
    <m/>
    <m/>
    <m/>
    <m/>
    <m/>
    <m/>
    <m/>
    <m/>
    <m/>
    <m/>
    <m/>
  </r>
  <r>
    <s v="TRIFÁSICO"/>
    <s v="10/18015-8"/>
    <n v="0"/>
    <n v="62955505016080"/>
    <s v="energisa_ms"/>
    <s v="Igreja do Evangelho Quadrangular"/>
    <x v="0"/>
    <s v="10/276283-945627"/>
    <s v="SIM"/>
    <n v="992"/>
    <n v="1319.3932"/>
    <n v="997.48402556372582"/>
    <s v="Aprovado"/>
    <n v="1198.5631999999998"/>
    <n v="876.65"/>
    <d v="2025-10-03T00:00:00"/>
    <d v="2025-10-13T00:00:00"/>
    <n v="876.65"/>
    <m/>
    <s v="62955505016080876,65"/>
    <s v="09/00012851398-1"/>
    <x v="1"/>
    <n v="876.65"/>
    <n v="0"/>
    <m/>
    <m/>
    <m/>
    <m/>
    <m/>
    <m/>
    <m/>
    <m/>
    <m/>
    <m/>
    <m/>
  </r>
  <r>
    <s v="TRIFÁSICO"/>
    <s v="10/202838-9"/>
    <n v="67992637973"/>
    <n v="62955505016403"/>
    <s v="energisa_ms"/>
    <s v="Igreja do Evangelho Quadrangular"/>
    <x v="4"/>
    <s v="10/13786-945931"/>
    <s v="SIM"/>
    <n v="1120"/>
    <n v="1458.5900000000001"/>
    <n v="1170.5725"/>
    <s v="Aprovado"/>
    <n v="1152.0700000000002"/>
    <n v="864.05"/>
    <m/>
    <m/>
    <n v="864.05"/>
    <m/>
    <s v="62955505016403864,05"/>
    <m/>
    <x v="1"/>
    <n v="864.05"/>
    <n v="0"/>
    <m/>
    <m/>
    <m/>
    <m/>
    <m/>
    <m/>
    <m/>
    <m/>
    <m/>
    <m/>
    <m/>
  </r>
  <r>
    <e v="#N/A"/>
    <s v="10/3170252-5"/>
    <e v="#N/A"/>
    <n v="62955505035629"/>
    <s v="energisa_ms"/>
    <s v="Igreja do Evangelho Quadrangular"/>
    <x v="7"/>
    <s v="10/202838-945839"/>
    <s v="SIM"/>
    <n v="1119"/>
    <n v="1431.6299999999999"/>
    <n v="1152.2674999999999"/>
    <s v="Aprovado"/>
    <n v="1117.4499999999998"/>
    <n v="838.09"/>
    <m/>
    <m/>
    <n v="838.09"/>
    <s v="Cobrança indevida (Planilha Rubia)"/>
    <s v="62955505035629838,09"/>
    <m/>
    <x v="3"/>
    <n v="0"/>
    <n v="-838.09"/>
    <m/>
    <m/>
    <m/>
    <m/>
    <m/>
    <m/>
    <m/>
    <m/>
    <m/>
    <m/>
    <m/>
  </r>
  <r>
    <s v="TRIFÁSICO"/>
    <s v="10/2599101-9"/>
    <n v="0"/>
    <n v="62955505379395"/>
    <s v="energisa_ms"/>
    <s v="Igreja do Evangelho Quadrangular"/>
    <x v="0"/>
    <s v="10/3092868-345627"/>
    <s v="SIM"/>
    <n v="909"/>
    <n v="1221.2945999999999"/>
    <n v="926.3692042103321"/>
    <s v="Aprovado"/>
    <n v="1098.0945999999999"/>
    <n v="803.17"/>
    <d v="2025-10-03T00:00:00"/>
    <d v="2025-10-13T00:00:00"/>
    <n v="803.17"/>
    <m/>
    <s v="62955505379395803,17"/>
    <s v="09/00012851402-1"/>
    <x v="1"/>
    <n v="803.17"/>
    <n v="0"/>
    <m/>
    <m/>
    <m/>
    <m/>
    <m/>
    <m/>
    <m/>
    <m/>
    <m/>
    <m/>
    <m/>
  </r>
  <r>
    <e v="#N/A"/>
    <s v="10/2247256-7"/>
    <e v="#N/A"/>
    <n v="62955505015199"/>
    <s v="energisa_ms"/>
    <s v="Igreja do Evangelho Quadrangular"/>
    <x v="6"/>
    <s v="10/8777-545778"/>
    <s v="SIM"/>
    <n v="936"/>
    <n v="1270.54"/>
    <n v="1024.3024999999998"/>
    <s v="Aprovado"/>
    <n v="984.94999999999993"/>
    <n v="738.71"/>
    <m/>
    <m/>
    <n v="738.71"/>
    <m/>
    <s v="62955505015199738,71"/>
    <m/>
    <x v="2"/>
    <n v="0"/>
    <n v="-738.71"/>
    <m/>
    <s v="Cobrança Regular"/>
    <m/>
    <m/>
    <m/>
    <m/>
    <m/>
    <m/>
    <m/>
    <m/>
    <s v="VALOR DEVIDO - Cancelamento via email dia 23/04, tenho tudo formalizado por whatsapp com Danilo Silva"/>
  </r>
  <r>
    <s v="TRIFÁSICO"/>
    <s v="10/202838-9"/>
    <n v="67992637973"/>
    <n v="62955505016403"/>
    <s v="energisa_ms"/>
    <s v="Igreja do Evangelho Quadrangular"/>
    <x v="6"/>
    <s v="10/3139326-745931"/>
    <s v="SIM"/>
    <n v="957"/>
    <n v="1253.9499999999998"/>
    <n v="1008.1474999999998"/>
    <s v="Aprovado"/>
    <n v="983.21000000000015"/>
    <n v="737.41"/>
    <m/>
    <m/>
    <n v="737.41"/>
    <m/>
    <s v="62955505016403737,41"/>
    <m/>
    <x v="1"/>
    <n v="737.41"/>
    <n v="0"/>
    <m/>
    <m/>
    <m/>
    <m/>
    <m/>
    <m/>
    <m/>
    <m/>
    <m/>
    <m/>
    <m/>
  </r>
  <r>
    <s v="TRIFÁSICO"/>
    <s v="10/18015-8"/>
    <n v="67996266684"/>
    <n v="62955505016080"/>
    <s v="energisa_ms"/>
    <s v="Igreja do Evangelho Quadrangular"/>
    <x v="6"/>
    <s v="10/72605-945931"/>
    <s v="SIM"/>
    <n v="875"/>
    <n v="1044.82"/>
    <n v="809.20499999999981"/>
    <s v="Aprovado"/>
    <n v="942.46000000000015"/>
    <n v="706.85"/>
    <m/>
    <m/>
    <n v="706.85"/>
    <m/>
    <s v="62955505016080706,85"/>
    <m/>
    <x v="1"/>
    <n v="706.85"/>
    <n v="0"/>
    <m/>
    <m/>
    <m/>
    <m/>
    <m/>
    <m/>
    <m/>
    <m/>
    <m/>
    <m/>
    <m/>
  </r>
  <r>
    <s v="TRIFÁSICO"/>
    <s v="10/2599101-9"/>
    <n v="67991120875"/>
    <n v="62955505379395"/>
    <s v="energisa_ms"/>
    <s v="Igreja do Evangelho Quadrangular"/>
    <x v="5"/>
    <s v="10/1130988-745901"/>
    <s v="SIM"/>
    <n v="897"/>
    <n v="1038.33"/>
    <n v="803.33249999999998"/>
    <s v="Aprovado"/>
    <n v="939.9899999999999"/>
    <n v="704.99"/>
    <m/>
    <m/>
    <n v="704.99"/>
    <m/>
    <s v="62955505379395704,99"/>
    <m/>
    <x v="1"/>
    <n v="704.99"/>
    <n v="0"/>
    <m/>
    <m/>
    <m/>
    <m/>
    <m/>
    <m/>
    <m/>
    <m/>
    <m/>
    <m/>
    <m/>
  </r>
  <r>
    <s v="TRIFÁSICO"/>
    <s v="10/5202-7"/>
    <s v="67 996469842"/>
    <n v="62955505393207"/>
    <s v="energisa_ms"/>
    <s v="Igreja do Evangelho Quadrangular"/>
    <x v="3"/>
    <s v="10/156956-545901"/>
    <s v="SIM"/>
    <n v="777"/>
    <n v="1804.9056484762582"/>
    <n v="1591.0267140651411"/>
    <s v="Aprovado"/>
    <n v="901.47564847625802"/>
    <n v="676.11"/>
    <d v="2025-07-22T00:00:00"/>
    <d v="2025-08-02T00:00:00"/>
    <n v="676.11"/>
    <m/>
    <s v="62955505393207676,11"/>
    <s v="09/00012472738-7"/>
    <x v="1"/>
    <n v="676.11"/>
    <n v="0"/>
    <s v="01/08/2025"/>
    <m/>
    <m/>
    <m/>
    <m/>
    <m/>
    <m/>
    <m/>
    <m/>
    <m/>
    <m/>
  </r>
  <r>
    <s v="TRIFÁSICO"/>
    <s v="10/5202-7"/>
    <n v="0"/>
    <n v="62955505016160"/>
    <s v="energisa_ms"/>
    <s v="Igreja do Evangelho Quadrangular"/>
    <x v="0"/>
    <s v="10/2599101-945627"/>
    <s v="SIM"/>
    <n v="765"/>
    <n v="1196.3858608643577"/>
    <n v="948.1553103558449"/>
    <s v="Aprovado"/>
    <n v="924.23586086435762"/>
    <n v="676.01"/>
    <d v="2025-10-03T00:00:00"/>
    <d v="2025-10-13T00:00:00"/>
    <n v="676.01"/>
    <m/>
    <s v="62955505016160676,01"/>
    <s v="09/00012851396-5"/>
    <x v="1"/>
    <n v="676.01"/>
    <n v="0"/>
    <m/>
    <m/>
    <m/>
    <m/>
    <m/>
    <m/>
    <m/>
    <m/>
    <m/>
    <m/>
    <m/>
  </r>
  <r>
    <s v="TRIFÁSICO"/>
    <s v="10/191945-5"/>
    <s v="67 81355403"/>
    <n v="62955505215791"/>
    <s v="energisa_ms"/>
    <s v="Igreja do Evangelho Quadrangular"/>
    <x v="9"/>
    <s v="10/452884-045809"/>
    <s v="SIM"/>
    <n v="772"/>
    <n v="1233.0264000000002"/>
    <n v="973.53821881509725"/>
    <s v="Aprovado"/>
    <n v="927.80640000000005"/>
    <n v="668.32"/>
    <d v="2025-11-06T00:00:00"/>
    <d v="2025-11-13T00:00:00"/>
    <n v="668.32"/>
    <m/>
    <s v="62955505215791668,32"/>
    <s v="09/00013026938-2"/>
    <x v="1"/>
    <n v="668.32"/>
    <n v="0"/>
    <m/>
    <m/>
    <m/>
    <m/>
    <m/>
    <m/>
    <m/>
    <m/>
    <m/>
    <m/>
    <m/>
  </r>
  <r>
    <s v="TRIFÁSICO"/>
    <s v="10/29964-4"/>
    <n v="67996266684"/>
    <n v="62955505067660"/>
    <s v="energisa_ms"/>
    <s v="Igreja do Evangelho Quadrangular"/>
    <x v="8"/>
    <s v="10/399338-345839"/>
    <s v="SIM"/>
    <n v="762"/>
    <n v="948.50891891891888"/>
    <n v="738.74418918918923"/>
    <s v="Aprovado"/>
    <n v="839.05891891891895"/>
    <n v="629.29"/>
    <m/>
    <m/>
    <n v="629.29"/>
    <m/>
    <s v="62955505067660629,29"/>
    <m/>
    <x v="1"/>
    <n v="629.29"/>
    <n v="0"/>
    <m/>
    <m/>
    <m/>
    <m/>
    <m/>
    <m/>
    <m/>
    <m/>
    <m/>
    <m/>
    <m/>
  </r>
  <r>
    <e v="#N/A"/>
    <s v="10/3170252-5"/>
    <e v="#N/A"/>
    <n v="62955505035629"/>
    <s v="energisa_ms"/>
    <s v="Igreja do Evangelho Quadrangular"/>
    <x v="6"/>
    <s v="10/532723-445689"/>
    <s v="SIM"/>
    <n v="849"/>
    <n v="1118.3200000000002"/>
    <n v="911.57500000000005"/>
    <s v="Aprovado"/>
    <n v="826.98000000000013"/>
    <n v="620.24"/>
    <m/>
    <m/>
    <n v="620.24"/>
    <m/>
    <s v="62955505035629620,24"/>
    <m/>
    <x v="3"/>
    <s v="NÃO IRA PAGAR"/>
    <n v="0"/>
    <m/>
    <m/>
    <m/>
    <m/>
    <m/>
    <m/>
    <m/>
    <m/>
    <m/>
    <m/>
    <s v="COBRANÇA INDEVIDA  - Vamos cancelar"/>
  </r>
  <r>
    <s v="TRIFÁSICO"/>
    <s v="10/2599101-9"/>
    <n v="67991120875"/>
    <n v="62955505379395"/>
    <s v="energisa_ms"/>
    <s v="Igreja do Evangelho Quadrangular"/>
    <x v="6"/>
    <s v="10/191945-545839"/>
    <s v="SIM"/>
    <n v="804"/>
    <n v="946.01"/>
    <n v="739.95"/>
    <s v="Aprovado"/>
    <n v="824.24000000000012"/>
    <n v="618.17999999999995"/>
    <m/>
    <m/>
    <n v="618.17999999999995"/>
    <m/>
    <s v="62955505379395618,18"/>
    <m/>
    <x v="1"/>
    <n v="618.17999999999995"/>
    <n v="0"/>
    <m/>
    <m/>
    <m/>
    <m/>
    <m/>
    <m/>
    <m/>
    <m/>
    <m/>
    <m/>
    <m/>
  </r>
  <r>
    <s v="TRIFÁSICO"/>
    <s v="10/29964-4"/>
    <n v="67996266684"/>
    <n v="62955505067660"/>
    <s v="energisa_ms"/>
    <s v="Igreja do Evangelho Quadrangular"/>
    <x v="9"/>
    <s v="10/135237-645809"/>
    <s v="SIM"/>
    <n v="697"/>
    <n v="973.79890000000012"/>
    <n v="735.6215770780243"/>
    <s v="Aprovado"/>
    <n v="851.60889999999995"/>
    <n v="613.42999999999995"/>
    <d v="2025-11-06T00:00:00"/>
    <d v="2025-11-13T00:00:00"/>
    <n v="613.42999999999995"/>
    <m/>
    <s v="62955505067660613,43"/>
    <s v="09/00013026942-4"/>
    <x v="1"/>
    <n v="613.42999999999995"/>
    <n v="0"/>
    <m/>
    <m/>
    <m/>
    <m/>
    <m/>
    <m/>
    <m/>
    <m/>
    <m/>
    <m/>
    <m/>
  </r>
  <r>
    <s v="TRIFÁSICO"/>
    <s v="10/202838-9"/>
    <n v="67992637973"/>
    <n v="62955505016403"/>
    <s v="energisa_ms"/>
    <s v="Igreja do Evangelho Quadrangular"/>
    <x v="9"/>
    <s v="10/513413-545809"/>
    <s v="SIM"/>
    <n v="700"/>
    <n v="1154.79"/>
    <n v="917.09621450183442"/>
    <s v="Aprovado"/>
    <n v="849.88"/>
    <n v="612.29"/>
    <d v="2025-11-06T00:00:00"/>
    <d v="2025-11-13T00:00:00"/>
    <n v="612.29"/>
    <m/>
    <s v="62955505016403612,29"/>
    <s v="09/00013026932-5"/>
    <x v="1"/>
    <n v="612.29"/>
    <n v="0"/>
    <m/>
    <m/>
    <m/>
    <m/>
    <m/>
    <m/>
    <m/>
    <m/>
    <m/>
    <m/>
    <m/>
  </r>
  <r>
    <s v="TRIFÁSICO"/>
    <s v="10/18015-8"/>
    <n v="0"/>
    <n v="62955505016080"/>
    <s v="energisa_ms"/>
    <s v="Igreja do Evangelho Quadrangular"/>
    <x v="2"/>
    <s v="10/218777-145809"/>
    <s v="SIM"/>
    <n v="663"/>
    <n v="905.52359999999999"/>
    <n v="727.72986696007945"/>
    <s v="Aprovado"/>
    <n v="786.83360000000005"/>
    <n v="609.04"/>
    <d v="2025-09-10T00:00:00"/>
    <d v="2025-09-20T00:00:00"/>
    <n v="609.04"/>
    <m/>
    <s v="62955505016080609,04"/>
    <s v="09/00012749634-5"/>
    <x v="1"/>
    <n v="609.04"/>
    <n v="0"/>
    <m/>
    <m/>
    <m/>
    <m/>
    <m/>
    <m/>
    <m/>
    <m/>
    <m/>
    <m/>
    <m/>
  </r>
  <r>
    <s v="TRIFÁSICO"/>
    <s v="10/2605731-5"/>
    <n v="67992637973"/>
    <n v="62955505017213"/>
    <s v="energisa_ms"/>
    <s v="Igreja do Evangelho Quadrangular"/>
    <x v="4"/>
    <s v="10/3092868-345658"/>
    <s v="SIM"/>
    <n v="722"/>
    <n v="1190.3500000000001"/>
    <n v="988.86500000000001"/>
    <s v="Aprovado"/>
    <n v="805.94"/>
    <n v="604.46"/>
    <m/>
    <m/>
    <n v="604.46"/>
    <m/>
    <s v="62955505017213604,46"/>
    <m/>
    <x v="1"/>
    <n v="604.46"/>
    <n v="0"/>
    <m/>
    <m/>
    <m/>
    <m/>
    <m/>
    <m/>
    <m/>
    <m/>
    <m/>
    <m/>
    <m/>
  </r>
  <r>
    <s v="TRIFÁSICO"/>
    <s v="10/202838-9"/>
    <n v="67992637973"/>
    <n v="62955505016403"/>
    <s v="energisa_ms"/>
    <s v="Igreja do Evangelho Quadrangular"/>
    <x v="8"/>
    <s v="10/239312-245809"/>
    <s v="SIM"/>
    <n v="700"/>
    <n v="1093.93"/>
    <n v="895.25"/>
    <s v="Aprovado"/>
    <n v="794.72"/>
    <n v="596.04"/>
    <m/>
    <m/>
    <n v="596.04"/>
    <m/>
    <s v="62955505016403596,04"/>
    <m/>
    <x v="1"/>
    <n v="596.04"/>
    <n v="0"/>
    <m/>
    <m/>
    <m/>
    <m/>
    <m/>
    <m/>
    <m/>
    <m/>
    <m/>
    <m/>
    <m/>
  </r>
  <r>
    <e v="#N/A"/>
    <s v="10/3170252-5"/>
    <e v="#N/A"/>
    <s v="#ND"/>
    <s v="energisa_ms"/>
    <s v="Igreja do Evangelho Quadrangular"/>
    <x v="9"/>
    <s v="10/3054052-045870"/>
    <s v="SIM"/>
    <n v="833"/>
    <m/>
    <m/>
    <s v="Não emitido"/>
    <n v="817.36999999999989"/>
    <n v="588.77"/>
    <s v="-"/>
    <s v="-"/>
    <s v="-"/>
    <s v="Pendente dado cadastral"/>
    <s v="#ND-"/>
    <e v="#N/A"/>
    <x v="0"/>
    <m/>
    <n v="0"/>
    <m/>
    <m/>
    <m/>
    <m/>
    <m/>
    <m/>
    <m/>
    <m/>
    <m/>
    <m/>
    <m/>
  </r>
  <r>
    <s v="TRIFÁSICO"/>
    <s v="10/191945-5"/>
    <s v="67 81355403"/>
    <n v="62955505215791"/>
    <s v="energisa_ms"/>
    <s v="Igreja do Evangelho Quadrangular"/>
    <x v="7"/>
    <s v="10/191945-545901"/>
    <s v="SIM"/>
    <n v="718"/>
    <n v="1173.96"/>
    <n v="979.17"/>
    <s v="Aprovado"/>
    <n v="779.16000000000008"/>
    <n v="584.37"/>
    <m/>
    <m/>
    <n v="584.37"/>
    <m/>
    <s v="62955505215791584,37"/>
    <m/>
    <x v="1"/>
    <n v="584.37"/>
    <n v="0"/>
    <m/>
    <m/>
    <n v="283032"/>
    <n v="502"/>
    <s v="Igreja do Evangelho Quadrangular"/>
    <s v="'62955505335851'"/>
    <n v="59.09"/>
    <m/>
    <s v="A Unidade Consumidora 10/1288241-1 economizou R$19,7 na fatura referente à jun/2025  consumindo 79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29964-4"/>
    <n v="67996266684"/>
    <n v="62955505067660"/>
    <s v="energisa_ms"/>
    <s v="Igreja do Evangelho Quadrangular"/>
    <x v="6"/>
    <s v="10/3030784-745748"/>
    <s v="SIM"/>
    <n v="738"/>
    <n v="863.99"/>
    <n v="672.0100000000001"/>
    <s v="Aprovado"/>
    <n v="767.91999999999985"/>
    <n v="575.94000000000005"/>
    <m/>
    <m/>
    <n v="575.94000000000005"/>
    <m/>
    <s v="62955505067660575,94"/>
    <m/>
    <x v="1"/>
    <n v="575.94000000000005"/>
    <n v="0"/>
    <m/>
    <m/>
    <m/>
    <m/>
    <m/>
    <m/>
    <m/>
    <m/>
    <m/>
    <m/>
    <m/>
  </r>
  <r>
    <s v="TRIFÁSICO"/>
    <s v="10/5202-7"/>
    <n v="0"/>
    <n v="62955505016160"/>
    <s v="energisa_ms"/>
    <s v="Igreja do Evangelho Quadrangular"/>
    <x v="2"/>
    <s v="10/10232-745658"/>
    <s v="SIM"/>
    <n v="617"/>
    <n v="988.17126107295712"/>
    <n v="825.5151861387842"/>
    <s v="Aprovado"/>
    <n v="719.84126107295708"/>
    <n v="557.19000000000005"/>
    <d v="2025-09-10T00:00:00"/>
    <d v="2025-09-20T00:00:00"/>
    <n v="557.19000000000005"/>
    <m/>
    <s v="62955505016160557,19"/>
    <s v="09/00012749630-3"/>
    <x v="1"/>
    <n v="557.19000000000005"/>
    <n v="0"/>
    <m/>
    <m/>
    <m/>
    <m/>
    <m/>
    <m/>
    <m/>
    <m/>
    <m/>
    <m/>
    <m/>
  </r>
  <r>
    <s v="TRIFÁSICO"/>
    <s v="10/2605731-5"/>
    <n v="67992637973"/>
    <n v="62955505017213"/>
    <s v="energisa_ms"/>
    <s v="Igreja do Evangelho Quadrangular"/>
    <x v="5"/>
    <s v="10/510330-445870"/>
    <s v="SIM"/>
    <n v="655"/>
    <n v="1242.25"/>
    <n v="1058.4825000000001"/>
    <s v="Aprovado"/>
    <n v="735.07"/>
    <n v="551.29999999999995"/>
    <m/>
    <m/>
    <n v="551.29999999999995"/>
    <m/>
    <s v="62955505017213551,3"/>
    <m/>
    <x v="1"/>
    <n v="551.29999999999995"/>
    <n v="0"/>
    <m/>
    <m/>
    <m/>
    <m/>
    <m/>
    <m/>
    <m/>
    <m/>
    <m/>
    <m/>
    <m/>
  </r>
  <r>
    <s v="TRIFÁSICO"/>
    <s v="10/1695011-5"/>
    <n v="67991767866"/>
    <n v="62955505461210"/>
    <s v="energisa_ms"/>
    <s v="Igreja do Evangelho Quadrangular"/>
    <x v="9"/>
    <s v="10/237441-145809"/>
    <s v="SIM"/>
    <n v="659"/>
    <n v="1052.9194"/>
    <n v="827.19325663688608"/>
    <s v="Aprovado"/>
    <n v="807.08940000000007"/>
    <n v="533.85"/>
    <d v="2025-11-06T00:00:00"/>
    <d v="2025-11-13T00:00:00"/>
    <n v="533.85"/>
    <m/>
    <s v="62955505461210533,85"/>
    <s v="09/00013026935-8"/>
    <x v="1"/>
    <n v="533.85"/>
    <n v="0"/>
    <m/>
    <m/>
    <m/>
    <m/>
    <m/>
    <m/>
    <m/>
    <m/>
    <m/>
    <m/>
    <m/>
  </r>
  <r>
    <s v="TRIFÁSICO"/>
    <s v="10/2605731-5"/>
    <n v="0"/>
    <n v="62955505017213"/>
    <s v="energisa_ms"/>
    <s v="Igreja do Evangelho Quadrangular"/>
    <x v="2"/>
    <s v="10/987178-145931"/>
    <s v="SIM"/>
    <n v="576"/>
    <n v="868.37760000000003"/>
    <n v="713.53382523579694"/>
    <s v="Aprovado"/>
    <n v="685.26760000000013"/>
    <n v="530.41999999999996"/>
    <d v="2025-09-10T00:00:00"/>
    <d v="2025-09-20T00:00:00"/>
    <n v="530.41999999999996"/>
    <m/>
    <s v="62955505017213530,42"/>
    <s v="09/00012749633-7"/>
    <x v="1"/>
    <n v="530.41999999999996"/>
    <n v="0"/>
    <m/>
    <m/>
    <m/>
    <m/>
    <m/>
    <m/>
    <m/>
    <m/>
    <m/>
    <m/>
    <m/>
  </r>
  <r>
    <s v="TRIFÁSICO"/>
    <s v="10/191945-5"/>
    <n v="0"/>
    <n v="62955505215791"/>
    <s v="energisa_ms"/>
    <s v="Igreja do Evangelho Quadrangular"/>
    <x v="0"/>
    <s v="10/3214521-145627"/>
    <s v="SIM"/>
    <n v="599"/>
    <n v="969.73050000000001"/>
    <n v="775.37032431035641"/>
    <s v="Aprovado"/>
    <n v="723.66049999999996"/>
    <n v="529.29999999999995"/>
    <d v="2025-10-03T00:00:00"/>
    <d v="2025-10-13T00:00:00"/>
    <n v="529.29999999999995"/>
    <m/>
    <s v="62955505215791529,3"/>
    <s v="09/00012851403-9"/>
    <x v="1"/>
    <n v="529.29999999999995"/>
    <n v="0"/>
    <m/>
    <m/>
    <m/>
    <m/>
    <m/>
    <m/>
    <m/>
    <m/>
    <m/>
    <m/>
    <m/>
  </r>
  <r>
    <s v="TRIFÁSICO"/>
    <s v="10/191945-5"/>
    <s v="67 81355403"/>
    <n v="62955505215791"/>
    <s v="energisa_ms"/>
    <s v="Igreja do Evangelho Quadrangular"/>
    <x v="6"/>
    <s v="10/2247256-745717"/>
    <s v="SIM"/>
    <n v="650"/>
    <n v="1147.2"/>
    <n v="970.92499999999995"/>
    <s v="Aprovado"/>
    <n v="705.10000000000014"/>
    <n v="528.83000000000004"/>
    <m/>
    <m/>
    <n v="528.83000000000004"/>
    <m/>
    <s v="62955505215791528,83"/>
    <m/>
    <x v="1"/>
    <n v="528.83000000000004"/>
    <n v="0"/>
    <m/>
    <m/>
    <m/>
    <m/>
    <m/>
    <m/>
    <m/>
    <m/>
    <m/>
    <m/>
    <m/>
  </r>
  <r>
    <s v="TRIFÁSICO"/>
    <s v="10/29964-4"/>
    <n v="67996266684"/>
    <n v="62955505067660"/>
    <s v="energisa_ms"/>
    <s v="Igreja do Evangelho Quadrangular"/>
    <x v="4"/>
    <s v="10/931327-145658"/>
    <s v="SIM"/>
    <n v="673"/>
    <n v="798.13"/>
    <n v="622.97749999999996"/>
    <s v="Aprovado"/>
    <n v="700.61000000000013"/>
    <n v="525.46"/>
    <m/>
    <m/>
    <n v="525.46"/>
    <m/>
    <s v="62955505067660525,46"/>
    <m/>
    <x v="1"/>
    <n v="525.46"/>
    <n v="0"/>
    <m/>
    <m/>
    <m/>
    <m/>
    <m/>
    <m/>
    <m/>
    <m/>
    <m/>
    <m/>
    <m/>
  </r>
  <r>
    <s v="TRIFÁSICO"/>
    <s v="10/29964-4"/>
    <n v="67996266684"/>
    <n v="62955505067660"/>
    <s v="energisa_ms"/>
    <s v="Igreja do Evangelho Quadrangular"/>
    <x v="5"/>
    <s v="10/480529-745748"/>
    <s v="SIM"/>
    <n v="646"/>
    <n v="776.09"/>
    <n v="607.78250000000003"/>
    <s v="Aprovado"/>
    <n v="673.23"/>
    <n v="504.92"/>
    <m/>
    <m/>
    <n v="504.92"/>
    <m/>
    <s v="62955505067660504,92"/>
    <m/>
    <x v="1"/>
    <n v="504.92"/>
    <n v="0"/>
    <m/>
    <m/>
    <m/>
    <m/>
    <m/>
    <m/>
    <m/>
    <m/>
    <m/>
    <m/>
    <m/>
  </r>
  <r>
    <s v="BIFÁSICO"/>
    <s v="10/61344-8"/>
    <n v="67999998719"/>
    <n v="62955505015431"/>
    <s v="energisa_ms"/>
    <s v="Igreja do Evangelho Quadrangular"/>
    <x v="4"/>
    <s v="10/1433087-245717"/>
    <s v="SIM"/>
    <n v="602"/>
    <n v="1138.57"/>
    <n v="970.57249999999999"/>
    <s v="Aprovado"/>
    <n v="671.99"/>
    <n v="503.99"/>
    <m/>
    <m/>
    <n v="503.99"/>
    <m/>
    <s v="62955505015431503,99"/>
    <m/>
    <x v="1"/>
    <n v="503.99"/>
    <n v="0"/>
    <m/>
    <m/>
    <m/>
    <m/>
    <m/>
    <m/>
    <m/>
    <m/>
    <m/>
    <m/>
    <m/>
  </r>
  <r>
    <e v="#N/A"/>
    <s v="10/2247256-7"/>
    <e v="#N/A"/>
    <s v="#ND"/>
    <s v="energisa_ms"/>
    <s v="Igreja do Evangelho Quadrangular"/>
    <x v="9"/>
    <s v="10/505854-045870"/>
    <s v="SIM"/>
    <n v="629"/>
    <m/>
    <m/>
    <s v="Não emitido"/>
    <n v="680.30857142857144"/>
    <n v="490.04"/>
    <s v="-"/>
    <s v="-"/>
    <s v="-"/>
    <s v="Pendente dado cadastral"/>
    <s v="#ND-"/>
    <e v="#N/A"/>
    <x v="0"/>
    <m/>
    <n v="0"/>
    <m/>
    <m/>
    <m/>
    <m/>
    <m/>
    <m/>
    <m/>
    <m/>
    <m/>
    <m/>
    <m/>
  </r>
  <r>
    <s v="TRIFÁSICO"/>
    <s v="10/2599101-9"/>
    <n v="67991120875"/>
    <n v="62955505379395"/>
    <s v="energisa_ms"/>
    <s v="Igreja do Evangelho Quadrangular"/>
    <x v="8"/>
    <s v="10/63920-345809"/>
    <s v="SIM"/>
    <n v="575"/>
    <n v="759.38250000000005"/>
    <n v="597.66437499999995"/>
    <s v="Aprovado"/>
    <n v="646.87250000000006"/>
    <n v="485.15"/>
    <m/>
    <m/>
    <n v="485.15"/>
    <m/>
    <s v="62955505379395485,15"/>
    <m/>
    <x v="2"/>
    <n v="0"/>
    <n v="-485.15"/>
    <m/>
    <s v="Cobrança Regular"/>
    <m/>
    <m/>
    <m/>
    <m/>
    <m/>
    <m/>
    <m/>
    <m/>
    <m/>
  </r>
  <r>
    <s v="TRIFÁSICO"/>
    <s v="10/513413-5"/>
    <n v="67992637973"/>
    <n v="62955505321630"/>
    <s v="energisa_ms"/>
    <s v="Igreja do Evangelho Quadrangular"/>
    <x v="9"/>
    <s v="10/987178-145809"/>
    <s v="SIM"/>
    <n v="545"/>
    <n v="917.94100000000014"/>
    <n v="730.16967769385815"/>
    <s v="Aprovado"/>
    <n v="671.38100000000009"/>
    <n v="483.61"/>
    <d v="2025-11-06T00:00:00"/>
    <d v="2025-11-13T00:00:00"/>
    <n v="483.61"/>
    <m/>
    <s v="62955505321630483,61"/>
    <s v="09/00013026943-2"/>
    <x v="1"/>
    <n v="483.61"/>
    <n v="0"/>
    <m/>
    <m/>
    <m/>
    <m/>
    <m/>
    <m/>
    <m/>
    <m/>
    <m/>
    <m/>
    <m/>
  </r>
  <r>
    <s v="TRIFÁSICO"/>
    <s v="10/202838-9"/>
    <n v="0"/>
    <n v="62955505016403"/>
    <s v="energisa_ms"/>
    <s v="Igreja do Evangelho Quadrangular"/>
    <x v="0"/>
    <s v="10/29964-445627"/>
    <s v="SIM"/>
    <n v="540"/>
    <n v="904.2059999999999"/>
    <n v="729.00210318833297"/>
    <s v="Aprovado"/>
    <n v="652.33600000000001"/>
    <n v="477.13"/>
    <d v="2025-10-03T00:00:00"/>
    <d v="2025-10-13T00:00:00"/>
    <n v="477.13"/>
    <m/>
    <s v="62955505016403477,13"/>
    <s v="09/00012851399-9"/>
    <x v="1"/>
    <n v="477.13"/>
    <n v="0"/>
    <m/>
    <m/>
    <m/>
    <m/>
    <m/>
    <m/>
    <m/>
    <m/>
    <m/>
    <m/>
    <m/>
  </r>
  <r>
    <s v="TRIFÁSICO"/>
    <s v="10/510330-4"/>
    <n v="67992637973"/>
    <n v="62955505367117"/>
    <s v="energisa_ms"/>
    <s v="Igreja do Evangelho Quadrangular"/>
    <x v="6"/>
    <s v="10/1695011-545717"/>
    <s v="SIM"/>
    <n v="606"/>
    <n v="889.87"/>
    <n v="732.4525000000001"/>
    <s v="Aprovado"/>
    <n v="629.67000000000007"/>
    <n v="472.25"/>
    <m/>
    <m/>
    <n v="472.25"/>
    <m/>
    <s v="62955505367117472,25"/>
    <m/>
    <x v="1"/>
    <n v="472.25"/>
    <n v="0"/>
    <m/>
    <m/>
    <m/>
    <m/>
    <m/>
    <m/>
    <m/>
    <m/>
    <m/>
    <m/>
    <m/>
  </r>
  <r>
    <s v="TRIFÁSICO"/>
    <s v="10/3030784-7"/>
    <n v="67996266684"/>
    <n v="62955505016080"/>
    <s v="energisa_ms"/>
    <s v="Igreja do Evangelho Quadrangular"/>
    <x v="6"/>
    <s v="10/3092868-345748"/>
    <s v="SIM"/>
    <n v="583"/>
    <n v="822.51"/>
    <n v="667.21"/>
    <s v="Aprovado"/>
    <n v="621.19999999999993"/>
    <n v="465.9"/>
    <m/>
    <m/>
    <n v="465.9"/>
    <m/>
    <s v="62955505016080465,9"/>
    <m/>
    <x v="1"/>
    <n v="465.9"/>
    <n v="0"/>
    <m/>
    <m/>
    <m/>
    <m/>
    <m/>
    <m/>
    <m/>
    <m/>
    <m/>
    <m/>
    <m/>
  </r>
  <r>
    <s v="TRIFÁSICO"/>
    <s v="10/276283-9"/>
    <s v="46 999066691"/>
    <n v="62955505177504"/>
    <s v="energisa_ms"/>
    <s v="Igreja do Evangelho Quadrangular"/>
    <x v="7"/>
    <s v="10/510330-445689"/>
    <s v="SIM"/>
    <n v="589"/>
    <n v="836.99"/>
    <n v="683.34249999999997"/>
    <s v="Aprovado"/>
    <n v="614.59"/>
    <n v="460.94"/>
    <m/>
    <m/>
    <n v="460.94"/>
    <m/>
    <s v="62955505177504460,94"/>
    <m/>
    <x v="1"/>
    <n v="460.94"/>
    <n v="0"/>
    <m/>
    <m/>
    <m/>
    <m/>
    <m/>
    <m/>
    <m/>
    <m/>
    <m/>
    <m/>
    <m/>
  </r>
  <r>
    <s v="TRIFÁSICO"/>
    <s v="10/29964-4"/>
    <n v="67996266684"/>
    <n v="62955505067660"/>
    <s v="energisa_ms"/>
    <s v="Igreja do Evangelho Quadrangular"/>
    <x v="7"/>
    <s v="10/3030784-745689"/>
    <s v="SIM"/>
    <n v="547"/>
    <n v="876.26"/>
    <n v="723.61500000000001"/>
    <s v="Aprovado"/>
    <n v="610.57999999999993"/>
    <n v="457.94"/>
    <m/>
    <m/>
    <n v="457.94"/>
    <m/>
    <s v="62955505067660457,94"/>
    <m/>
    <x v="1"/>
    <n v="457.94"/>
    <n v="0"/>
    <m/>
    <m/>
    <m/>
    <m/>
    <m/>
    <m/>
    <m/>
    <m/>
    <m/>
    <m/>
    <m/>
  </r>
  <r>
    <s v="TRIFÁSICO"/>
    <s v="10/127464-6"/>
    <n v="67996150274"/>
    <n v="62955505331198"/>
    <s v="energisa_ms"/>
    <s v="Igreja do Evangelho Quadrangular"/>
    <x v="9"/>
    <s v="10/127464-645717"/>
    <s v="SIM"/>
    <n v="576"/>
    <n v="826.11800000000017"/>
    <n v="652.25876171987966"/>
    <s v="Aprovado"/>
    <n v="621.63799999999992"/>
    <n v="447.78"/>
    <d v="2025-11-06T00:00:00"/>
    <d v="2025-11-13T00:00:00"/>
    <n v="447.78"/>
    <m/>
    <s v="62955505331198447,78"/>
    <s v="09/00013026871-5"/>
    <x v="1"/>
    <n v="447.78"/>
    <n v="0"/>
    <m/>
    <m/>
    <m/>
    <m/>
    <m/>
    <m/>
    <m/>
    <m/>
    <m/>
    <m/>
    <m/>
  </r>
  <r>
    <s v="TRIFÁSICO"/>
    <s v="10/3092868-3"/>
    <s v=" 67 91285460"/>
    <n v="62955505419443"/>
    <s v="energisa_ms"/>
    <s v="Igreja do Evangelho Quadrangular"/>
    <x v="4"/>
    <s v="10/61344-845931"/>
    <s v="SIM"/>
    <n v="568"/>
    <n v="690.96"/>
    <n v="543.30000000000007"/>
    <s v="Aprovado"/>
    <n v="590.64"/>
    <n v="442.98"/>
    <m/>
    <m/>
    <n v="442.98"/>
    <m/>
    <s v="62955505419443442,98"/>
    <m/>
    <x v="1"/>
    <n v="442.98"/>
    <n v="0"/>
    <m/>
    <m/>
    <m/>
    <m/>
    <m/>
    <m/>
    <m/>
    <m/>
    <m/>
    <m/>
    <m/>
  </r>
  <r>
    <e v="#N/A"/>
    <s v="10/925970-6"/>
    <e v="#N/A"/>
    <n v="62955505057789"/>
    <s v="energisa_ms"/>
    <s v="Igreja do Evangelho Quadrangular"/>
    <x v="4"/>
    <s v="10/2599101-945870"/>
    <s v="SIM"/>
    <n v="602"/>
    <n v="1109.56"/>
    <n v="962.96249999999986"/>
    <s v="Aprovado"/>
    <n v="586.3900000000001"/>
    <n v="439.79"/>
    <m/>
    <m/>
    <n v="439.79"/>
    <m/>
    <s v="62955505057789439,79"/>
    <m/>
    <x v="2"/>
    <n v="0"/>
    <n v="-439.79"/>
    <m/>
    <s v="Cobrança Regular"/>
    <m/>
    <m/>
    <m/>
    <m/>
    <m/>
    <m/>
    <m/>
    <m/>
    <s v="VALOR DEVIDO - Cancelamento via email dia 30/04, tenho tudo formalizado por whatsapp com Diil"/>
  </r>
  <r>
    <s v="TRIFÁSICO"/>
    <s v="10/202838-9"/>
    <n v="67992637973"/>
    <n v="62955505016403"/>
    <s v="energisa_ms"/>
    <s v="Igreja do Evangelho Quadrangular"/>
    <x v="5"/>
    <s v="10/1672452-845809"/>
    <s v="SIM"/>
    <n v="523"/>
    <n v="1079.03"/>
    <n v="933.06999999999994"/>
    <s v="Aprovado"/>
    <n v="583.83999999999992"/>
    <n v="437.88"/>
    <m/>
    <m/>
    <n v="437.88"/>
    <m/>
    <s v="62955505016403437,88"/>
    <m/>
    <x v="1"/>
    <n v="437.88"/>
    <n v="0"/>
    <m/>
    <m/>
    <m/>
    <m/>
    <m/>
    <m/>
    <m/>
    <m/>
    <m/>
    <m/>
    <m/>
  </r>
  <r>
    <s v="TRIFÁSICO"/>
    <s v="10/1672452-8"/>
    <n v="67992637973"/>
    <n v="62955505017213"/>
    <s v="energisa_ms"/>
    <s v="Igreja do Evangelho Quadrangular"/>
    <x v="9"/>
    <s v="10/505854-045809"/>
    <s v="SIM"/>
    <n v="487"/>
    <n v="785.05190000000005"/>
    <n v="618.63663212063943"/>
    <s v="Aprovado"/>
    <n v="595.02189999999996"/>
    <n v="428.75"/>
    <d v="2025-11-06T00:00:00"/>
    <d v="2025-11-13T00:00:00"/>
    <n v="428.75"/>
    <m/>
    <s v="62955505017213428,75"/>
    <s v="09/00013026954-9"/>
    <x v="1"/>
    <n v="428.75"/>
    <n v="0"/>
    <m/>
    <m/>
    <m/>
    <m/>
    <m/>
    <m/>
    <m/>
    <m/>
    <m/>
    <m/>
    <m/>
  </r>
  <r>
    <e v="#N/A"/>
    <s v="10/2247256-7"/>
    <e v="#N/A"/>
    <n v="62955505015199"/>
    <s v="energisa_ms"/>
    <s v="Igreja do Evangelho Quadrangular"/>
    <x v="7"/>
    <s v="10/925970-645931"/>
    <s v="SIM"/>
    <n v="576"/>
    <n v="821.29"/>
    <n v="678.61749999999995"/>
    <s v="Aprovado"/>
    <n v="570.68999999999994"/>
    <n v="428.02"/>
    <m/>
    <m/>
    <n v="428.02"/>
    <m/>
    <s v="62955505015199428,02"/>
    <m/>
    <x v="2"/>
    <n v="0"/>
    <n v="-428.02"/>
    <m/>
    <s v="Cobrança Regular"/>
    <m/>
    <m/>
    <m/>
    <m/>
    <m/>
    <m/>
    <m/>
    <m/>
    <m/>
  </r>
  <r>
    <s v="TRIFÁSICO"/>
    <s v="10/3030784-7"/>
    <n v="67996266684"/>
    <n v="62955505016080"/>
    <s v="energisa_ms"/>
    <s v="Igreja do Evangelho Quadrangular"/>
    <x v="4"/>
    <s v="10/3040565-845870"/>
    <s v="SIM"/>
    <n v="548"/>
    <n v="746.1"/>
    <n v="603.62750000000005"/>
    <s v="Aprovado"/>
    <n v="569.89"/>
    <n v="427.42"/>
    <m/>
    <m/>
    <n v="427.42"/>
    <m/>
    <s v="62955505016080427,42"/>
    <m/>
    <x v="1"/>
    <n v="427.42"/>
    <n v="0"/>
    <m/>
    <m/>
    <m/>
    <m/>
    <m/>
    <m/>
    <m/>
    <m/>
    <m/>
    <m/>
    <m/>
  </r>
  <r>
    <s v="BIFÁSICO"/>
    <s v="10/1081489-5"/>
    <n v="67996446178"/>
    <n v="62955505016918"/>
    <s v="energisa_ms"/>
    <s v="Igreja do Evangelho Quadrangular"/>
    <x v="0"/>
    <s v="10/504844-245689"/>
    <s v="SIM"/>
    <n v="386"/>
    <n v="467.83"/>
    <n v="369.16205039779788"/>
    <s v="Aprovado"/>
    <n v="367.37"/>
    <n v="268.7"/>
    <d v="2025-10-03T00:00:00"/>
    <d v="2025-10-13T00:00:00"/>
    <n v="268.7"/>
    <m/>
    <s v="62955505016918268,7"/>
    <s v="09/00012851434-4"/>
    <x v="2"/>
    <m/>
    <n v="0"/>
    <m/>
    <s v="Cobrança Regular"/>
    <m/>
    <m/>
    <m/>
    <m/>
    <m/>
    <m/>
    <m/>
    <m/>
    <m/>
  </r>
  <r>
    <s v="TRIFÁSICO"/>
    <s v="10/15297-5"/>
    <n v="67996266684"/>
    <n v="62955505312487"/>
    <s v="energisa_ms"/>
    <s v="Igreja do Evangelho Quadrangular"/>
    <x v="9"/>
    <s v="10/24514-245717"/>
    <s v="SIM"/>
    <n v="555"/>
    <n v="687.20749999999998"/>
    <n v="522.09676792931555"/>
    <s v="Aprovado"/>
    <n v="590.35749999999996"/>
    <n v="425.25"/>
    <d v="2025-11-06T00:00:00"/>
    <d v="2025-11-13T00:00:00"/>
    <n v="425.25"/>
    <m/>
    <s v="62955505312487425,25"/>
    <s v="09/00013026873-1"/>
    <x v="1"/>
    <n v="425.25"/>
    <n v="0"/>
    <m/>
    <m/>
    <m/>
    <m/>
    <m/>
    <m/>
    <m/>
    <m/>
    <m/>
    <m/>
    <m/>
  </r>
  <r>
    <s v="TRIFÁSICO"/>
    <s v="10/1674177-9"/>
    <n v="6784548587"/>
    <n v="62955505016160"/>
    <s v="energisa_ms"/>
    <s v="Igreja do Evangelho Quadrangular"/>
    <x v="9"/>
    <s v="10/41548-945717"/>
    <s v="SIM"/>
    <n v="873"/>
    <n v="1120.8800000000001"/>
    <n v="881.30677006432825"/>
    <s v="Aprovado"/>
    <n v="856.59999999999991"/>
    <n v="424.53"/>
    <d v="2025-11-06T00:00:00"/>
    <d v="2025-11-13T00:00:00"/>
    <n v="424.53"/>
    <m/>
    <s v="62955505016160424,53"/>
    <s v="09/00013026879-8"/>
    <x v="1"/>
    <n v="424.53"/>
    <n v="0"/>
    <m/>
    <m/>
    <m/>
    <m/>
    <m/>
    <m/>
    <m/>
    <m/>
    <m/>
    <m/>
    <m/>
  </r>
  <r>
    <s v="BIFÁSICO"/>
    <s v="10/1939035-0"/>
    <s v=" 67 91285460"/>
    <n v="62955505419443"/>
    <s v="energisa_ms"/>
    <s v="Igreja do Evangelho Quadrangular"/>
    <x v="4"/>
    <s v="10/1695011-545658"/>
    <s v="SIM"/>
    <n v="543"/>
    <n v="657.72"/>
    <n v="516.67999999999995"/>
    <s v="Aprovado"/>
    <n v="564.16000000000008"/>
    <n v="423.12"/>
    <m/>
    <m/>
    <n v="423.12"/>
    <m/>
    <s v="62955505419443423,12"/>
    <m/>
    <x v="1"/>
    <n v="423.12"/>
    <n v="0"/>
    <m/>
    <m/>
    <m/>
    <m/>
    <m/>
    <m/>
    <m/>
    <m/>
    <m/>
    <m/>
    <m/>
  </r>
  <r>
    <s v="TRIFÁSICO"/>
    <s v="10/510330-4"/>
    <n v="67992637973"/>
    <n v="62955505367117"/>
    <s v="energisa_ms"/>
    <s v="Igreja do Evangelho Quadrangular"/>
    <x v="4"/>
    <s v="10/1081489-545778"/>
    <s v="SIM"/>
    <n v="542"/>
    <n v="1025.94"/>
    <n v="884.96"/>
    <s v="Aprovado"/>
    <n v="563.91999999999996"/>
    <n v="422.94"/>
    <m/>
    <m/>
    <n v="422.94"/>
    <m/>
    <s v="62955505367117422,94"/>
    <m/>
    <x v="1"/>
    <n v="422.94"/>
    <n v="0"/>
    <m/>
    <m/>
    <m/>
    <m/>
    <m/>
    <m/>
    <m/>
    <m/>
    <m/>
    <m/>
    <m/>
  </r>
  <r>
    <s v="TRIFÁSICO"/>
    <s v="10/5202-7"/>
    <s v="67 996469842"/>
    <n v="62955505393207"/>
    <s v="energisa_ms"/>
    <s v="Igreja do Evangelho Quadrangular"/>
    <x v="1"/>
    <s v="10/501586-245870"/>
    <s v="SIM"/>
    <n v="459"/>
    <n v="759.21329635499205"/>
    <n v="636.74505617115688"/>
    <s v="Aprovado"/>
    <n v="545.35329635499204"/>
    <n v="422.89"/>
    <d v="2025-09-10T00:00:00"/>
    <d v="2025-09-20T00:00:00"/>
    <n v="422.89"/>
    <m/>
    <s v="62955505393207422,89"/>
    <s v="09/00012683467-8"/>
    <x v="1"/>
    <n v="422.89"/>
    <n v="0"/>
    <m/>
    <m/>
    <m/>
    <m/>
    <m/>
    <m/>
    <m/>
    <m/>
    <m/>
    <m/>
    <m/>
  </r>
  <r>
    <e v="#N/A"/>
    <s v="10/3005226-0"/>
    <e v="#N/A"/>
    <s v="#ND"/>
    <s v="energisa_ms"/>
    <s v="Igreja do Evangelho Quadrangular"/>
    <x v="9"/>
    <s v="10/452884-045901"/>
    <s v="SIM"/>
    <n v="317"/>
    <m/>
    <m/>
    <s v="Não emitido"/>
    <n v="505.46999998999991"/>
    <n v="418.48"/>
    <s v="-"/>
    <s v="-"/>
    <s v="-"/>
    <s v="Pendente dado cadastral"/>
    <s v="#ND-"/>
    <e v="#N/A"/>
    <x v="0"/>
    <m/>
    <n v="0"/>
    <m/>
    <m/>
    <m/>
    <m/>
    <m/>
    <m/>
    <m/>
    <m/>
    <m/>
    <m/>
    <m/>
  </r>
  <r>
    <s v="TRIFÁSICO"/>
    <s v="10/15297-5"/>
    <n v="0"/>
    <n v="62955505312487"/>
    <s v="energisa_ms"/>
    <s v="Igreja do Evangelho Quadrangular"/>
    <x v="0"/>
    <s v="10/480529-745689"/>
    <s v="SIM"/>
    <n v="539"/>
    <n v="665.96"/>
    <n v="513.70512358115161"/>
    <s v="Aprovado"/>
    <n v="566.8900000000001"/>
    <n v="414.64"/>
    <d v="2025-10-03T00:00:00"/>
    <d v="2025-10-13T00:00:00"/>
    <n v="414.64"/>
    <m/>
    <s v="62955505312487414,64"/>
    <s v="09/00012851437-7"/>
    <x v="1"/>
    <n v="414.64"/>
    <n v="0"/>
    <m/>
    <m/>
    <m/>
    <m/>
    <m/>
    <m/>
    <m/>
    <m/>
    <m/>
    <m/>
    <m/>
  </r>
  <r>
    <s v="TRIFÁSICO"/>
    <s v="10/2599101-9"/>
    <n v="67991120875"/>
    <n v="62955505379395"/>
    <s v="energisa_ms"/>
    <s v="Igreja do Evangelho Quadrangular"/>
    <x v="7"/>
    <s v="10/513413-545931"/>
    <s v="SIM"/>
    <n v="493"/>
    <n v="851.71"/>
    <n v="714.13249999999994"/>
    <s v="Aprovado"/>
    <n v="550.30999999999995"/>
    <n v="412.73"/>
    <m/>
    <m/>
    <n v="412.73"/>
    <m/>
    <s v="62955505379395412,73"/>
    <m/>
    <x v="1"/>
    <n v="412.73"/>
    <n v="0"/>
    <m/>
    <m/>
    <n v="283032"/>
    <n v="502"/>
    <s v="Igreja do Evangelho Quadrangular"/>
    <s v="'62955505015512'"/>
    <n v="59.21"/>
    <m/>
    <s v="A Unidade Consumidora 10/466560-0 economizou R$19,74 na fatura referente à jun/2025  consumindo 79 kWh em créditos de energia renovável conforme fatura de energia. A economia foi de 25% em relação ao que seria pago para a Energisa considerando os créditos consumidos. Atenção: Mantenha as contas da Energisa em dia para evitar cortes."/>
    <s v="monicadossantosfonseca@hotmail.com"/>
    <m/>
  </r>
  <r>
    <s v="TRIFÁSICO"/>
    <s v="10/2605731-5"/>
    <n v="67992637973"/>
    <n v="62955505017213"/>
    <s v="energisa_ms"/>
    <s v="Igreja do Evangelho Quadrangular"/>
    <x v="1"/>
    <s v="10/24514-245870"/>
    <s v="SIM"/>
    <n v="450"/>
    <n v="701.39499999999998"/>
    <n v="581.32359899999994"/>
    <s v="Aprovado"/>
    <n v="529.68500000000017"/>
    <n v="409.61"/>
    <d v="2025-09-10T00:00:00"/>
    <d v="2025-09-20T00:00:00"/>
    <n v="409.61"/>
    <m/>
    <s v="62955505017213409,61"/>
    <s v="09/00012683469-4"/>
    <x v="1"/>
    <n v="409.61"/>
    <n v="0"/>
    <m/>
    <m/>
    <m/>
    <m/>
    <m/>
    <m/>
    <m/>
    <m/>
    <m/>
    <m/>
    <m/>
  </r>
  <r>
    <s v="TRIFÁSICO"/>
    <s v="10/1035655-8"/>
    <n v="67996135721"/>
    <n v="62955505182257"/>
    <s v="energisa_ms"/>
    <s v="Igreja do Evangelho Quadrangular"/>
    <x v="4"/>
    <s v="10/109074-545870"/>
    <s v="SIM"/>
    <n v="481"/>
    <n v="727.20999999999992"/>
    <n v="592.98"/>
    <s v="Aprovado"/>
    <n v="536.91999999999996"/>
    <n v="402.69"/>
    <m/>
    <m/>
    <n v="402.69"/>
    <m/>
    <s v="62955505182257402,69"/>
    <m/>
    <x v="1"/>
    <n v="402.69"/>
    <n v="0"/>
    <m/>
    <m/>
    <m/>
    <m/>
    <m/>
    <m/>
    <m/>
    <m/>
    <m/>
    <m/>
    <s v="DEPÓSITO UNIFICADO ITAU R$1.310,17 - 10/06/2025"/>
  </r>
  <r>
    <s v="TRIFÁSICO"/>
    <s v="10/2605731-5"/>
    <n v="67992637973"/>
    <n v="62955505017213"/>
    <s v="energisa_ms"/>
    <s v="Igreja do Evangelho Quadrangular"/>
    <x v="8"/>
    <s v="10/76927-345809"/>
    <s v="SIM"/>
    <n v="466"/>
    <n v="964.04129870129873"/>
    <n v="831.00597402597396"/>
    <s v="Aprovado"/>
    <n v="532.14129870129864"/>
    <n v="399.11"/>
    <m/>
    <m/>
    <n v="399.11"/>
    <m/>
    <s v="62955505017213399,11"/>
    <m/>
    <x v="1"/>
    <n v="399.11"/>
    <n v="0"/>
    <m/>
    <m/>
    <m/>
    <m/>
    <m/>
    <m/>
    <m/>
    <m/>
    <m/>
    <m/>
    <m/>
  </r>
  <r>
    <s v="TRIFÁSICO"/>
    <s v="10/81222-2"/>
    <s v="67 992491551"/>
    <n v="62955505015946"/>
    <s v="energisa_ms"/>
    <s v="Igreja do Evangelho Quadrangular"/>
    <x v="9"/>
    <s v="10/2344751-945717"/>
    <s v="SIM"/>
    <n v="589"/>
    <n v="775.28499999999997"/>
    <n v="599.64504405118885"/>
    <s v="Aprovado"/>
    <n v="628.00500000000022"/>
    <n v="398.21"/>
    <d v="2025-11-06T00:00:00"/>
    <d v="2025-11-13T00:00:00"/>
    <n v="398.21"/>
    <m/>
    <s v="62955505015946398,21"/>
    <s v="09/00013026893-9"/>
    <x v="1"/>
    <n v="398.21"/>
    <n v="0"/>
    <m/>
    <m/>
    <m/>
    <m/>
    <m/>
    <m/>
    <m/>
    <m/>
    <m/>
    <m/>
    <m/>
  </r>
  <r>
    <s v="TRIFÁSICO"/>
    <s v="10/15297-5"/>
    <n v="67996266684"/>
    <n v="62955505312487"/>
    <s v="energisa_ms"/>
    <s v="Igreja do Evangelho Quadrangular"/>
    <x v="8"/>
    <s v="10/3123706-845778"/>
    <s v="SIM"/>
    <n v="540"/>
    <n v="553.35"/>
    <n v="421.495"/>
    <s v="Aprovado"/>
    <n v="527.41999999999996"/>
    <n v="395.57"/>
    <m/>
    <m/>
    <n v="395.57"/>
    <m/>
    <s v="62955505312487395,57"/>
    <m/>
    <x v="1"/>
    <n v="395.57"/>
    <n v="0"/>
    <m/>
    <m/>
    <m/>
    <m/>
    <m/>
    <m/>
    <m/>
    <m/>
    <m/>
    <m/>
    <m/>
  </r>
  <r>
    <s v="TRIFÁSICO"/>
    <s v="10/1672452-8"/>
    <n v="67992637973"/>
    <n v="62955505017213"/>
    <s v="energisa_ms"/>
    <s v="Igreja do Evangelho Quadrangular"/>
    <x v="6"/>
    <s v="10/276283-945689"/>
    <s v="SIM"/>
    <n v="464"/>
    <n v="696.99"/>
    <n v="567.50500000000011"/>
    <s v="Aprovado"/>
    <n v="517.94000000000005"/>
    <n v="388.46"/>
    <m/>
    <m/>
    <n v="388.46"/>
    <m/>
    <s v="62955505017213388,46"/>
    <m/>
    <x v="1"/>
    <n v="388.46"/>
    <n v="0"/>
    <m/>
    <m/>
    <m/>
    <m/>
    <m/>
    <m/>
    <m/>
    <m/>
    <m/>
    <m/>
    <m/>
  </r>
  <r>
    <s v="TRIFÁSICO"/>
    <s v="10/532081-7"/>
    <s v="67 992321318"/>
    <n v="62955505193534"/>
    <s v="energisa_ms"/>
    <s v="Igreja do Evangelho Quadrangular"/>
    <x v="6"/>
    <s v="10/260761-245748"/>
    <s v="SIM"/>
    <n v="476"/>
    <n v="739.42"/>
    <n v="611.06500000000005"/>
    <s v="Aprovado"/>
    <n v="513.41999999999996"/>
    <n v="385.07"/>
    <m/>
    <m/>
    <n v="385.07"/>
    <m/>
    <s v="62955505193534385,07"/>
    <m/>
    <x v="1"/>
    <n v="385.07"/>
    <n v="0"/>
    <m/>
    <m/>
    <m/>
    <m/>
    <m/>
    <m/>
    <m/>
    <m/>
    <m/>
    <m/>
    <m/>
  </r>
  <r>
    <s v="TRIFÁSICO"/>
    <s v="10/202838-9"/>
    <n v="0"/>
    <n v="62955505016403"/>
    <s v="energisa_ms"/>
    <s v="Igreja do Evangelho Quadrangular"/>
    <x v="2"/>
    <s v="10/52987-545809"/>
    <s v="SIM"/>
    <n v="420"/>
    <n v="744.86599999999999"/>
    <n v="632.8422025232918"/>
    <s v="Aprovado"/>
    <n v="495.76600000000008"/>
    <n v="383.74"/>
    <d v="2025-09-10T00:00:00"/>
    <d v="2025-09-20T00:00:00"/>
    <n v="383.74"/>
    <m/>
    <s v="62955505016403383,74"/>
    <s v="09/00012749637-8"/>
    <x v="1"/>
    <n v="383.74"/>
    <n v="0"/>
    <m/>
    <m/>
    <m/>
    <m/>
    <m/>
    <m/>
    <m/>
    <m/>
    <m/>
    <m/>
    <m/>
  </r>
  <r>
    <s v="TRIFÁSICO"/>
    <s v="10/1695011-5"/>
    <n v="0"/>
    <n v="62955505461210"/>
    <s v="energisa_ms"/>
    <s v="Igreja do Evangelho Quadrangular"/>
    <x v="2"/>
    <s v="10/69319-245839"/>
    <s v="SIM"/>
    <n v="418"/>
    <n v="698.19416666666666"/>
    <n v="587.68472237282299"/>
    <s v="Aprovado"/>
    <n v="489.06416666666661"/>
    <n v="378.55"/>
    <d v="2025-09-10T00:00:00"/>
    <d v="2025-09-20T00:00:00"/>
    <n v="378.55"/>
    <m/>
    <s v="62955505461210378,55"/>
    <s v="09/00012749635-2"/>
    <x v="1"/>
    <n v="378.55"/>
    <n v="0"/>
    <m/>
    <m/>
    <m/>
    <m/>
    <m/>
    <m/>
    <m/>
    <m/>
    <m/>
    <m/>
    <m/>
  </r>
  <r>
    <s v="TRIFÁSICO"/>
    <s v="10/1035655-8"/>
    <n v="67996135721"/>
    <n v="62955505182257"/>
    <s v="energisa_ms"/>
    <s v="Igreja do Evangelho Quadrangular"/>
    <x v="7"/>
    <s v="10/2599101-945689"/>
    <s v="SIM"/>
    <n v="497"/>
    <n v="686.02"/>
    <n v="559.88750000000005"/>
    <s v="Aprovado"/>
    <n v="504.53"/>
    <n v="378.4"/>
    <m/>
    <m/>
    <n v="378.4"/>
    <m/>
    <s v="62955505182257378,4"/>
    <m/>
    <x v="1"/>
    <n v="378.4"/>
    <n v="0"/>
    <m/>
    <m/>
    <n v="283032"/>
    <n v="502"/>
    <s v="Igreja do Evangelho Quadrangular"/>
    <s v="'62955505015946'"/>
    <n v="182.75"/>
    <m/>
    <s v="A Unidade Consumidora 10/81222-2 economizou R$60,92 na fatura referente à jun/2025  consumindo 241 kWh em créditos de energia renovável conforme fatura de energia. A economia foi de 25% em relação ao que seria pago para a Energisa considerando os créditos consumidos. Atenção: Mantenha as contas da Energisa em dia para evitar cortes."/>
    <s v="ieqreg349cassi@gmail.com"/>
    <m/>
  </r>
  <r>
    <s v="TRIFÁSICO"/>
    <s v="10/8777-5"/>
    <s v="Solicitação de distrato"/>
    <n v="62955505122432"/>
    <s v="energisa_ms"/>
    <s v="Igreja do Evangelho Quadrangular"/>
    <x v="2"/>
    <s v="10/987178-145748"/>
    <s v="SIM"/>
    <n v="477"/>
    <n v="675.35857142857139"/>
    <n v="565.28197701350064"/>
    <s v="Aprovado"/>
    <n v="487.14857142857136"/>
    <n v="377.07"/>
    <d v="2025-09-10T00:00:00"/>
    <d v="2025-09-20T00:00:00"/>
    <n v="377.07"/>
    <m/>
    <s v="62955505122432377,07"/>
    <s v="09/00012749677-4"/>
    <x v="1"/>
    <n v="377.07"/>
    <n v="0"/>
    <m/>
    <m/>
    <m/>
    <m/>
    <m/>
    <m/>
    <m/>
    <m/>
    <m/>
    <m/>
    <m/>
  </r>
  <r>
    <e v="#N/A"/>
    <s v="10/925970-6"/>
    <e v="#N/A"/>
    <n v="62955505057789"/>
    <s v="energisa_ms"/>
    <s v="Igreja do Evangelho Quadrangular"/>
    <x v="5"/>
    <s v="10/931327-145839"/>
    <s v="SIM"/>
    <n v="517"/>
    <n v="706.59"/>
    <n v="580.9050006425"/>
    <s v="Aprovado"/>
    <n v="502.73999742999996"/>
    <n v="377.05"/>
    <m/>
    <m/>
    <n v="377.05"/>
    <m/>
    <s v="62955505057789377,05"/>
    <m/>
    <x v="1"/>
    <n v="377.05"/>
    <n v="0"/>
    <m/>
    <m/>
    <m/>
    <m/>
    <m/>
    <m/>
    <m/>
    <m/>
    <m/>
    <m/>
    <m/>
  </r>
  <r>
    <s v="BIFÁSICO"/>
    <s v="10/61344-8"/>
    <n v="67999998719"/>
    <n v="62955505015431"/>
    <s v="energisa_ms"/>
    <s v="Igreja do Evangelho Quadrangular"/>
    <x v="5"/>
    <s v="10/260761-245901"/>
    <s v="SIM"/>
    <n v="517"/>
    <n v="923.67000000000007"/>
    <n v="798.04500000000007"/>
    <s v="Aprovado"/>
    <n v="502.5"/>
    <n v="376.88"/>
    <m/>
    <m/>
    <n v="376.88"/>
    <m/>
    <s v="62955505015431376,88"/>
    <m/>
    <x v="1"/>
    <n v="376.88"/>
    <n v="0"/>
    <m/>
    <m/>
    <m/>
    <m/>
    <m/>
    <m/>
    <m/>
    <m/>
    <m/>
    <m/>
    <m/>
  </r>
  <r>
    <e v="#N/A"/>
    <s v="10/925970-6"/>
    <e v="#N/A"/>
    <s v="#ND"/>
    <s v="energisa_ms"/>
    <s v="Igreja do Evangelho Quadrangular"/>
    <x v="9"/>
    <s v="10/908866-745870"/>
    <s v="SIM"/>
    <n v="493"/>
    <m/>
    <m/>
    <s v="Não emitido"/>
    <n v="519.34555555555562"/>
    <n v="374.1"/>
    <s v="-"/>
    <s v="-"/>
    <s v="-"/>
    <s v="Pendente dado cadastral"/>
    <s v="#ND-"/>
    <e v="#N/A"/>
    <x v="0"/>
    <m/>
    <n v="0"/>
    <m/>
    <m/>
    <m/>
    <m/>
    <m/>
    <m/>
    <m/>
    <m/>
    <m/>
    <m/>
    <m/>
  </r>
  <r>
    <s v="TRIFÁSICO"/>
    <s v="10/3030784-7"/>
    <n v="67996266684"/>
    <n v="62955505016080"/>
    <s v="energisa_ms"/>
    <s v="Igreja do Evangelho Quadrangular"/>
    <x v="7"/>
    <s v="10/29964-445658"/>
    <s v="SIM"/>
    <n v="445"/>
    <n v="681.9"/>
    <n v="557.71750000000009"/>
    <s v="Aprovado"/>
    <n v="496.72999999999996"/>
    <n v="372.55"/>
    <m/>
    <m/>
    <n v="372.55"/>
    <m/>
    <s v="62955505016080372,55"/>
    <m/>
    <x v="1"/>
    <n v="372.55"/>
    <n v="0"/>
    <m/>
    <m/>
    <m/>
    <m/>
    <m/>
    <m/>
    <m/>
    <m/>
    <m/>
    <m/>
    <m/>
  </r>
  <r>
    <s v="BIFÁSICO"/>
    <s v="10/1081489-5"/>
    <n v="67996446178"/>
    <n v="62955505016918"/>
    <s v="energisa_ms"/>
    <s v="Igreja do Evangelho Quadrangular"/>
    <x v="9"/>
    <s v="10/252817-245717"/>
    <s v="SIM"/>
    <n v="523"/>
    <n v="655.92000000000007"/>
    <n v="512.39700863169674"/>
    <s v="Aprovado"/>
    <n v="513.16999999999996"/>
    <n v="369.65"/>
    <d v="2025-11-06T00:00:00"/>
    <d v="2025-11-13T00:00:00"/>
    <n v="369.65"/>
    <m/>
    <s v="62955505016918369,65"/>
    <s v="09/00013026863-2"/>
    <x v="1"/>
    <n v="369.65"/>
    <n v="0"/>
    <m/>
    <m/>
    <m/>
    <m/>
    <m/>
    <m/>
    <m/>
    <m/>
    <m/>
    <m/>
    <m/>
  </r>
  <r>
    <s v="TRIFÁSICO"/>
    <s v="10/8777-5"/>
    <s v="67 992319530"/>
    <n v="62955505122432"/>
    <s v="energisa_ms"/>
    <s v="Igreja do Evangelho Quadrangular"/>
    <x v="7"/>
    <s v="10/1035655-845931"/>
    <s v="SIM"/>
    <n v="494"/>
    <n v="823.12"/>
    <n v="699.99249999999984"/>
    <s v="Aprovado"/>
    <n v="492.5100000000001"/>
    <n v="369.38"/>
    <m/>
    <m/>
    <n v="369.38"/>
    <m/>
    <s v="62955505122432369,38"/>
    <m/>
    <x v="1"/>
    <n v="369.38"/>
    <n v="0"/>
    <m/>
    <m/>
    <m/>
    <m/>
    <m/>
    <m/>
    <m/>
    <m/>
    <m/>
    <m/>
    <m/>
  </r>
  <r>
    <s v="TRIFÁSICO"/>
    <s v="10/2605731-5"/>
    <n v="67992637973"/>
    <n v="62955505017213"/>
    <s v="energisa_ms"/>
    <s v="Igreja do Evangelho Quadrangular"/>
    <x v="3"/>
    <s v="10/76927-345870"/>
    <s v="SIM"/>
    <n v="417"/>
    <n v="671.37929999999994"/>
    <n v="554.70256799150889"/>
    <s v="Aprovado"/>
    <n v="491.77930000000003"/>
    <n v="368.83"/>
    <d v="2025-07-22T00:00:00"/>
    <d v="2025-08-02T00:00:00"/>
    <n v="368.83"/>
    <m/>
    <s v="62955505017213368,83"/>
    <s v="09/00012472767-6"/>
    <x v="1"/>
    <n v="368.83"/>
    <n v="0"/>
    <s v="05/08/2025"/>
    <m/>
    <m/>
    <m/>
    <m/>
    <m/>
    <m/>
    <m/>
    <m/>
    <m/>
    <m/>
  </r>
  <r>
    <s v="TRIFÁSICO"/>
    <s v="10/260761-2"/>
    <n v="67996150274"/>
    <n v="62955505000167"/>
    <s v="energisa_ms"/>
    <s v="Igreja do Evangelho Quadrangular"/>
    <x v="4"/>
    <s v="10/41548-945748"/>
    <s v="SIM"/>
    <n v="502"/>
    <m/>
    <m/>
    <s v="Aprovado"/>
    <n v="488.98"/>
    <n v="366.74"/>
    <m/>
    <m/>
    <m/>
    <s v="não emitido pela EGS"/>
    <s v="62955505000167"/>
    <m/>
    <x v="0"/>
    <n v="0"/>
    <n v="0"/>
    <m/>
    <m/>
    <m/>
    <m/>
    <m/>
    <m/>
    <m/>
    <m/>
    <m/>
    <m/>
    <m/>
  </r>
  <r>
    <s v="TRIFÁSICO"/>
    <s v="10/532081-7"/>
    <s v="67 992321318"/>
    <n v="62955505193534"/>
    <s v="energisa_ms"/>
    <s v="Igreja do Evangelho Quadrangular"/>
    <x v="4"/>
    <s v="10/532723-445778"/>
    <s v="SIM"/>
    <n v="458"/>
    <n v="711.51"/>
    <n v="589.6400000000001"/>
    <s v="Aprovado"/>
    <n v="487.47999999999996"/>
    <n v="365.61"/>
    <m/>
    <m/>
    <n v="365.61"/>
    <m/>
    <s v="62955505193534365,61"/>
    <m/>
    <x v="1"/>
    <n v="365.61"/>
    <n v="0"/>
    <m/>
    <m/>
    <m/>
    <m/>
    <m/>
    <m/>
    <m/>
    <m/>
    <m/>
    <m/>
    <m/>
  </r>
  <r>
    <s v="TRIFÁSICO"/>
    <s v="10/1695011-5"/>
    <n v="67991767866"/>
    <n v="62955505461210"/>
    <s v="energisa_ms"/>
    <s v="Igreja do Evangelho Quadrangular"/>
    <x v="1"/>
    <s v="10/283183-245689"/>
    <s v="SIM"/>
    <n v="406"/>
    <n v="729.856056338028"/>
    <n v="621.53428101408429"/>
    <s v="Aprovado"/>
    <n v="472.87605633802815"/>
    <n v="364.55"/>
    <d v="2025-09-10T00:00:00"/>
    <d v="2025-09-20T00:00:00"/>
    <n v="364.55"/>
    <m/>
    <s v="62955505461210364,55"/>
    <s v="09/00012683474-4"/>
    <x v="1"/>
    <n v="364.55"/>
    <n v="0"/>
    <m/>
    <m/>
    <m/>
    <m/>
    <m/>
    <m/>
    <m/>
    <m/>
    <m/>
    <m/>
    <m/>
  </r>
  <r>
    <s v="BIFÁSICO"/>
    <s v="10/61344-8"/>
    <n v="0"/>
    <n v="62955505015431"/>
    <s v="energisa_ms"/>
    <s v="Igreja do Evangelho Quadrangular"/>
    <x v="0"/>
    <s v="10/489076-045689"/>
    <s v="SIM"/>
    <n v="520"/>
    <n v="651.23"/>
    <n v="518.30745614060538"/>
    <s v="Aprovado"/>
    <n v="494.91"/>
    <n v="361.99"/>
    <d v="2025-10-03T00:00:00"/>
    <d v="2025-10-13T00:00:00"/>
    <n v="361.99"/>
    <m/>
    <s v="62955505015431361,99"/>
    <s v="09/00012851433-6"/>
    <x v="1"/>
    <n v="494.91"/>
    <n v="0"/>
    <d v="2025-11-05T00:00:00"/>
    <m/>
    <m/>
    <m/>
    <m/>
    <m/>
    <m/>
    <m/>
    <m/>
    <m/>
    <m/>
  </r>
  <r>
    <s v="TRIFÁSICO"/>
    <s v="10/399338-3"/>
    <n v="67991060202"/>
    <n v="62955505213233"/>
    <s v="energisa_ms"/>
    <s v="Igreja do Evangelho Quadrangular"/>
    <x v="9"/>
    <s v="10/72605-945717"/>
    <s v="SIM"/>
    <n v="468"/>
    <n v="598.21636363636367"/>
    <n v="458.95390398333217"/>
    <s v="Aprovado"/>
    <n v="497.93636363636358"/>
    <n v="357.75"/>
    <d v="2025-11-06T00:00:00"/>
    <d v="2025-11-13T00:00:00"/>
    <n v="357.75"/>
    <m/>
    <s v="62955505213233357,75"/>
    <s v="09/00013026868-1"/>
    <x v="1"/>
    <n v="357.75"/>
    <n v="0"/>
    <m/>
    <m/>
    <m/>
    <m/>
    <m/>
    <m/>
    <m/>
    <m/>
    <m/>
    <m/>
    <m/>
  </r>
  <r>
    <s v="TRIFÁSICO"/>
    <s v="10/3030784-7"/>
    <n v="67996266684"/>
    <n v="62955505016080"/>
    <s v="energisa_ms"/>
    <s v="Igreja do Evangelho Quadrangular"/>
    <x v="9"/>
    <s v="10/2794432-145809"/>
    <s v="SIM"/>
    <n v="401"/>
    <n v="693.90920000000006"/>
    <n v="555.14377610751944"/>
    <s v="Aprovado"/>
    <n v="496.1592"/>
    <n v="357.39"/>
    <d v="2025-11-06T00:00:00"/>
    <d v="2025-11-13T00:00:00"/>
    <n v="357.39"/>
    <m/>
    <s v="62955505016080357,39"/>
    <s v="09/00013026945-7"/>
    <x v="1"/>
    <n v="496.16"/>
    <n v="0"/>
    <d v="2025-12-01T00:00:00"/>
    <m/>
    <m/>
    <m/>
    <m/>
    <m/>
    <m/>
    <m/>
    <m/>
    <m/>
    <m/>
  </r>
  <r>
    <s v="TRIFÁSICO"/>
    <s v="10/1672452-8"/>
    <n v="67992637973"/>
    <n v="62955505017213"/>
    <s v="energisa_ms"/>
    <s v="Igreja do Evangelho Quadrangular"/>
    <x v="5"/>
    <s v="10/76927-345748"/>
    <s v="SIM"/>
    <n v="423"/>
    <n v="652.34"/>
    <n v="534.15750000000003"/>
    <s v="Aprovado"/>
    <n v="472.73"/>
    <n v="354.55"/>
    <m/>
    <m/>
    <n v="354.55"/>
    <m/>
    <s v="62955505017213354,55"/>
    <m/>
    <x v="1"/>
    <n v="354.55"/>
    <n v="0"/>
    <m/>
    <m/>
    <m/>
    <m/>
    <m/>
    <m/>
    <m/>
    <m/>
    <m/>
    <m/>
    <m/>
  </r>
  <r>
    <s v="TRIFÁSICO"/>
    <s v="10/276283-9"/>
    <s v="46 999066691"/>
    <n v="62955505177504"/>
    <s v="energisa_ms"/>
    <s v="Igreja do Evangelho Quadrangular"/>
    <x v="4"/>
    <s v="10/3139326-745778"/>
    <s v="SIM"/>
    <n v="422"/>
    <n v="676.81000000000006"/>
    <n v="559.05000000000018"/>
    <s v="Aprovado"/>
    <n v="471.03999999999991"/>
    <n v="353.28"/>
    <m/>
    <m/>
    <n v="353.28"/>
    <m/>
    <s v="62955505177504353,28"/>
    <m/>
    <x v="1"/>
    <n v="353.28"/>
    <n v="0"/>
    <d v="2025-10-02T00:00:00"/>
    <m/>
    <m/>
    <m/>
    <m/>
    <m/>
    <m/>
    <m/>
    <m/>
    <m/>
    <n v="0"/>
  </r>
  <r>
    <s v="TRIFÁSICO"/>
    <s v="10/399338-3"/>
    <n v="67991060202"/>
    <n v="62955505213233"/>
    <s v="energisa_ms"/>
    <s v="Igreja do Evangelho Quadrangular"/>
    <x v="5"/>
    <s v="10/511753-645748"/>
    <s v="SIM"/>
    <n v="481"/>
    <n v="705.38"/>
    <n v="588.34500000000003"/>
    <s v="Aprovado"/>
    <n v="468.14000000000004"/>
    <n v="351.11"/>
    <m/>
    <m/>
    <n v="351.11"/>
    <m/>
    <s v="62955505213233351,11"/>
    <m/>
    <x v="1"/>
    <n v="351.11"/>
    <n v="0"/>
    <m/>
    <m/>
    <m/>
    <m/>
    <m/>
    <m/>
    <m/>
    <m/>
    <m/>
    <m/>
    <m/>
  </r>
  <r>
    <s v="TRIFÁSICO"/>
    <s v="10/3092868-3"/>
    <s v=" 67 91285460"/>
    <n v="62955505419443"/>
    <s v="energisa_ms"/>
    <s v="Igreja do Evangelho Quadrangular"/>
    <x v="8"/>
    <s v="10/931327-145931"/>
    <s v="SIM"/>
    <n v="412"/>
    <n v="581.43799999999999"/>
    <n v="464.471"/>
    <s v="Aprovado"/>
    <n v="467.86800000000005"/>
    <n v="350.9"/>
    <m/>
    <m/>
    <n v="350.9"/>
    <m/>
    <s v="62955505419443350,9"/>
    <m/>
    <x v="1"/>
    <n v="350.9"/>
    <n v="0"/>
    <m/>
    <m/>
    <m/>
    <m/>
    <m/>
    <m/>
    <m/>
    <m/>
    <m/>
    <m/>
    <m/>
  </r>
  <r>
    <s v="TRIFÁSICO"/>
    <s v="10/510330-4"/>
    <n v="67992637973"/>
    <n v="62955505367117"/>
    <s v="energisa_ms"/>
    <s v="Igreja do Evangelho Quadrangular"/>
    <x v="9"/>
    <s v="10/162736-345809"/>
    <s v="SIM"/>
    <n v="392"/>
    <n v="666.03719999999998"/>
    <n v="532.58903766196363"/>
    <s v="Aprovado"/>
    <n v="477.1472"/>
    <n v="343.83"/>
    <d v="2025-11-06T00:00:00"/>
    <d v="2025-11-13T00:00:00"/>
    <n v="343.7"/>
    <m/>
    <s v="62955505367117343,7"/>
    <s v="09/00013026940-8"/>
    <x v="1"/>
    <n v="343.7"/>
    <n v="0"/>
    <d v="2025-11-19T00:00:00"/>
    <m/>
    <m/>
    <m/>
    <m/>
    <m/>
    <m/>
    <m/>
    <m/>
    <m/>
    <m/>
  </r>
  <r>
    <s v="TRIFÁSICO"/>
    <s v="10/489076-0"/>
    <n v="67996266684"/>
    <n v="62955505016080"/>
    <s v="energisa_ms"/>
    <s v="Igreja do Evangelho Quadrangular"/>
    <x v="9"/>
    <s v="10/13786-945717"/>
    <s v="SIM"/>
    <n v="443"/>
    <n v="652.62259259259258"/>
    <n v="519.53370826738819"/>
    <s v="Aprovado"/>
    <n v="475.86259259259259"/>
    <n v="342.77"/>
    <d v="2025-11-06T00:00:00"/>
    <d v="2025-11-13T00:00:00"/>
    <n v="342.77"/>
    <m/>
    <s v="62955505016080342,77"/>
    <s v="09/00013026874-9"/>
    <x v="1"/>
    <n v="342.77"/>
    <n v="0"/>
    <m/>
    <m/>
    <m/>
    <m/>
    <m/>
    <m/>
    <m/>
    <m/>
    <m/>
    <m/>
    <m/>
  </r>
  <r>
    <s v="BIFÁSICO"/>
    <s v="10/1081489-5"/>
    <n v="67996446178"/>
    <n v="62955505016918"/>
    <s v="energisa_ms"/>
    <s v="Igreja do Evangelho Quadrangular"/>
    <x v="7"/>
    <s v="10/1035655-845717"/>
    <s v="SIM"/>
    <n v="409"/>
    <n v="780.44"/>
    <n v="666.30250000000001"/>
    <s v="Aprovado"/>
    <n v="456.55"/>
    <n v="342.41"/>
    <m/>
    <m/>
    <n v="342.41"/>
    <m/>
    <s v="62955505016918342,41"/>
    <m/>
    <x v="1"/>
    <n v="342.41"/>
    <n v="0"/>
    <m/>
    <m/>
    <m/>
    <m/>
    <m/>
    <m/>
    <m/>
    <m/>
    <m/>
    <m/>
    <m/>
  </r>
  <r>
    <s v="TRIFÁSICO"/>
    <s v="10/18015-8"/>
    <n v="67996266684"/>
    <n v="62955505016080"/>
    <s v="energisa_ms"/>
    <s v="Igreja do Evangelho Quadrangular"/>
    <x v="4"/>
    <s v="10/63920-345901"/>
    <s v="SIM"/>
    <n v="414"/>
    <n v="1261.3800000000001"/>
    <n v="1147.5550000000001"/>
    <s v="Aprovado"/>
    <n v="455.2999999999999"/>
    <n v="341.48"/>
    <m/>
    <m/>
    <n v="341.48"/>
    <m/>
    <s v="62955505016080341,48"/>
    <m/>
    <x v="1"/>
    <n v="341.48"/>
    <n v="0"/>
    <m/>
    <m/>
    <m/>
    <m/>
    <m/>
    <m/>
    <m/>
    <m/>
    <m/>
    <m/>
    <m/>
  </r>
  <r>
    <s v="TRIFÁSICO"/>
    <s v="10/29964-4"/>
    <n v="0"/>
    <n v="62955505067660"/>
    <s v="energisa_ms"/>
    <s v="Igreja do Evangelho Quadrangular"/>
    <x v="2"/>
    <s v="10/452884-045870"/>
    <s v="SIM"/>
    <n v="370"/>
    <n v="553.36299999999994"/>
    <n v="455.42177198174772"/>
    <s v="Aprovado"/>
    <n v="433.44300000000004"/>
    <n v="335.5"/>
    <d v="2025-09-10T00:00:00"/>
    <d v="2025-09-20T00:00:00"/>
    <n v="335.5"/>
    <m/>
    <s v="62955505067660335,5"/>
    <s v="09/00012749642-8"/>
    <x v="1"/>
    <n v="335.5"/>
    <n v="0"/>
    <m/>
    <m/>
    <m/>
    <m/>
    <m/>
    <m/>
    <m/>
    <m/>
    <m/>
    <m/>
    <m/>
  </r>
  <r>
    <s v="TRIFÁSICO"/>
    <s v="10/81222-2"/>
    <n v="0"/>
    <n v="62955505015946"/>
    <s v="energisa_ms"/>
    <s v="Igreja do Evangelho Quadrangular"/>
    <x v="0"/>
    <s v="10/72605-945689"/>
    <s v="SIM"/>
    <n v="435"/>
    <n v="613.05999999999995"/>
    <n v="490.22529180235966"/>
    <s v="Aprovado"/>
    <n v="457.35"/>
    <n v="334.52"/>
    <d v="2025-10-03T00:00:00"/>
    <d v="2025-10-13T00:00:00"/>
    <n v="334.52"/>
    <m/>
    <s v="62955505015946334,52"/>
    <s v="09/00012851445-0"/>
    <x v="1"/>
    <n v="334.52"/>
    <n v="0"/>
    <m/>
    <m/>
    <m/>
    <m/>
    <m/>
    <m/>
    <m/>
    <m/>
    <m/>
    <m/>
    <m/>
  </r>
  <r>
    <s v="TRIFÁSICO"/>
    <s v="10/156956-5"/>
    <s v="67 998338301"/>
    <n v="62955505015350"/>
    <s v="energisa_ms"/>
    <s v="Igreja do Evangelho Quadrangular"/>
    <x v="4"/>
    <s v="10/3005226-045839"/>
    <s v="SIM"/>
    <n v="426"/>
    <n v="643.49"/>
    <n v="532.78749999999991"/>
    <s v="Aprovado"/>
    <n v="442.81"/>
    <n v="332.11"/>
    <m/>
    <m/>
    <n v="332.11"/>
    <m/>
    <s v="62955505015350332,11"/>
    <m/>
    <x v="1"/>
    <n v="332.11"/>
    <n v="0"/>
    <m/>
    <m/>
    <m/>
    <m/>
    <m/>
    <m/>
    <m/>
    <m/>
    <m/>
    <m/>
    <m/>
  </r>
  <r>
    <s v="TRIFÁSICO"/>
    <s v="10/156956-5"/>
    <s v="67 998338301"/>
    <n v="62955505015350"/>
    <s v="energisa_ms"/>
    <s v="Igreja do Evangelho Quadrangular"/>
    <x v="6"/>
    <s v="10/1266128-645931"/>
    <s v="SIM"/>
    <n v="418"/>
    <n v="645.12"/>
    <n v="534.58750000000009"/>
    <s v="Aprovado"/>
    <n v="442.13000000000005"/>
    <n v="331.6"/>
    <m/>
    <m/>
    <n v="331.6"/>
    <m/>
    <s v="62955505015350331,6"/>
    <m/>
    <x v="1"/>
    <n v="331.6"/>
    <n v="0"/>
    <m/>
    <m/>
    <m/>
    <m/>
    <m/>
    <m/>
    <m/>
    <m/>
    <m/>
    <m/>
    <m/>
  </r>
  <r>
    <s v="TRIFÁSICO"/>
    <s v="10/127464-6"/>
    <n v="67996150274"/>
    <n v="62955505331198"/>
    <s v="energisa_ms"/>
    <s v="Igreja do Evangelho Quadrangular"/>
    <x v="8"/>
    <s v="10/532081-745809"/>
    <s v="SIM"/>
    <n v="450"/>
    <n v="776.59124999999995"/>
    <n v="667.44343750000007"/>
    <s v="Aprovado"/>
    <n v="436.59124999999995"/>
    <n v="327.44"/>
    <m/>
    <m/>
    <n v="327.44"/>
    <m/>
    <s v="62955505331198327,44"/>
    <m/>
    <x v="1"/>
    <n v="327.44"/>
    <n v="0"/>
    <m/>
    <m/>
    <m/>
    <m/>
    <m/>
    <m/>
    <m/>
    <m/>
    <m/>
    <m/>
    <m/>
  </r>
  <r>
    <s v="TRIFÁSICO"/>
    <s v="10/532723-4"/>
    <n v="67996446178"/>
    <n v="62955505359360"/>
    <s v="energisa_ms"/>
    <s v="Igreja do Evangelho Quadrangular"/>
    <x v="4"/>
    <s v="10/452884-045717"/>
    <s v="SIM"/>
    <n v="388"/>
    <n v="633.53"/>
    <n v="525.25250000000005"/>
    <s v="Aprovado"/>
    <n v="433.11000000000007"/>
    <n v="324.83"/>
    <m/>
    <m/>
    <n v="324.83"/>
    <m/>
    <s v="62955505359360324,83"/>
    <m/>
    <x v="1"/>
    <n v="324.83"/>
    <n v="0"/>
    <d v="2025-06-27T00:00:00"/>
    <m/>
    <m/>
    <m/>
    <m/>
    <m/>
    <m/>
    <m/>
    <m/>
    <m/>
    <n v="0"/>
  </r>
  <r>
    <s v="TRIFÁSICO"/>
    <s v="10/127464-6"/>
    <n v="67996150274"/>
    <n v="62955505331198"/>
    <s v="energisa_ms"/>
    <s v="Igreja do Evangelho Quadrangular"/>
    <x v="5"/>
    <s v="10/1939035-045839"/>
    <s v="SIM"/>
    <n v="444"/>
    <n v="625.66"/>
    <n v="517.54"/>
    <s v="Aprovado"/>
    <n v="432.48"/>
    <n v="324.36"/>
    <m/>
    <m/>
    <n v="324.36"/>
    <m/>
    <s v="62955505331198324,36"/>
    <m/>
    <x v="1"/>
    <n v="324.36"/>
    <n v="0"/>
    <m/>
    <m/>
    <m/>
    <m/>
    <m/>
    <m/>
    <m/>
    <m/>
    <m/>
    <m/>
    <m/>
  </r>
  <r>
    <s v="TRIFÁSICO"/>
    <s v="10/162736-3"/>
    <n v="67996150274"/>
    <n v="62955505197360"/>
    <s v="energisa_ms"/>
    <s v="Igreja do Evangelho Quadrangular"/>
    <x v="4"/>
    <s v="10/156956-545931"/>
    <s v="SIM"/>
    <n v="413"/>
    <n v="630.51"/>
    <n v="523.15499999999997"/>
    <s v="Aprovado"/>
    <n v="429.42"/>
    <n v="322.07"/>
    <m/>
    <m/>
    <n v="322.07"/>
    <m/>
    <s v="62955505197360322,07"/>
    <m/>
    <x v="2"/>
    <m/>
    <n v="0"/>
    <m/>
    <s v="Cobrança Regular"/>
    <m/>
    <m/>
    <m/>
    <m/>
    <m/>
    <m/>
    <m/>
    <m/>
    <n v="0"/>
  </r>
  <r>
    <s v="TRIFÁSICO"/>
    <s v="10/18015-8"/>
    <n v="67996266684"/>
    <n v="62955505016080"/>
    <s v="energisa_ms"/>
    <s v="Igreja do Evangelho Quadrangular"/>
    <x v="1"/>
    <s v="10/52987-545870"/>
    <s v="SIM"/>
    <n v="358"/>
    <n v="535.20539999999994"/>
    <n v="439.68200123999992"/>
    <s v="Aprovado"/>
    <n v="416.40540000000004"/>
    <n v="320.88"/>
    <d v="2025-09-10T00:00:00"/>
    <d v="2025-09-20T00:00:00"/>
    <n v="320.88"/>
    <m/>
    <s v="62955505016080320,88"/>
    <s v="09/00012683470-2"/>
    <x v="1"/>
    <n v="320.88"/>
    <n v="0"/>
    <m/>
    <m/>
    <m/>
    <m/>
    <m/>
    <m/>
    <m/>
    <m/>
    <m/>
    <m/>
    <m/>
  </r>
  <r>
    <s v="TRIFÁSICO"/>
    <s v="10/1674177-9"/>
    <n v="0"/>
    <n v="62955505016160"/>
    <s v="energisa_ms"/>
    <s v="Igreja do Evangelho Quadrangular"/>
    <x v="0"/>
    <s v="10/1674177-945689"/>
    <s v="SIM"/>
    <n v="417"/>
    <n v="616.82968749999986"/>
    <n v="499.07121057115091"/>
    <s v="Aprovado"/>
    <n v="438.44968749999998"/>
    <n v="320.69"/>
    <d v="2025-10-03T00:00:00"/>
    <d v="2025-10-13T00:00:00"/>
    <n v="320.69"/>
    <m/>
    <s v="62955505016160320,69"/>
    <s v="09/00012851444-3"/>
    <x v="1"/>
    <n v="320.69"/>
    <n v="0"/>
    <m/>
    <m/>
    <m/>
    <m/>
    <m/>
    <m/>
    <m/>
    <m/>
    <m/>
    <m/>
    <m/>
  </r>
  <r>
    <s v="TRIFÁSICO"/>
    <s v="10/191945-5"/>
    <n v="0"/>
    <n v="62955505215791"/>
    <s v="energisa_ms"/>
    <s v="Igreja do Evangelho Quadrangular"/>
    <x v="2"/>
    <s v="10/908866-745931"/>
    <s v="SIM"/>
    <n v="346"/>
    <n v="596.78300000000002"/>
    <n v="503.73834756643947"/>
    <s v="Aprovado"/>
    <n v="411.77300000000002"/>
    <n v="318.73"/>
    <d v="2025-09-10T00:00:00"/>
    <d v="2025-09-20T00:00:00"/>
    <n v="318.73"/>
    <m/>
    <s v="62955505215791318,73"/>
    <s v="09/00012749636-0"/>
    <x v="1"/>
    <n v="318.73"/>
    <n v="0"/>
    <m/>
    <m/>
    <m/>
    <m/>
    <m/>
    <m/>
    <m/>
    <m/>
    <m/>
    <m/>
    <m/>
  </r>
  <r>
    <s v="TRIFÁSICO"/>
    <s v="10/1672452-8"/>
    <n v="67992637973"/>
    <n v="62955505017213"/>
    <s v="energisa_ms"/>
    <s v="Igreja do Evangelho Quadrangular"/>
    <x v="4"/>
    <s v="10/504844-245931"/>
    <s v="SIM"/>
    <n v="376"/>
    <n v="586.5"/>
    <n v="481.57249999999999"/>
    <s v="Aprovado"/>
    <n v="419.71"/>
    <n v="314.77999999999997"/>
    <m/>
    <m/>
    <n v="314.77999999999997"/>
    <m/>
    <s v="62955505017213314,78"/>
    <m/>
    <x v="1"/>
    <n v="314.77999999999997"/>
    <n v="0"/>
    <m/>
    <m/>
    <m/>
    <m/>
    <m/>
    <m/>
    <m/>
    <m/>
    <m/>
    <m/>
    <m/>
  </r>
  <r>
    <s v="TRIFÁSICO"/>
    <s v="10/2599101-9"/>
    <n v="67991120875"/>
    <n v="62955505379395"/>
    <s v="energisa_ms"/>
    <s v="Igreja do Evangelho Quadrangular"/>
    <x v="3"/>
    <s v="10/69319-245809"/>
    <s v="SIM"/>
    <n v="362"/>
    <n v="540.12559999999985"/>
    <n v="440.90691399932814"/>
    <s v="Aprovado"/>
    <n v="418.19559999999996"/>
    <n v="313.64999999999998"/>
    <d v="2025-07-22T00:00:00"/>
    <d v="2025-08-02T00:00:00"/>
    <n v="313.64999999999998"/>
    <m/>
    <s v="62955505379395313,65"/>
    <s v="09/00012472764-3"/>
    <x v="1"/>
    <n v="313.64999999999998"/>
    <n v="0"/>
    <s v="05/08/2025"/>
    <m/>
    <m/>
    <m/>
    <m/>
    <m/>
    <m/>
    <m/>
    <m/>
    <m/>
    <m/>
  </r>
  <r>
    <s v="TRIFÁSICO"/>
    <s v="10/162736-3"/>
    <n v="67996150274"/>
    <n v="62955505197360"/>
    <s v="energisa_ms"/>
    <s v="Igreja do Evangelho Quadrangular"/>
    <x v="6"/>
    <s v="10/435964-245658"/>
    <s v="SIM"/>
    <n v="382"/>
    <n v="624.93000000000006"/>
    <n v="520.53500000000008"/>
    <s v="Aprovado"/>
    <n v="417.57999999999993"/>
    <n v="313.19"/>
    <m/>
    <m/>
    <n v="313.19"/>
    <m/>
    <s v="62955505197360313,19"/>
    <m/>
    <x v="1"/>
    <n v="313.19"/>
    <n v="0"/>
    <m/>
    <m/>
    <m/>
    <m/>
    <m/>
    <m/>
    <m/>
    <m/>
    <m/>
    <m/>
    <m/>
  </r>
  <r>
    <s v="TRIFÁSICO"/>
    <s v="10/1035655-8"/>
    <n v="67996135721"/>
    <n v="62955505182257"/>
    <s v="energisa_ms"/>
    <s v="Igreja do Evangelho Quadrangular"/>
    <x v="9"/>
    <s v="10/280638-845809"/>
    <s v="SIM"/>
    <n v="398"/>
    <n v="612.63416666666672"/>
    <n v="491.76962132637732"/>
    <s v="Aprovado"/>
    <n v="432.15416666666658"/>
    <n v="311.29000000000002"/>
    <d v="2025-11-06T00:00:00"/>
    <d v="2025-11-13T00:00:00"/>
    <n v="311.29000000000002"/>
    <m/>
    <s v="62955505182257311,29"/>
    <s v="09/00013026949-9"/>
    <x v="1"/>
    <n v="311.29000000000002"/>
    <n v="0"/>
    <m/>
    <m/>
    <m/>
    <m/>
    <m/>
    <m/>
    <m/>
    <m/>
    <m/>
    <m/>
    <m/>
  </r>
  <r>
    <s v="TRIFÁSICO"/>
    <s v="10/202838-9"/>
    <n v="67992637973"/>
    <n v="62955505016403"/>
    <s v="energisa_ms"/>
    <s v="Igreja do Evangelho Quadrangular"/>
    <x v="7"/>
    <s v="10/29964-445717"/>
    <s v="SIM"/>
    <n v="369"/>
    <n v="1175.72"/>
    <n v="1072.7449999999999"/>
    <s v="Aprovado"/>
    <n v="411.9"/>
    <n v="308.93"/>
    <m/>
    <m/>
    <n v="308.93"/>
    <m/>
    <s v="62955505016403308,93"/>
    <m/>
    <x v="1"/>
    <n v="308.93"/>
    <n v="0"/>
    <m/>
    <m/>
    <n v="283032"/>
    <n v="502"/>
    <s v="Igreja do Evangelho Quadrangular"/>
    <s v="'62955505000167'"/>
    <n v="118.54"/>
    <m/>
    <s v="A Unidade Consumidora 10/109074-5 economizou R$39,51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"/>
    <s v="gigiepeter@live.com; regiao371@gmail.com"/>
    <m/>
  </r>
  <r>
    <s v="BIFÁSICO"/>
    <s v="10/1939035-0"/>
    <s v=" 67 91285460"/>
    <n v="62955505419443"/>
    <s v="energisa_ms"/>
    <s v="Igreja do Evangelho Quadrangular"/>
    <x v="6"/>
    <s v="10/61344-845778"/>
    <s v="SIM"/>
    <n v="373"/>
    <n v="509.60999999999996"/>
    <n v="406.87249999999995"/>
    <s v="Aprovado"/>
    <n v="410.95000000000005"/>
    <n v="308.20999999999998"/>
    <m/>
    <m/>
    <n v="308.20999999999998"/>
    <m/>
    <s v="62955505419443308,21"/>
    <m/>
    <x v="1"/>
    <n v="308.20999999999998"/>
    <n v="0"/>
    <m/>
    <m/>
    <m/>
    <m/>
    <m/>
    <m/>
    <m/>
    <m/>
    <m/>
    <m/>
    <m/>
  </r>
  <r>
    <s v="TRIFÁSICO"/>
    <s v="10/1695011-5"/>
    <n v="0"/>
    <n v="62955505461210"/>
    <s v="energisa_ms"/>
    <s v="Igreja do Evangelho Quadrangular"/>
    <x v="0"/>
    <s v="10/3030784-745627"/>
    <s v="SIM"/>
    <n v="348"/>
    <n v="798.1615384615385"/>
    <n v="685.24504781558664"/>
    <s v="Aprovado"/>
    <n v="420.42153846153849"/>
    <n v="307.51"/>
    <d v="2025-10-03T00:00:00"/>
    <d v="2025-10-13T00:00:00"/>
    <n v="307.51"/>
    <m/>
    <s v="62955505461210307,51"/>
    <s v="09/00012851401-3"/>
    <x v="1"/>
    <n v="307.51"/>
    <n v="0"/>
    <m/>
    <m/>
    <m/>
    <m/>
    <m/>
    <m/>
    <m/>
    <m/>
    <m/>
    <m/>
    <m/>
  </r>
  <r>
    <s v="TRIFÁSICO"/>
    <s v="10/399338-3"/>
    <n v="67991060202"/>
    <n v="62955505213233"/>
    <s v="energisa_ms"/>
    <s v="Igreja do Evangelho Quadrangular"/>
    <x v="7"/>
    <s v="10/3092868-345778"/>
    <s v="SIM"/>
    <n v="409"/>
    <n v="638.5"/>
    <n v="536.08500000000004"/>
    <s v="Aprovado"/>
    <n v="409.66"/>
    <n v="307.25"/>
    <m/>
    <m/>
    <n v="307.25"/>
    <m/>
    <s v="62955505213233307,25"/>
    <m/>
    <x v="1"/>
    <n v="307.25"/>
    <n v="0"/>
    <m/>
    <m/>
    <m/>
    <m/>
    <m/>
    <m/>
    <m/>
    <m/>
    <m/>
    <m/>
    <m/>
  </r>
  <r>
    <s v="TRIFÁSICO"/>
    <s v="10/252817-2"/>
    <n v="67992637973"/>
    <n v="62955505274020"/>
    <s v="energisa_ms"/>
    <s v="Igreja do Evangelho Quadrangular"/>
    <x v="7"/>
    <s v="10/8777-545658"/>
    <s v="SIM"/>
    <n v="410"/>
    <n v="536.88"/>
    <n v="434.68999999999994"/>
    <s v="Aprovado"/>
    <n v="408.75999999999993"/>
    <n v="306.57"/>
    <m/>
    <m/>
    <n v="306.57"/>
    <m/>
    <s v="62955505274020306,57"/>
    <m/>
    <x v="1"/>
    <n v="306.57"/>
    <n v="0"/>
    <m/>
    <m/>
    <m/>
    <m/>
    <m/>
    <m/>
    <m/>
    <m/>
    <m/>
    <m/>
    <m/>
  </r>
  <r>
    <s v="TRIFÁSICO"/>
    <s v="10/15297-5"/>
    <n v="67996266684"/>
    <n v="62955505312487"/>
    <s v="energisa_ms"/>
    <s v="Igreja do Evangelho Quadrangular"/>
    <x v="7"/>
    <s v="10/8777-545870"/>
    <s v="SIM"/>
    <n v="409"/>
    <n v="544.73"/>
    <n v="442.61999999999995"/>
    <s v="Aprovado"/>
    <n v="408.44000000000005"/>
    <n v="306.33"/>
    <m/>
    <m/>
    <n v="306.33"/>
    <m/>
    <s v="62955505312487306,33"/>
    <m/>
    <x v="1"/>
    <n v="306.33"/>
    <n v="0"/>
    <m/>
    <m/>
    <m/>
    <m/>
    <m/>
    <m/>
    <m/>
    <m/>
    <m/>
    <m/>
    <m/>
  </r>
  <r>
    <s v="TRIFÁSICO"/>
    <s v="10/202838-9"/>
    <n v="67992637973"/>
    <n v="62955505016403"/>
    <s v="energisa_ms"/>
    <s v="Igreja do Evangelho Quadrangular"/>
    <x v="1"/>
    <s v="10/226667-445931"/>
    <s v="SIM"/>
    <n v="340"/>
    <n v="616.63199999999995"/>
    <n v="525.9130171999999"/>
    <s v="Aprovado"/>
    <n v="396.71200000000005"/>
    <n v="305.99"/>
    <d v="2025-09-10T00:00:00"/>
    <d v="2025-09-20T00:00:00"/>
    <n v="305.99"/>
    <m/>
    <s v="62955505016403305,99"/>
    <s v="09/00012683471-0"/>
    <x v="1"/>
    <n v="305.99"/>
    <n v="0"/>
    <m/>
    <m/>
    <m/>
    <m/>
    <m/>
    <m/>
    <m/>
    <m/>
    <m/>
    <m/>
    <m/>
  </r>
  <r>
    <s v="BIFÁSICO"/>
    <s v="10/142353-2"/>
    <n v="67992899434"/>
    <n v="62955505113875"/>
    <s v="energisa_ms"/>
    <s v="Igreja do Evangelho Quadrangular"/>
    <x v="7"/>
    <s v="10/1035655-845658"/>
    <s v="SIM"/>
    <n v="409"/>
    <n v="868.66"/>
    <n v="766.71749999999997"/>
    <s v="Aprovado"/>
    <n v="407.77"/>
    <n v="305.83"/>
    <m/>
    <m/>
    <n v="305.83"/>
    <m/>
    <s v="62955505113875305,83"/>
    <m/>
    <x v="1"/>
    <n v="305.83"/>
    <n v="0"/>
    <m/>
    <m/>
    <m/>
    <m/>
    <m/>
    <m/>
    <m/>
    <m/>
    <m/>
    <m/>
    <m/>
  </r>
  <r>
    <s v="TRIFÁSICO"/>
    <s v="10/127464-6"/>
    <n v="0"/>
    <n v="62955505331198"/>
    <s v="energisa_ms"/>
    <s v="Igreja do Evangelho Quadrangular"/>
    <x v="0"/>
    <s v="10/399338-345689"/>
    <s v="SIM"/>
    <n v="397"/>
    <n v="608.34657142857145"/>
    <n v="496.23446670490239"/>
    <s v="Aprovado"/>
    <n v="417.42657142857138"/>
    <n v="305.31"/>
    <d v="2025-10-03T00:00:00"/>
    <d v="2025-10-13T00:00:00"/>
    <n v="305.31"/>
    <m/>
    <s v="62955505331198305,31"/>
    <s v="09/00012851439-3"/>
    <x v="1"/>
    <n v="305.31"/>
    <n v="0"/>
    <m/>
    <m/>
    <m/>
    <m/>
    <m/>
    <m/>
    <m/>
    <m/>
    <m/>
    <m/>
    <m/>
  </r>
  <r>
    <s v="BIFÁSICO"/>
    <s v="10/61344-8"/>
    <n v="67999998719"/>
    <n v="62955505015431"/>
    <s v="energisa_ms"/>
    <s v="Igreja do Evangelho Quadrangular"/>
    <x v="7"/>
    <s v="10/162736-345717"/>
    <s v="SIM"/>
    <n v="409"/>
    <n v="1407.45"/>
    <n v="1306.1300000000001"/>
    <s v="Aprovado"/>
    <n v="405.28000000000003"/>
    <n v="303.95999999999998"/>
    <m/>
    <m/>
    <n v="303.95999999999998"/>
    <m/>
    <s v="62955505015431303,96"/>
    <m/>
    <x v="1"/>
    <n v="303.95999999999998"/>
    <n v="0"/>
    <m/>
    <m/>
    <m/>
    <m/>
    <m/>
    <m/>
    <m/>
    <m/>
    <m/>
    <m/>
    <m/>
  </r>
  <r>
    <s v="BIFÁSICO"/>
    <s v="10/61344-8"/>
    <n v="0"/>
    <n v="62955505015431"/>
    <s v="energisa_ms"/>
    <s v="Igreja do Evangelho Quadrangular"/>
    <x v="2"/>
    <s v="10/10232-745839"/>
    <s v="SIM"/>
    <n v="416"/>
    <n v="542.23"/>
    <n v="453.61712130628996"/>
    <s v="Aprovado"/>
    <n v="392.16"/>
    <n v="303.55"/>
    <d v="2025-09-10T00:00:00"/>
    <d v="2025-09-20T00:00:00"/>
    <n v="303.55"/>
    <m/>
    <s v="62955505015431303,55"/>
    <s v="09/00012749669-1"/>
    <x v="1"/>
    <n v="303.55"/>
    <n v="0"/>
    <m/>
    <m/>
    <m/>
    <m/>
    <m/>
    <m/>
    <m/>
    <m/>
    <m/>
    <m/>
    <m/>
  </r>
  <r>
    <s v="TRIFÁSICO"/>
    <s v="10/1695011-5"/>
    <n v="67991767866"/>
    <n v="62955505461210"/>
    <s v="energisa_ms"/>
    <s v="Igreja do Evangelho Quadrangular"/>
    <x v="6"/>
    <s v="10/2794432-145931"/>
    <s v="SIM"/>
    <n v="375"/>
    <n v="1174.8999999999999"/>
    <n v="1073.7349999999999"/>
    <s v="Aprovado"/>
    <n v="404.65999999999997"/>
    <n v="303.5"/>
    <m/>
    <m/>
    <n v="303.5"/>
    <m/>
    <s v="62955505461210303,5"/>
    <m/>
    <x v="1"/>
    <n v="303.5"/>
    <n v="0"/>
    <m/>
    <m/>
    <m/>
    <m/>
    <m/>
    <m/>
    <m/>
    <m/>
    <m/>
    <m/>
    <m/>
  </r>
  <r>
    <s v="TRIFÁSICO"/>
    <s v="10/2794432-1"/>
    <n v="0"/>
    <n v="62955505015199"/>
    <s v="energisa_ms"/>
    <s v="Igreja do Evangelho Quadrangular"/>
    <x v="0"/>
    <s v="10/510330-445627"/>
    <s v="SIM"/>
    <n v="342"/>
    <n v="571.65"/>
    <n v="460.68380772070168"/>
    <s v="Aprovado"/>
    <n v="413.16"/>
    <n v="302.19"/>
    <d v="2025-10-03T00:00:00"/>
    <d v="2025-10-13T00:00:00"/>
    <n v="302.19"/>
    <m/>
    <s v="62955505015199302,19"/>
    <s v="09/00012851408-8"/>
    <x v="1"/>
    <n v="302.19"/>
    <n v="0"/>
    <m/>
    <m/>
    <m/>
    <m/>
    <m/>
    <m/>
    <m/>
    <m/>
    <m/>
    <m/>
    <m/>
  </r>
  <r>
    <s v="TRIFÁSICO"/>
    <s v="10/1672452-8"/>
    <n v="67992637973"/>
    <n v="62955505017213"/>
    <s v="energisa_ms"/>
    <s v="Igreja do Evangelho Quadrangular"/>
    <x v="8"/>
    <s v="10/13786-945839"/>
    <s v="SIM"/>
    <n v="356"/>
    <n v="571.48439999999994"/>
    <n v="470.78079999999994"/>
    <s v="Aprovado"/>
    <n v="402.81440000000003"/>
    <n v="302.11"/>
    <m/>
    <m/>
    <n v="302.11"/>
    <m/>
    <s v="62955505017213302,11"/>
    <m/>
    <x v="1"/>
    <n v="302.11"/>
    <n v="0"/>
    <m/>
    <m/>
    <m/>
    <m/>
    <m/>
    <m/>
    <m/>
    <m/>
    <m/>
    <m/>
    <m/>
  </r>
  <r>
    <s v="TRIFÁSICO"/>
    <s v="10/1266128-6"/>
    <n v="67991306665"/>
    <n v="62955505379395"/>
    <s v="energisa_ms"/>
    <s v="Igreja do Evangelho Quadrangular"/>
    <x v="9"/>
    <s v="10/505854-045748"/>
    <s v="SIM"/>
    <n v="396"/>
    <n v="520.75470588235294"/>
    <n v="404.00409123399686"/>
    <s v="Aprovado"/>
    <n v="417.44470588235288"/>
    <n v="300.69"/>
    <d v="2025-11-06T00:00:00"/>
    <d v="2025-11-13T00:00:00"/>
    <n v="300.69"/>
    <m/>
    <s v="62955505379395300,69"/>
    <s v="09/00013026903-6"/>
    <x v="1"/>
    <n v="300.69"/>
    <n v="0"/>
    <m/>
    <m/>
    <m/>
    <m/>
    <m/>
    <m/>
    <m/>
    <m/>
    <m/>
    <m/>
    <m/>
  </r>
  <r>
    <s v="BIFÁSICO"/>
    <s v="10/1081489-5"/>
    <n v="0"/>
    <n v="62955505016918"/>
    <s v="energisa_ms"/>
    <s v="Igreja do Evangelho Quadrangular"/>
    <x v="2"/>
    <s v="10/283183-245870"/>
    <s v="SIM"/>
    <n v="412"/>
    <n v="503.83"/>
    <n v="416.0689944006271"/>
    <s v="Aprovado"/>
    <n v="388.39000000000004"/>
    <n v="300.63"/>
    <d v="2025-09-10T00:00:00"/>
    <d v="2025-09-20T00:00:00"/>
    <n v="300.63"/>
    <m/>
    <s v="62955505016918300,63"/>
    <s v="09/00012749670-9"/>
    <x v="1"/>
    <n v="300.63"/>
    <n v="0"/>
    <d v="2025-09-29T00:00:00"/>
    <m/>
    <m/>
    <m/>
    <m/>
    <m/>
    <m/>
    <m/>
    <m/>
    <m/>
    <m/>
  </r>
  <r>
    <s v="TRIFÁSICO"/>
    <s v="10/435964-2"/>
    <n v="67992021114"/>
    <n v="62955505357405"/>
    <s v="energisa_ms"/>
    <s v="Igreja do Evangelho Quadrangular"/>
    <x v="7"/>
    <s v="10/1081489-545658"/>
    <s v="SIM"/>
    <n v="400"/>
    <n v="500.08"/>
    <n v="399.92250000000001"/>
    <s v="Aprovado"/>
    <n v="400.63000000000005"/>
    <n v="300.47000000000003"/>
    <m/>
    <m/>
    <n v="300.47000000000003"/>
    <m/>
    <s v="62955505357405300,47"/>
    <m/>
    <x v="1"/>
    <n v="300.47000000000003"/>
    <n v="0"/>
    <m/>
    <m/>
    <m/>
    <m/>
    <m/>
    <m/>
    <m/>
    <m/>
    <m/>
    <m/>
    <m/>
  </r>
  <r>
    <s v="TRIFÁSICO"/>
    <s v="10/276283-9"/>
    <s v="46 999066691"/>
    <n v="62955505177504"/>
    <s v="energisa_ms"/>
    <s v="Igreja do Evangelho Quadrangular"/>
    <x v="6"/>
    <s v="10/435964-245901"/>
    <s v="SIM"/>
    <n v="385"/>
    <n v="580.44000000000005"/>
    <n v="480.28999999999996"/>
    <s v="Aprovado"/>
    <n v="400.6"/>
    <n v="300.45"/>
    <m/>
    <m/>
    <n v="300.45"/>
    <m/>
    <s v="62955505177504300,45"/>
    <m/>
    <x v="1"/>
    <n v="300.45"/>
    <n v="0"/>
    <m/>
    <m/>
    <m/>
    <m/>
    <m/>
    <m/>
    <m/>
    <m/>
    <m/>
    <m/>
    <m/>
  </r>
  <r>
    <s v="TRIFÁSICO"/>
    <s v="10/2794432-1"/>
    <n v="67991162146"/>
    <n v="62955505015199"/>
    <s v="energisa_ms"/>
    <s v="Igreja do Evangelho Quadrangular"/>
    <x v="9"/>
    <s v="10/8777-545809"/>
    <s v="SIM"/>
    <n v="344"/>
    <n v="538.71760000000006"/>
    <n v="422.68774834501488"/>
    <s v="Aprovado"/>
    <n v="414.86759999999998"/>
    <n v="298.83999999999997"/>
    <d v="2025-11-06T00:00:00"/>
    <d v="2025-11-13T00:00:00"/>
    <n v="298.83999999999997"/>
    <m/>
    <s v="62955505015199298,84"/>
    <s v="09/00013026946-5"/>
    <x v="1"/>
    <n v="298.83999999999997"/>
    <n v="0"/>
    <m/>
    <m/>
    <m/>
    <m/>
    <m/>
    <m/>
    <m/>
    <m/>
    <m/>
    <m/>
    <m/>
  </r>
  <r>
    <s v="TRIFÁSICO"/>
    <s v="10/260761-2"/>
    <n v="67996150274"/>
    <n v="62955505000167"/>
    <s v="energisa_ms"/>
    <s v="Igreja do Evangelho Quadrangular"/>
    <x v="6"/>
    <s v="10/127464-645658"/>
    <s v="SIM"/>
    <n v="402"/>
    <n v="582.76"/>
    <n v="484.86749999999995"/>
    <s v="Aprovado"/>
    <n v="391.57000000000005"/>
    <n v="293.68"/>
    <m/>
    <m/>
    <n v="293.68"/>
    <m/>
    <s v="62955505000167293,68"/>
    <m/>
    <x v="1"/>
    <n v="293.68"/>
    <n v="0"/>
    <m/>
    <m/>
    <m/>
    <m/>
    <m/>
    <m/>
    <m/>
    <m/>
    <m/>
    <m/>
    <s v="DEPÓSITO ÚNICO ITAU 30/05/2025"/>
  </r>
  <r>
    <s v="TRIFÁSICO"/>
    <s v="10/72605-9"/>
    <n v="67996071169"/>
    <n v="62955505136492"/>
    <s v="energisa_ms"/>
    <s v="Igreja do Evangelho Quadrangular"/>
    <x v="9"/>
    <s v="10/512142-145778"/>
    <s v="SIM"/>
    <n v="381"/>
    <n v="582.62351351351356"/>
    <n v="469.025217288026"/>
    <s v="Aprovado"/>
    <n v="406.17351351351351"/>
    <n v="292.58"/>
    <d v="2025-11-06T00:00:00"/>
    <d v="2025-11-13T00:00:00"/>
    <n v="292.58"/>
    <m/>
    <s v="62955505136492292,58"/>
    <s v="09/00013026926-7"/>
    <x v="1"/>
    <n v="292.58"/>
    <n v="0"/>
    <m/>
    <m/>
    <m/>
    <m/>
    <m/>
    <m/>
    <m/>
    <m/>
    <m/>
    <m/>
    <m/>
  </r>
  <r>
    <e v="#N/A"/>
    <s v="10/2247256-7"/>
    <e v="#N/A"/>
    <n v="62955505015199"/>
    <s v="energisa_ms"/>
    <s v="Igreja do Evangelho Quadrangular"/>
    <x v="4"/>
    <s v="10/504844-245658"/>
    <s v="SIM"/>
    <n v="377"/>
    <n v="1220.1699999999998"/>
    <n v="1122.7942668136714"/>
    <s v="Aprovado"/>
    <n v="389.5029327453143"/>
    <n v="292.13"/>
    <m/>
    <m/>
    <n v="292.13"/>
    <m/>
    <s v="62955505015199292,13"/>
    <m/>
    <x v="2"/>
    <m/>
    <n v="0"/>
    <m/>
    <s v="Cobrança Regular"/>
    <m/>
    <m/>
    <m/>
    <m/>
    <m/>
    <m/>
    <m/>
    <m/>
    <s v="VALOR DEVIDO - Cancelamento via email dia 23/04, tenho tudo formalizado por whatsapp com Danilo Silva"/>
  </r>
  <r>
    <s v="BIFÁSICO"/>
    <s v="10/61344-8"/>
    <n v="67999998719"/>
    <n v="62955505015431"/>
    <s v="energisa_ms"/>
    <s v="Igreja do Evangelho Quadrangular"/>
    <x v="8"/>
    <s v="10/109074-545658"/>
    <s v="SIM"/>
    <n v="396"/>
    <n v="663.87884955752224"/>
    <n v="566.61913716814161"/>
    <s v="Aprovado"/>
    <n v="389.03884955752221"/>
    <n v="291.77999999999997"/>
    <m/>
    <m/>
    <n v="291.77999999999997"/>
    <m/>
    <s v="62955505015431291,78"/>
    <m/>
    <x v="1"/>
    <n v="291.77999999999997"/>
    <n v="0"/>
    <m/>
    <m/>
    <m/>
    <m/>
    <m/>
    <m/>
    <m/>
    <m/>
    <m/>
    <m/>
    <m/>
  </r>
  <r>
    <s v="TRIFÁSICO"/>
    <s v="10/3139326-7"/>
    <n v="67999361728"/>
    <n v="62955505182257"/>
    <s v="energisa_ms"/>
    <s v="Igreja do Evangelho Quadrangular"/>
    <x v="9"/>
    <s v="10/40190-145717"/>
    <s v="SIM"/>
    <n v="375"/>
    <n v="585.88076923076926"/>
    <n v="472.69716578719351"/>
    <s v="Aprovado"/>
    <n v="404.69076923076932"/>
    <n v="291.51"/>
    <d v="2025-11-06T00:00:00"/>
    <d v="2025-11-13T00:00:00"/>
    <n v="291.51"/>
    <m/>
    <s v="62955505182257291,51"/>
    <s v="09/00013026870-7"/>
    <x v="1"/>
    <n v="291.51"/>
    <n v="0"/>
    <m/>
    <m/>
    <m/>
    <m/>
    <m/>
    <m/>
    <m/>
    <m/>
    <m/>
    <m/>
    <m/>
  </r>
  <r>
    <s v="TRIFÁSICO"/>
    <s v="10/191945-5"/>
    <s v="67 81355403"/>
    <n v="62955505215791"/>
    <s v="energisa_ms"/>
    <s v="Igreja do Evangelho Quadrangular"/>
    <x v="3"/>
    <s v="10/129490-945658"/>
    <s v="SIM"/>
    <n v="329"/>
    <n v="598.44410000000005"/>
    <n v="506.39084841625976"/>
    <s v="Aprovado"/>
    <n v="387.99409999999995"/>
    <n v="291"/>
    <d v="2025-07-22T00:00:00"/>
    <d v="2025-08-02T00:00:00"/>
    <n v="291"/>
    <m/>
    <s v="62955505215791291"/>
    <s v="09/00012472741-1"/>
    <x v="1"/>
    <n v="291"/>
    <n v="0"/>
    <s v="01/08/2025"/>
    <m/>
    <m/>
    <m/>
    <m/>
    <m/>
    <m/>
    <m/>
    <m/>
    <m/>
    <m/>
  </r>
  <r>
    <s v="TRIFÁSICO"/>
    <s v="10/76927-3"/>
    <s v="67 999373813"/>
    <n v="62955505058599"/>
    <s v="energisa_ms"/>
    <s v="Igreja do Evangelho Quadrangular"/>
    <x v="9"/>
    <s v="10/3170252-545748"/>
    <s v="SIM"/>
    <n v="375"/>
    <n v="580.14657894736843"/>
    <n v="467.93743116560086"/>
    <s v="Aprovado"/>
    <n v="401.20657894736831"/>
    <n v="289"/>
    <d v="2025-11-06T00:00:00"/>
    <d v="2025-11-13T00:00:00"/>
    <n v="289"/>
    <m/>
    <s v="62955505058599289"/>
    <s v="09/00013026900-2"/>
    <x v="1"/>
    <n v="289"/>
    <n v="0"/>
    <m/>
    <m/>
    <m/>
    <m/>
    <m/>
    <m/>
    <m/>
    <m/>
    <m/>
    <m/>
    <m/>
  </r>
  <r>
    <s v="TRIFÁSICO"/>
    <s v="10/1035655-8"/>
    <n v="67996135721"/>
    <n v="62955505182257"/>
    <s v="energisa_ms"/>
    <s v="Igreja do Evangelho Quadrangular"/>
    <x v="6"/>
    <s v="10/127464-645901"/>
    <s v="SIM"/>
    <n v="381"/>
    <n v="557.14"/>
    <n v="461.3075"/>
    <s v="Aprovado"/>
    <n v="383.33000000000004"/>
    <n v="287.5"/>
    <m/>
    <m/>
    <n v="287.5"/>
    <m/>
    <s v="62955505182257287,5"/>
    <m/>
    <x v="1"/>
    <n v="287.5"/>
    <n v="0"/>
    <m/>
    <m/>
    <m/>
    <m/>
    <m/>
    <m/>
    <m/>
    <m/>
    <m/>
    <m/>
    <m/>
  </r>
  <r>
    <s v="TRIFÁSICO"/>
    <s v="10/532723-4"/>
    <n v="67996446178"/>
    <n v="62955505359360"/>
    <s v="energisa_ms"/>
    <s v="Igreja do Evangelho Quadrangular"/>
    <x v="7"/>
    <s v="10/510330-445717"/>
    <s v="SIM"/>
    <n v="375"/>
    <n v="588.63000000000011"/>
    <n v="492.82499999999999"/>
    <s v="Aprovado"/>
    <n v="383.22000000000008"/>
    <n v="287.42"/>
    <m/>
    <m/>
    <n v="287.42"/>
    <m/>
    <s v="62955505359360287,42"/>
    <m/>
    <x v="1"/>
    <n v="287.42"/>
    <n v="0"/>
    <m/>
    <m/>
    <m/>
    <m/>
    <m/>
    <m/>
    <m/>
    <m/>
    <m/>
    <m/>
    <m/>
  </r>
  <r>
    <s v="TRIFÁSICO"/>
    <s v="10/191945-5"/>
    <s v="67 81355403"/>
    <n v="62955505215791"/>
    <s v="energisa_ms"/>
    <s v="Igreja do Evangelho Quadrangular"/>
    <x v="1"/>
    <s v="10/1117293-945717"/>
    <s v="SIM"/>
    <n v="314"/>
    <n v="574.04820000000007"/>
    <n v="490.26485092000001"/>
    <s v="Aprovado"/>
    <n v="370.16820000000001"/>
    <n v="286.38"/>
    <d v="2025-09-10T00:00:00"/>
    <d v="2025-09-20T00:00:00"/>
    <n v="286.38"/>
    <m/>
    <s v="62955505215791286,38"/>
    <s v="09/00012683472-8"/>
    <x v="1"/>
    <n v="286.38"/>
    <n v="0"/>
    <m/>
    <m/>
    <m/>
    <m/>
    <m/>
    <m/>
    <m/>
    <m/>
    <m/>
    <m/>
    <m/>
  </r>
  <r>
    <s v="TRIFÁSICO"/>
    <s v="10/399338-3"/>
    <n v="67991060202"/>
    <n v="62955505213233"/>
    <s v="energisa_ms"/>
    <s v="Igreja do Evangelho Quadrangular"/>
    <x v="8"/>
    <s v="10/1184751-445839"/>
    <s v="SIM"/>
    <n v="391"/>
    <n v="477.94838709677418"/>
    <n v="382.57379032258063"/>
    <s v="Aprovado"/>
    <n v="381.4983870967742"/>
    <n v="286.12"/>
    <m/>
    <m/>
    <n v="286.12"/>
    <m/>
    <s v="62955505213233286,12"/>
    <m/>
    <x v="1"/>
    <n v="286.12"/>
    <n v="0"/>
    <m/>
    <m/>
    <m/>
    <m/>
    <m/>
    <m/>
    <m/>
    <m/>
    <m/>
    <m/>
    <m/>
  </r>
  <r>
    <s v="TRIFÁSICO"/>
    <s v="10/435964-2"/>
    <n v="0"/>
    <n v="62955505357405"/>
    <s v="energisa_ms"/>
    <s v="Igreja do Evangelho Quadrangular"/>
    <x v="0"/>
    <s v="10/63920-345689"/>
    <s v="SIM"/>
    <n v="372"/>
    <n v="496.64461538461529"/>
    <n v="391.59129802625188"/>
    <s v="Aprovado"/>
    <n v="391.14461538461535"/>
    <n v="286.08999999999997"/>
    <d v="2025-10-03T00:00:00"/>
    <d v="2025-10-13T00:00:00"/>
    <n v="286.08999999999997"/>
    <m/>
    <s v="62955505357405286,09"/>
    <s v="09/00012851451-8"/>
    <x v="1"/>
    <n v="286.08999999999997"/>
    <n v="0"/>
    <m/>
    <m/>
    <m/>
    <m/>
    <m/>
    <m/>
    <m/>
    <m/>
    <m/>
    <m/>
    <m/>
  </r>
  <r>
    <s v="TRIFÁSICO"/>
    <s v="10/3030784-7"/>
    <n v="67996266684"/>
    <n v="62955505016080"/>
    <s v="energisa_ms"/>
    <s v="Igreja do Evangelho Quadrangular"/>
    <x v="5"/>
    <s v="10/341308-545748"/>
    <s v="SIM"/>
    <n v="356"/>
    <n v="565.29"/>
    <n v="470.06749999999994"/>
    <s v="Aprovado"/>
    <n v="380.89"/>
    <n v="285.67"/>
    <m/>
    <m/>
    <n v="285.67"/>
    <m/>
    <s v="62955505016080285,67"/>
    <m/>
    <x v="1"/>
    <n v="285.67"/>
    <n v="0"/>
    <m/>
    <m/>
    <m/>
    <m/>
    <m/>
    <m/>
    <m/>
    <m/>
    <m/>
    <m/>
    <m/>
  </r>
  <r>
    <s v="TRIFÁSICO"/>
    <s v="10/3092868-3"/>
    <s v=" 67 91285460"/>
    <n v="62955505419443"/>
    <s v="energisa_ms"/>
    <s v="Igreja do Evangelho Quadrangular"/>
    <x v="6"/>
    <s v="10/1939035-045658"/>
    <s v="SIM"/>
    <n v="366"/>
    <n v="484.45"/>
    <n v="389.38749999999999"/>
    <s v="Aprovado"/>
    <n v="380.25"/>
    <n v="285.19"/>
    <m/>
    <m/>
    <n v="285.19"/>
    <m/>
    <s v="62955505419443285,19"/>
    <m/>
    <x v="1"/>
    <n v="285.19"/>
    <n v="0"/>
    <m/>
    <m/>
    <m/>
    <m/>
    <m/>
    <m/>
    <m/>
    <m/>
    <m/>
    <m/>
    <m/>
  </r>
  <r>
    <s v="TRIFÁSICO"/>
    <s v="10/3092868-3"/>
    <s v=" 67 91285460"/>
    <n v="62955505419443"/>
    <s v="energisa_ms"/>
    <s v="Igreja do Evangelho Quadrangular"/>
    <x v="5"/>
    <s v="10/435964-245748"/>
    <s v="SIM"/>
    <n v="351"/>
    <n v="483.58999999999992"/>
    <n v="389.54500015249988"/>
    <s v="Aprovado"/>
    <n v="376.17999939000003"/>
    <n v="282.13"/>
    <m/>
    <m/>
    <n v="282.13"/>
    <m/>
    <s v="62955505419443282,13"/>
    <m/>
    <x v="1"/>
    <n v="282.13"/>
    <n v="0"/>
    <m/>
    <m/>
    <m/>
    <m/>
    <m/>
    <m/>
    <m/>
    <m/>
    <m/>
    <m/>
    <m/>
  </r>
  <r>
    <s v="BIFÁSICO"/>
    <s v="10/1939035-0"/>
    <s v=" 67 91285460"/>
    <n v="62955505419443"/>
    <s v="energisa_ms"/>
    <s v="Igreja do Evangelho Quadrangular"/>
    <x v="7"/>
    <s v="10/191945-545689"/>
    <s v="SIM"/>
    <n v="336"/>
    <n v="426.94"/>
    <n v="333.17750000000001"/>
    <s v="Aprovado"/>
    <n v="375.04999999999995"/>
    <n v="281.29000000000002"/>
    <m/>
    <m/>
    <n v="281.29000000000002"/>
    <m/>
    <s v="62955505419443281,29"/>
    <m/>
    <x v="1"/>
    <n v="281.29000000000002"/>
    <n v="0"/>
    <m/>
    <m/>
    <n v="283032"/>
    <n v="502"/>
    <s v="Igreja do Evangelho Quadrangular"/>
    <s v="'62955505016594'"/>
    <n v="119.09"/>
    <m/>
    <s v="A Unidade Consumidora 10/239312-2 economizou R$39,7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"/>
    <s v="monicadossantosfonseca@hotmail.com"/>
    <m/>
  </r>
  <r>
    <s v="BIFÁSICO"/>
    <s v="10/1081489-5"/>
    <n v="67996446178"/>
    <n v="62955505016918"/>
    <s v="energisa_ms"/>
    <s v="Igreja do Evangelho Quadrangular"/>
    <x v="1"/>
    <s v="10/78338-145839"/>
    <s v="SIM"/>
    <n v="379"/>
    <n v="465.8"/>
    <n v="383.20911799999999"/>
    <s v="Aprovado"/>
    <n v="363.05"/>
    <n v="280.45999999999998"/>
    <d v="2025-09-10T00:00:00"/>
    <d v="2025-09-20T00:00:00"/>
    <n v="280.45999999999998"/>
    <m/>
    <s v="62955505016918280,46"/>
    <s v="09/00012683493-4"/>
    <x v="1"/>
    <n v="280.45999999999998"/>
    <n v="0"/>
    <m/>
    <m/>
    <m/>
    <m/>
    <m/>
    <m/>
    <m/>
    <m/>
    <m/>
    <m/>
    <m/>
  </r>
  <r>
    <s v="TRIFÁSICO"/>
    <s v="10/510330-4"/>
    <n v="67992637973"/>
    <n v="62955505367117"/>
    <s v="energisa_ms"/>
    <s v="Igreja do Evangelho Quadrangular"/>
    <x v="8"/>
    <s v="10/532081-745748"/>
    <s v="SIM"/>
    <n v="326"/>
    <n v="564.66419999999994"/>
    <n v="472.30065000000002"/>
    <s v="Aprovado"/>
    <n v="369.45420000000001"/>
    <n v="277.08999999999997"/>
    <m/>
    <m/>
    <n v="277.08999999999997"/>
    <m/>
    <s v="62955505367117277,09"/>
    <m/>
    <x v="1"/>
    <n v="277.08999999999997"/>
    <n v="0"/>
    <m/>
    <m/>
    <m/>
    <m/>
    <m/>
    <m/>
    <m/>
    <m/>
    <m/>
    <m/>
    <m/>
  </r>
  <r>
    <s v="TRIFÁSICO"/>
    <s v="10/504844-2"/>
    <n v="0"/>
    <n v="62955505354481"/>
    <s v="energisa_ms"/>
    <s v="Igreja do Evangelho Quadrangular"/>
    <x v="0"/>
    <s v="10/81222-245689"/>
    <s v="SIM"/>
    <n v="360"/>
    <n v="527.53658536585374"/>
    <n v="425.91518139700668"/>
    <s v="Aprovado"/>
    <n v="378.36658536585367"/>
    <n v="276.75"/>
    <d v="2025-10-03T00:00:00"/>
    <d v="2025-10-13T00:00:00"/>
    <n v="276.75"/>
    <m/>
    <s v="62955505354481276,75"/>
    <s v="09/00012851442-7"/>
    <x v="1"/>
    <n v="276.75"/>
    <n v="0"/>
    <m/>
    <m/>
    <m/>
    <m/>
    <m/>
    <m/>
    <m/>
    <m/>
    <m/>
    <m/>
    <m/>
  </r>
  <r>
    <s v="TRIFÁSICO"/>
    <s v="10/260761-2"/>
    <n v="67996150274"/>
    <n v="62955505000167"/>
    <s v="energisa_ms"/>
    <s v="Igreja do Evangelho Quadrangular"/>
    <x v="1"/>
    <s v="10/3054052-045717"/>
    <s v="SIM"/>
    <n v="356"/>
    <n v="765.80719211822657"/>
    <n v="683.63446224630547"/>
    <s v="Aprovado"/>
    <n v="358.20719211822643"/>
    <n v="276.02999999999997"/>
    <d v="2025-09-10T00:00:00"/>
    <d v="2025-09-20T00:00:00"/>
    <n v="276.02999999999997"/>
    <m/>
    <s v="62955505000167276,03"/>
    <s v="09/00012683514-7"/>
    <x v="1"/>
    <n v="276.02999999999997"/>
    <n v="0"/>
    <m/>
    <m/>
    <m/>
    <m/>
    <m/>
    <m/>
    <m/>
    <m/>
    <m/>
    <m/>
    <m/>
  </r>
  <r>
    <s v="TRIFÁSICO"/>
    <s v="10/1695011-5"/>
    <n v="67991767866"/>
    <n v="62955505461210"/>
    <s v="energisa_ms"/>
    <s v="Igreja do Evangelho Quadrangular"/>
    <x v="4"/>
    <s v="10/142353-245870"/>
    <s v="SIM"/>
    <n v="339"/>
    <n v="1111.72"/>
    <n v="1020.175"/>
    <s v="Aprovado"/>
    <n v="366.18000000000006"/>
    <n v="274.64"/>
    <m/>
    <m/>
    <n v="274.64"/>
    <m/>
    <s v="62955505461210274,64"/>
    <m/>
    <x v="1"/>
    <n v="274.64"/>
    <n v="0"/>
    <m/>
    <m/>
    <m/>
    <m/>
    <m/>
    <m/>
    <m/>
    <m/>
    <m/>
    <m/>
    <m/>
  </r>
  <r>
    <s v="BIFÁSICO"/>
    <s v="10/61344-8"/>
    <n v="67999998719"/>
    <n v="62955505015431"/>
    <s v="energisa_ms"/>
    <s v="Igreja do Evangelho Quadrangular"/>
    <x v="1"/>
    <s v="10/952579-145748"/>
    <s v="SIM"/>
    <n v="375"/>
    <n v="474.57"/>
    <n v="392.85083799999995"/>
    <s v="Aprovado"/>
    <n v="356.23"/>
    <n v="274.51"/>
    <d v="2025-09-10T00:00:00"/>
    <d v="2025-09-20T00:00:00"/>
    <n v="274.51"/>
    <m/>
    <s v="62955505015431274,51"/>
    <s v="09/00012683492-6"/>
    <x v="1"/>
    <n v="356.23"/>
    <n v="81.720000000000027"/>
    <d v="2025-09-25T00:00:00"/>
    <m/>
    <m/>
    <m/>
    <m/>
    <m/>
    <m/>
    <m/>
    <m/>
    <m/>
    <m/>
  </r>
  <r>
    <s v="TRIFÁSICO"/>
    <s v="10/3123706-8"/>
    <n v="67999050448"/>
    <n v="62955505375721"/>
    <s v="energisa_ms"/>
    <s v="Igreja do Evangelho Quadrangular"/>
    <x v="0"/>
    <s v="10/3123706-845689"/>
    <s v="SIM"/>
    <n v="333"/>
    <n v="514.93521739130438"/>
    <n v="420.91228708522294"/>
    <s v="Aprovado"/>
    <n v="350.07521739130436"/>
    <n v="256.05"/>
    <d v="2025-10-03T00:00:00"/>
    <d v="2025-10-13T00:00:00"/>
    <n v="256.05"/>
    <m/>
    <s v="62955505375721256,05"/>
    <s v="09/00012851452-6"/>
    <x v="2"/>
    <m/>
    <n v="0"/>
    <m/>
    <s v="Cobrança Regular"/>
    <m/>
    <m/>
    <m/>
    <m/>
    <m/>
    <m/>
    <m/>
    <m/>
    <m/>
  </r>
  <r>
    <s v="TRIFÁSICO"/>
    <s v="10/3092868-3"/>
    <s v="67 9967-7090"/>
    <n v="62955505419443"/>
    <s v="energisa_ms"/>
    <s v="Igreja do Evangelho Quadrangular"/>
    <x v="9"/>
    <s v="10/952579-145809"/>
    <s v="SIM"/>
    <n v="312"/>
    <n v="500.21199999999999"/>
    <n v="394.26894764640161"/>
    <s v="Aprovado"/>
    <n v="378.80200000000008"/>
    <n v="272.86"/>
    <d v="2025-11-06T00:00:00"/>
    <d v="2025-11-13T00:00:00"/>
    <n v="272.86"/>
    <m/>
    <s v="62955505419443272,86"/>
    <s v="09/00013026952-3"/>
    <x v="1"/>
    <n v="272.86"/>
    <n v="0"/>
    <m/>
    <m/>
    <m/>
    <m/>
    <m/>
    <m/>
    <m/>
    <m/>
    <m/>
    <m/>
    <m/>
  </r>
  <r>
    <s v="TRIFÁSICO"/>
    <s v="10/260761-2"/>
    <n v="67996150274"/>
    <n v="62955505000167"/>
    <s v="energisa_ms"/>
    <s v="Igreja do Evangelho Quadrangular"/>
    <x v="5"/>
    <s v="10/395471-645901"/>
    <s v="SIM"/>
    <n v="373"/>
    <n v="628.79999999999995"/>
    <n v="538.04500632499992"/>
    <s v="Aprovado"/>
    <n v="729.75997470000004"/>
    <n v="272.26"/>
    <m/>
    <m/>
    <n v="272.26"/>
    <m/>
    <s v="62955505000167272,26"/>
    <m/>
    <x v="1"/>
    <n v="272.26"/>
    <n v="0"/>
    <m/>
    <m/>
    <m/>
    <m/>
    <m/>
    <m/>
    <m/>
    <m/>
    <m/>
    <m/>
    <m/>
  </r>
  <r>
    <s v="TRIFÁSICO"/>
    <s v="10/399338-3"/>
    <n v="0"/>
    <n v="62955505213233"/>
    <s v="energisa_ms"/>
    <s v="Igreja do Evangelho Quadrangular"/>
    <x v="0"/>
    <s v="10/280638-845689"/>
    <s v="SIM"/>
    <n v="350"/>
    <n v="477.1672093023256"/>
    <n v="378.34423327349157"/>
    <s v="Aprovado"/>
    <n v="367.94720930232552"/>
    <n v="269.12"/>
    <d v="2025-10-03T00:00:00"/>
    <d v="2025-10-13T00:00:00"/>
    <n v="269.12"/>
    <m/>
    <s v="62955505213233269,12"/>
    <s v="09/00012851435-1"/>
    <x v="1"/>
    <n v="269.12"/>
    <n v="0"/>
    <m/>
    <m/>
    <m/>
    <m/>
    <m/>
    <m/>
    <m/>
    <m/>
    <m/>
    <m/>
    <m/>
  </r>
  <r>
    <s v="TRIFÁSICO"/>
    <s v="10/532723-4"/>
    <n v="67996446178"/>
    <n v="62955505359360"/>
    <s v="energisa_ms"/>
    <s v="Igreja do Evangelho Quadrangular"/>
    <x v="0"/>
    <s v="10/5202-745627"/>
    <s v="SIM"/>
    <n v="289"/>
    <n v="541.48439999999994"/>
    <n v="447.87261544129956"/>
    <s v="Aprovado"/>
    <n v="348.5444"/>
    <n v="254.93"/>
    <d v="2025-10-03T00:00:00"/>
    <d v="2025-10-13T00:00:00"/>
    <n v="254.93"/>
    <m/>
    <s v="62955505359360254,93"/>
    <s v="09/00012851411-2"/>
    <x v="2"/>
    <m/>
    <n v="0"/>
    <m/>
    <s v="Cobrança Regular"/>
    <m/>
    <m/>
    <m/>
    <m/>
    <m/>
    <m/>
    <m/>
    <m/>
    <m/>
  </r>
  <r>
    <s v="TRIFÁSICO"/>
    <s v="10/435964-2"/>
    <n v="67992021114"/>
    <n v="62955505357405"/>
    <s v="energisa_ms"/>
    <s v="Igreja do Evangelho Quadrangular"/>
    <x v="9"/>
    <s v="10/3125732-245717"/>
    <s v="SIM"/>
    <n v="351"/>
    <n v="527.76682926829278"/>
    <n v="423.52007920550278"/>
    <s v="Aprovado"/>
    <n v="372.73682926829275"/>
    <n v="268.49"/>
    <d v="2025-11-06T00:00:00"/>
    <d v="2025-11-13T00:00:00"/>
    <n v="268.49"/>
    <m/>
    <s v="62955505357405268,49"/>
    <s v="09/00013026891-3"/>
    <x v="1"/>
    <n v="268.49"/>
    <n v="0"/>
    <m/>
    <m/>
    <m/>
    <m/>
    <m/>
    <m/>
    <m/>
    <m/>
    <m/>
    <m/>
    <m/>
  </r>
  <r>
    <s v="TRIFÁSICO"/>
    <s v="10/276283-9"/>
    <n v="0"/>
    <n v="62955505088404"/>
    <s v="energisa_ms"/>
    <s v="Igreja do Evangelho Quadrangular"/>
    <x v="0"/>
    <s v="10/1081489-545689"/>
    <s v="SIM"/>
    <n v="309"/>
    <n v="561.00425531914891"/>
    <n v="462.45602347753061"/>
    <s v="Aprovado"/>
    <n v="366.92425531914893"/>
    <n v="268.38"/>
    <d v="2025-10-03T00:00:00"/>
    <d v="2025-10-13T00:00:00"/>
    <n v="268.38"/>
    <m/>
    <s v="62955505088404268,38"/>
    <s v="09/00012851431-0"/>
    <x v="1"/>
    <n v="268.38"/>
    <n v="0"/>
    <m/>
    <m/>
    <m/>
    <m/>
    <m/>
    <m/>
    <m/>
    <m/>
    <m/>
    <m/>
    <m/>
  </r>
  <r>
    <s v="BIFÁSICO"/>
    <s v="10/1939035-0"/>
    <s v=" 67 91285460"/>
    <n v="62955505419443"/>
    <s v="energisa_ms"/>
    <s v="Igreja do Evangelho Quadrangular"/>
    <x v="5"/>
    <s v="10/1939035-045870"/>
    <s v="SIM"/>
    <n v="343"/>
    <n v="444.58000000000004"/>
    <n v="355.32250772500004"/>
    <s v="Aprovado"/>
    <n v="357.02996910000002"/>
    <n v="267.77"/>
    <m/>
    <m/>
    <n v="267.77"/>
    <m/>
    <s v="62955505419443267,77"/>
    <m/>
    <x v="1"/>
    <n v="267.77"/>
    <n v="0"/>
    <m/>
    <m/>
    <m/>
    <m/>
    <m/>
    <m/>
    <m/>
    <m/>
    <m/>
    <m/>
    <m/>
  </r>
  <r>
    <s v="TRIFÁSICO"/>
    <s v="10/3139326-7"/>
    <n v="0"/>
    <n v="62955505182257"/>
    <s v="energisa_ms"/>
    <s v="Igreja do Evangelho Quadrangular"/>
    <x v="2"/>
    <s v="10/987178-145658"/>
    <s v="SIM"/>
    <n v="344"/>
    <n v="514.45142857142855"/>
    <n v="436.4019053680903"/>
    <s v="Aprovado"/>
    <n v="345.41142857142859"/>
    <n v="267.36"/>
    <d v="2025-09-10T00:00:00"/>
    <d v="2025-09-20T00:00:00"/>
    <n v="267.36"/>
    <m/>
    <s v="62955505182257267,36"/>
    <s v="09/00012749680-8"/>
    <x v="1"/>
    <n v="345.41"/>
    <n v="78.050000000000011"/>
    <d v="2025-10-02T00:00:00"/>
    <m/>
    <m/>
    <m/>
    <m/>
    <m/>
    <m/>
    <m/>
    <m/>
    <m/>
    <m/>
  </r>
  <r>
    <s v="TRIFÁSICO"/>
    <s v="10/532723-4"/>
    <n v="67996446178"/>
    <n v="62955505359360"/>
    <s v="energisa_ms"/>
    <s v="Igreja do Evangelho Quadrangular"/>
    <x v="6"/>
    <s v="10/399338-345901"/>
    <s v="SIM"/>
    <n v="350"/>
    <n v="553.09"/>
    <n v="464.05500000000006"/>
    <s v="Aprovado"/>
    <n v="356.14"/>
    <n v="267.11"/>
    <m/>
    <m/>
    <n v="267.11"/>
    <m/>
    <s v="62955505359360267,11"/>
    <m/>
    <x v="1"/>
    <n v="267.11"/>
    <n v="0"/>
    <m/>
    <m/>
    <m/>
    <m/>
    <m/>
    <m/>
    <m/>
    <m/>
    <m/>
    <m/>
    <m/>
  </r>
  <r>
    <s v="TRIFÁSICO"/>
    <s v="10/8777-5"/>
    <s v="67 992319530"/>
    <n v="62955505122432"/>
    <s v="energisa_ms"/>
    <s v="Igreja do Evangelho Quadrangular"/>
    <x v="8"/>
    <s v="10/3040565-845778"/>
    <s v="SIM"/>
    <n v="364"/>
    <n v="628.42403508771929"/>
    <n v="539.50302631578938"/>
    <s v="Aprovado"/>
    <n v="355.68403508771928"/>
    <n v="266.76"/>
    <m/>
    <m/>
    <n v="266.76"/>
    <m/>
    <s v="62955505122432266,76"/>
    <m/>
    <x v="1"/>
    <n v="355.68"/>
    <n v="88.920000000000016"/>
    <d v="2025-09-26T00:00:00"/>
    <m/>
    <m/>
    <m/>
    <m/>
    <m/>
    <m/>
    <m/>
    <m/>
    <m/>
    <m/>
  </r>
  <r>
    <s v="TRIFÁSICO"/>
    <s v="10/931327-1"/>
    <s v="67 992158055"/>
    <n v="62955505402710"/>
    <s v="energisa_ms"/>
    <s v="Igreja do Evangelho Quadrangular"/>
    <x v="4"/>
    <s v="10/3040565-845839"/>
    <s v="SIM"/>
    <n v="342"/>
    <n v="554.96"/>
    <n v="466.09750000000003"/>
    <s v="Aprovado"/>
    <n v="355.45"/>
    <n v="266.58999999999997"/>
    <m/>
    <m/>
    <n v="266.58999999999997"/>
    <m/>
    <s v="62955505402710266,59"/>
    <m/>
    <x v="1"/>
    <n v="266.58999999999997"/>
    <n v="0"/>
    <m/>
    <m/>
    <m/>
    <m/>
    <m/>
    <m/>
    <m/>
    <m/>
    <m/>
    <m/>
    <m/>
  </r>
  <r>
    <s v="TRIFÁSICO"/>
    <s v="10/504844-2"/>
    <n v="67992637973"/>
    <n v="62955505354481"/>
    <s v="energisa_ms"/>
    <s v="Igreja do Evangelho Quadrangular"/>
    <x v="8"/>
    <s v="10/280638-845778"/>
    <s v="SIM"/>
    <n v="364"/>
    <n v="596.80471698113217"/>
    <n v="508.0385377358491"/>
    <s v="Aprovado"/>
    <n v="355.06471698113211"/>
    <n v="266.3"/>
    <m/>
    <m/>
    <n v="266.3"/>
    <m/>
    <s v="62955505354481266,3"/>
    <m/>
    <x v="1"/>
    <n v="266.3"/>
    <n v="0"/>
    <m/>
    <m/>
    <m/>
    <m/>
    <m/>
    <m/>
    <m/>
    <m/>
    <m/>
    <m/>
    <m/>
  </r>
  <r>
    <s v="TRIFÁSICO"/>
    <s v="10/260761-2"/>
    <n v="67996150274"/>
    <n v="62955505000167"/>
    <s v="energisa_ms"/>
    <s v="Igreja do Evangelho Quadrangular"/>
    <x v="8"/>
    <s v="10/72605-945658"/>
    <s v="SIM"/>
    <n v="364"/>
    <n v="607.70000000000005"/>
    <n v="518.94250000000011"/>
    <s v="Aprovado"/>
    <n v="355.03"/>
    <n v="266.27"/>
    <m/>
    <m/>
    <n v="266.27"/>
    <m/>
    <s v="62955505000167266,27"/>
    <m/>
    <x v="1"/>
    <n v="355.03"/>
    <n v="88.759999999999991"/>
    <d v="2025-09-25T00:00:00"/>
    <m/>
    <m/>
    <m/>
    <m/>
    <m/>
    <m/>
    <m/>
    <m/>
    <m/>
    <m/>
  </r>
  <r>
    <s v="TRIFÁSICO"/>
    <s v="10/1266128-6"/>
    <n v="67991306665"/>
    <n v="62955505379395"/>
    <s v="energisa_ms"/>
    <s v="Igreja do Evangelho Quadrangular"/>
    <x v="4"/>
    <s v="10/1698130-045717"/>
    <s v="SIM"/>
    <n v="361"/>
    <n v="513.48"/>
    <n v="425.57"/>
    <s v="Aprovado"/>
    <n v="351.64000000000004"/>
    <n v="263.73"/>
    <m/>
    <m/>
    <n v="263.73"/>
    <m/>
    <s v="62955505379395263,73"/>
    <m/>
    <x v="1"/>
    <n v="263.73"/>
    <n v="0"/>
    <m/>
    <m/>
    <m/>
    <m/>
    <m/>
    <m/>
    <m/>
    <m/>
    <m/>
    <m/>
    <m/>
  </r>
  <r>
    <s v="TRIFÁSICO"/>
    <s v="10/489076-0"/>
    <n v="67996266684"/>
    <n v="62955505016080"/>
    <s v="energisa_ms"/>
    <s v="Igreja do Evangelho Quadrangular"/>
    <x v="5"/>
    <s v="10/3030784-745809"/>
    <s v="SIM"/>
    <n v="361"/>
    <n v="598.17999999999995"/>
    <n v="510.27"/>
    <s v="Aprovado"/>
    <n v="351.64000000000004"/>
    <n v="263.73"/>
    <m/>
    <m/>
    <n v="263.73"/>
    <m/>
    <s v="62955505016080263,73"/>
    <m/>
    <x v="1"/>
    <n v="263.73"/>
    <n v="0"/>
    <m/>
    <m/>
    <m/>
    <m/>
    <m/>
    <m/>
    <m/>
    <m/>
    <m/>
    <m/>
    <m/>
  </r>
  <r>
    <s v="BIFÁSICO"/>
    <s v="10/1081489-5"/>
    <n v="67996446178"/>
    <n v="62955505016918"/>
    <s v="energisa_ms"/>
    <s v="Igreja do Evangelho Quadrangular"/>
    <x v="5"/>
    <s v="10/952579-145901"/>
    <s v="SIM"/>
    <n v="361"/>
    <n v="604.81999999999994"/>
    <n v="516.91"/>
    <s v="Aprovado"/>
    <n v="351.64000000000004"/>
    <n v="263.73"/>
    <m/>
    <m/>
    <n v="263.73"/>
    <m/>
    <s v="62955505016918263,73"/>
    <e v="#N/A"/>
    <x v="1"/>
    <n v="351.64"/>
    <n v="87.909999999999968"/>
    <d v="2025-09-29T00:00:00"/>
    <m/>
    <m/>
    <m/>
    <m/>
    <m/>
    <m/>
    <m/>
    <m/>
    <m/>
    <m/>
  </r>
  <r>
    <s v="TRIFÁSICO"/>
    <s v="10/3139326-7"/>
    <n v="67999361728"/>
    <n v="62955505182257"/>
    <s v="energisa_ms"/>
    <s v="Igreja do Evangelho Quadrangular"/>
    <x v="5"/>
    <s v="10/1939035-045778"/>
    <s v="SIM"/>
    <n v="361"/>
    <n v="652.91"/>
    <n v="565.00000019499998"/>
    <s v="Aprovado"/>
    <n v="351.63999921999999"/>
    <n v="263.73"/>
    <m/>
    <m/>
    <n v="263.73"/>
    <m/>
    <s v="62955505182257263,73"/>
    <e v="#N/A"/>
    <x v="1"/>
    <n v="351.64"/>
    <n v="87.909999999999968"/>
    <d v="2025-10-02T00:00:00"/>
    <m/>
    <m/>
    <m/>
    <m/>
    <m/>
    <m/>
    <m/>
    <m/>
    <m/>
    <m/>
  </r>
  <r>
    <s v="BIFÁSICO"/>
    <s v="10/142353-2"/>
    <n v="67992899434"/>
    <n v="62955505113875"/>
    <s v="energisa_ms"/>
    <s v="Igreja do Evangelho Quadrangular"/>
    <x v="5"/>
    <s v="10/1117293-945658"/>
    <s v="SIM"/>
    <n v="361"/>
    <n v="582.72"/>
    <n v="494.93249999999995"/>
    <s v="Aprovado"/>
    <n v="351.15000000000003"/>
    <n v="263.36"/>
    <m/>
    <m/>
    <n v="263.36"/>
    <m/>
    <s v="62955505113875263,36"/>
    <e v="#N/A"/>
    <x v="1"/>
    <n v="351.15"/>
    <n v="87.789999999999964"/>
    <d v="2025-10-03T00:00:00"/>
    <m/>
    <m/>
    <m/>
    <m/>
    <m/>
    <m/>
    <m/>
    <m/>
    <m/>
    <m/>
  </r>
  <r>
    <s v="BIFÁSICO"/>
    <s v="10/3556072-1"/>
    <n v="0"/>
    <n v="62955505016403"/>
    <s v="energisa_ms"/>
    <s v="Igreja do Evangelho Quadrangular"/>
    <x v="9"/>
    <s v="10/2338577-645717"/>
    <s v="SIM"/>
    <n v="367"/>
    <n v="417.69"/>
    <n v="316.97471184667899"/>
    <s v="Aprovado"/>
    <n v="360.11"/>
    <n v="259.39"/>
    <d v="2025-11-06T00:00:00"/>
    <d v="2025-11-13T00:00:00"/>
    <n v="259.39"/>
    <m/>
    <s v="62955505016403259,39"/>
    <s v="09/00013026877-2"/>
    <x v="1"/>
    <n v="259.39"/>
    <n v="0"/>
    <m/>
    <m/>
    <m/>
    <m/>
    <m/>
    <m/>
    <m/>
    <m/>
    <m/>
    <m/>
    <m/>
  </r>
  <r>
    <s v="TRIFÁSICO"/>
    <s v="10/3123706-8"/>
    <n v="67999050448"/>
    <n v="62955505375721"/>
    <s v="energisa_ms"/>
    <s v="Igreja do Evangelho Quadrangular"/>
    <x v="9"/>
    <s v="10/512142-145717"/>
    <s v="SIM"/>
    <n v="342"/>
    <n v="520.62372093023248"/>
    <n v="420.2513975650819"/>
    <s v="Aprovado"/>
    <n v="358.88372093023258"/>
    <n v="258.51"/>
    <d v="2025-11-06T00:00:00"/>
    <d v="2025-11-13T00:00:00"/>
    <n v="258.51"/>
    <m/>
    <s v="62955505375721258,51"/>
    <s v="09/00013026884-8"/>
    <x v="1"/>
    <n v="258.51"/>
    <n v="0"/>
    <d v="2025-11-14T00:00:00"/>
    <m/>
    <m/>
    <m/>
    <m/>
    <m/>
    <m/>
    <m/>
    <m/>
    <m/>
    <m/>
  </r>
  <r>
    <s v="BIFÁSICO"/>
    <s v="10/1017804-4"/>
    <n v="6792157907"/>
    <n v="62955505878987"/>
    <s v="energisa_ms"/>
    <s v="Igreja do Evangelho Quadrangular"/>
    <x v="0"/>
    <s v="10/511753-645627"/>
    <s v="SIM"/>
    <n v="145"/>
    <n v="302.64299999999997"/>
    <n v="255.59785734771339"/>
    <s v="Aprovado"/>
    <n v="175.16300000000001"/>
    <n v="128.12"/>
    <d v="2025-10-03T00:00:00"/>
    <d v="2025-10-13T00:00:00"/>
    <n v="128.12"/>
    <m/>
    <s v="62955505878987128,12"/>
    <s v="09/00012851409-6"/>
    <x v="2"/>
    <m/>
    <n v="0"/>
    <m/>
    <s v="Cobrança Regular"/>
    <m/>
    <m/>
    <m/>
    <m/>
    <m/>
    <m/>
    <m/>
    <m/>
    <m/>
  </r>
  <r>
    <s v="BIFÁSICO"/>
    <s v="10/109074-5"/>
    <s v="67 91751433"/>
    <n v="62955505000167"/>
    <s v="energisa_ms"/>
    <s v="Igreja do Evangelho Quadrangular"/>
    <x v="0"/>
    <s v="10/2338577-645689"/>
    <s v="SIM"/>
    <n v="140"/>
    <n v="462.6951028806584"/>
    <n v="423.16961371651411"/>
    <s v="Aprovado"/>
    <n v="147.16510288065842"/>
    <n v="107.64"/>
    <d v="2025-10-03T00:00:00"/>
    <d v="2025-10-13T00:00:00"/>
    <n v="107.64"/>
    <m/>
    <s v="62955505000167107,64"/>
    <s v="09/00012851454-2"/>
    <x v="2"/>
    <m/>
    <n v="0"/>
    <m/>
    <s v="Cobrança Regular"/>
    <m/>
    <m/>
    <m/>
    <m/>
    <m/>
    <m/>
    <m/>
    <m/>
    <m/>
  </r>
  <r>
    <s v="TRIFÁSICO"/>
    <s v="10/280638-8"/>
    <s v="67 81355403"/>
    <n v="62955505843253"/>
    <s v="energisa_ms"/>
    <s v="Igreja do Evangelho Quadrangular"/>
    <x v="9"/>
    <s v="10/512142-145748"/>
    <s v="SIM"/>
    <n v="334"/>
    <n v="522.48818181818183"/>
    <n v="423.8681996185253"/>
    <s v="Aprovado"/>
    <n v="352.61818181818182"/>
    <n v="254"/>
    <d v="2025-11-06T00:00:00"/>
    <d v="2025-11-13T00:00:00"/>
    <n v="254"/>
    <m/>
    <s v="62955505843253254"/>
    <s v="09/00013026906-9"/>
    <x v="1"/>
    <n v="254"/>
    <n v="0"/>
    <m/>
    <m/>
    <m/>
    <m/>
    <m/>
    <m/>
    <m/>
    <m/>
    <m/>
    <m/>
    <m/>
  </r>
  <r>
    <s v="TRIFÁSICO"/>
    <s v="10/1035655-8"/>
    <n v="0"/>
    <n v="62955505182257"/>
    <s v="energisa_ms"/>
    <s v="Igreja do Evangelho Quadrangular"/>
    <x v="0"/>
    <s v="10/513413-545627"/>
    <s v="SIM"/>
    <n v="286"/>
    <n v="540.70839999999998"/>
    <n v="447.91470775827781"/>
    <s v="Aprovado"/>
    <n v="345.4984"/>
    <n v="252.7"/>
    <d v="2025-10-03T00:00:00"/>
    <d v="2025-10-13T00:00:00"/>
    <n v="252.7"/>
    <m/>
    <s v="62955505182257252,7"/>
    <s v="09/00012851410-4"/>
    <x v="1"/>
    <n v="252.7"/>
    <n v="0"/>
    <m/>
    <m/>
    <m/>
    <m/>
    <m/>
    <m/>
    <m/>
    <m/>
    <m/>
    <m/>
    <m/>
  </r>
  <r>
    <s v="TRIFÁSICO"/>
    <s v="10/931327-1"/>
    <s v="67 992158055"/>
    <n v="62955505402710"/>
    <s v="energisa_ms"/>
    <s v="Igreja do Evangelho Quadrangular"/>
    <x v="8"/>
    <s v="10/452884-045658"/>
    <s v="SIM"/>
    <n v="306"/>
    <n v="517.02093023255816"/>
    <n v="433.27069767441861"/>
    <s v="Aprovado"/>
    <n v="335.00093023255818"/>
    <n v="251.25"/>
    <m/>
    <m/>
    <n v="251.25"/>
    <m/>
    <s v="62955505402710251,25"/>
    <m/>
    <x v="1"/>
    <n v="251.25"/>
    <n v="0"/>
    <m/>
    <m/>
    <m/>
    <m/>
    <m/>
    <m/>
    <m/>
    <m/>
    <m/>
    <m/>
    <m/>
  </r>
  <r>
    <s v="TRIFÁSICO"/>
    <s v="10/29964-4"/>
    <n v="67996266684"/>
    <n v="62955505067660"/>
    <s v="energisa_ms"/>
    <s v="Igreja do Evangelho Quadrangular"/>
    <x v="3"/>
    <s v="10/395471-645870"/>
    <s v="SIM"/>
    <n v="288"/>
    <n v="451.28960000000001"/>
    <n v="371.81426417860303"/>
    <s v="Aprovado"/>
    <n v="334.9796"/>
    <n v="251.23"/>
    <d v="2025-07-22T00:00:00"/>
    <d v="2025-08-02T00:00:00"/>
    <n v="251.23"/>
    <m/>
    <s v="62955505067660251,23"/>
    <s v="09/00012472740-3"/>
    <x v="1"/>
    <n v="251.23"/>
    <n v="0"/>
    <s v="01/08/2025"/>
    <m/>
    <m/>
    <m/>
    <m/>
    <m/>
    <m/>
    <m/>
    <m/>
    <m/>
    <m/>
  </r>
  <r>
    <s v="TRIFÁSICO"/>
    <s v="10/15297-5"/>
    <n v="67996266684"/>
    <n v="62955505312487"/>
    <s v="energisa_ms"/>
    <s v="Igreja do Evangelho Quadrangular"/>
    <x v="5"/>
    <s v="10/466560-045839"/>
    <s v="SIM"/>
    <n v="344"/>
    <n v="432.94"/>
    <n v="349.26749999999998"/>
    <s v="Aprovado"/>
    <n v="334.69"/>
    <n v="251.02"/>
    <m/>
    <m/>
    <n v="251.02"/>
    <m/>
    <s v="62955505312487251,02"/>
    <m/>
    <x v="1"/>
    <n v="251.02"/>
    <n v="0"/>
    <m/>
    <m/>
    <m/>
    <m/>
    <m/>
    <m/>
    <m/>
    <m/>
    <m/>
    <m/>
    <m/>
  </r>
  <r>
    <s v="TRIFÁSICO"/>
    <s v="10/29964-4"/>
    <n v="0"/>
    <n v="62955505067660"/>
    <s v="energisa_ms"/>
    <s v="Igreja do Evangelho Quadrangular"/>
    <x v="0"/>
    <s v="10/384823-145627"/>
    <s v="SIM"/>
    <n v="284"/>
    <n v="466.59960000000001"/>
    <n v="374.45554718582446"/>
    <s v="Aprovado"/>
    <n v="343.07960000000003"/>
    <n v="250.94"/>
    <d v="2025-10-03T00:00:00"/>
    <d v="2025-10-13T00:00:00"/>
    <n v="250.94"/>
    <m/>
    <s v="62955505067660250,94"/>
    <s v="09/00012851405-4"/>
    <x v="1"/>
    <n v="250.94"/>
    <n v="0"/>
    <m/>
    <m/>
    <m/>
    <m/>
    <m/>
    <m/>
    <m/>
    <m/>
    <m/>
    <m/>
    <m/>
  </r>
  <r>
    <s v="TRIFÁSICO"/>
    <s v="10/3030784-7"/>
    <n v="67996266684"/>
    <n v="62955505016080"/>
    <s v="energisa_ms"/>
    <s v="Igreja do Evangelho Quadrangular"/>
    <x v="8"/>
    <s v="10/150263-245931"/>
    <s v="SIM"/>
    <n v="298"/>
    <n v="510.517"/>
    <n v="427.00025000000005"/>
    <s v="Aprovado"/>
    <n v="334.06700000000001"/>
    <n v="250.55"/>
    <m/>
    <m/>
    <n v="250.55"/>
    <m/>
    <s v="62955505016080250,55"/>
    <m/>
    <x v="1"/>
    <n v="250.55"/>
    <n v="0"/>
    <m/>
    <m/>
    <m/>
    <m/>
    <m/>
    <m/>
    <m/>
    <m/>
    <m/>
    <m/>
    <m/>
  </r>
  <r>
    <s v="TRIFÁSICO"/>
    <s v="10/3139326-7"/>
    <n v="67999361728"/>
    <n v="62955505182257"/>
    <s v="energisa_ms"/>
    <s v="Igreja do Evangelho Quadrangular"/>
    <x v="1"/>
    <s v="10/1288241-145809"/>
    <s v="SIM"/>
    <n v="316"/>
    <n v="548.2070212765957"/>
    <n v="475.25850459574457"/>
    <s v="Aprovado"/>
    <n v="321.00702127659576"/>
    <n v="248.06"/>
    <d v="2025-09-10T00:00:00"/>
    <d v="2025-09-20T00:00:00"/>
    <n v="248.06"/>
    <m/>
    <s v="62955505182257248,06"/>
    <s v="09/00012683502-2"/>
    <x v="1"/>
    <n v="321.01"/>
    <n v="72.949999999999989"/>
    <d v="2025-09-01T00:00:00"/>
    <m/>
    <m/>
    <m/>
    <m/>
    <m/>
    <m/>
    <m/>
    <m/>
    <m/>
    <m/>
  </r>
  <r>
    <s v="TRIFÁSICO"/>
    <s v="10/156956-5"/>
    <s v="67 998338301"/>
    <n v="62955505015350"/>
    <s v="energisa_ms"/>
    <s v="Igreja do Evangelho Quadrangular"/>
    <x v="7"/>
    <s v="10/3170252-545931"/>
    <s v="SIM"/>
    <n v="296"/>
    <n v="513.53"/>
    <n v="430.93000000000006"/>
    <s v="Aprovado"/>
    <n v="330.4"/>
    <n v="247.8"/>
    <m/>
    <m/>
    <n v="247.8"/>
    <m/>
    <s v="62955505015350247,8"/>
    <m/>
    <x v="1"/>
    <n v="247.8"/>
    <n v="0"/>
    <m/>
    <m/>
    <n v="283032"/>
    <n v="502"/>
    <s v="Igreja do Evangelho Quadrangular"/>
    <s v="'62955505157066'"/>
    <n v="46.74"/>
    <m/>
    <s v="A Unidade Consumidora 10/24514-2 economizou R$15,58 na fatura referente à jun/2025  consumindo 62 kWh em créditos de energia renovável conforme fatura de energia. A economia foi de 25% em relação ao que seria pago para a Energisa considerando os créditos consumidos. Atenção: Mantenha as contas da Energisa em dia para evitar cortes."/>
    <s v="gigiepeter@live.com; regiao371@gmail.com"/>
    <m/>
  </r>
  <r>
    <s v="TRIFÁSICO"/>
    <s v="10/489076-0"/>
    <n v="0"/>
    <n v="62955505016080"/>
    <s v="energisa_ms"/>
    <s v="Igreja do Evangelho Quadrangular"/>
    <x v="2"/>
    <s v="10/452884-045839"/>
    <s v="SIM"/>
    <n v="318"/>
    <n v="486.16255319148939"/>
    <n v="413.86800337785894"/>
    <s v="Aprovado"/>
    <n v="319.94255319148931"/>
    <n v="247.65"/>
    <d v="2025-09-10T00:00:00"/>
    <d v="2025-09-20T00:00:00"/>
    <n v="247.65"/>
    <m/>
    <s v="62955505016080247,65"/>
    <s v="09/00012749672-5"/>
    <x v="1"/>
    <n v="247.65"/>
    <n v="0"/>
    <m/>
    <m/>
    <m/>
    <m/>
    <m/>
    <m/>
    <m/>
    <m/>
    <m/>
    <m/>
    <m/>
  </r>
  <r>
    <s v="TRIFÁSICO"/>
    <s v="10/260761-2"/>
    <n v="0"/>
    <n v="62955505000167"/>
    <s v="energisa_ms"/>
    <s v="Igreja do Evangelho Quadrangular"/>
    <x v="2"/>
    <s v="10/1433087-245870"/>
    <s v="SIM"/>
    <n v="314"/>
    <n v="494.5045833333333"/>
    <n v="422.31125725159592"/>
    <s v="Aprovado"/>
    <n v="319.49458333333331"/>
    <n v="247.3"/>
    <d v="2025-09-10T00:00:00"/>
    <d v="2025-09-20T00:00:00"/>
    <n v="247.3"/>
    <m/>
    <s v="62955505000167247,3"/>
    <s v="09/00012749684-0"/>
    <x v="1"/>
    <n v="247.3"/>
    <n v="0"/>
    <m/>
    <m/>
    <m/>
    <m/>
    <m/>
    <m/>
    <m/>
    <m/>
    <m/>
    <m/>
    <m/>
  </r>
  <r>
    <s v="TRIFÁSICO"/>
    <s v="10/510330-4"/>
    <n v="0"/>
    <n v="62955505367117"/>
    <s v="energisa_ms"/>
    <s v="Igreja do Evangelho Quadrangular"/>
    <x v="0"/>
    <s v="10/364440-845627"/>
    <s v="SIM"/>
    <n v="277"/>
    <n v="523.49149999999997"/>
    <n v="433.61105974548457"/>
    <s v="Aprovado"/>
    <n v="334.65149999999994"/>
    <n v="244.77"/>
    <d v="2025-10-03T00:00:00"/>
    <d v="2025-10-13T00:00:00"/>
    <n v="244.77"/>
    <m/>
    <s v="62955505367117244,77"/>
    <s v="09/00012851404-7"/>
    <x v="1"/>
    <n v="244.77"/>
    <n v="0"/>
    <m/>
    <m/>
    <m/>
    <m/>
    <m/>
    <m/>
    <m/>
    <m/>
    <m/>
    <m/>
    <m/>
  </r>
  <r>
    <s v="TRIFÁSICO"/>
    <s v="10/2794432-1"/>
    <n v="0"/>
    <n v="62955505015199"/>
    <s v="energisa_ms"/>
    <s v="Igreja do Evangelho Quadrangular"/>
    <x v="2"/>
    <s v="10/505854-045689"/>
    <s v="SIM"/>
    <n v="265"/>
    <n v="583.24269911504427"/>
    <n v="512.11633486888672"/>
    <s v="Aprovado"/>
    <n v="314.7726991150443"/>
    <n v="243.65"/>
    <d v="2025-09-10T00:00:00"/>
    <d v="2025-09-20T00:00:00"/>
    <n v="243.65"/>
    <m/>
    <s v="62955505015199243,65"/>
    <s v="09/00012749640-2"/>
    <x v="1"/>
    <n v="243.65"/>
    <n v="0"/>
    <m/>
    <m/>
    <m/>
    <m/>
    <m/>
    <m/>
    <m/>
    <m/>
    <m/>
    <m/>
    <m/>
  </r>
  <r>
    <s v="BIFÁSICO"/>
    <s v="10/257864-9"/>
    <n v="67981311823"/>
    <n v="62955505182176"/>
    <s v="energisa_ms"/>
    <s v="Igreja do Evangelho Quadrangular"/>
    <x v="0"/>
    <s v="10/925970-645658"/>
    <s v="SIM"/>
    <n v="7"/>
    <n v="83.455799999999982"/>
    <n v="81.184747795828983"/>
    <s v="Aprovado"/>
    <n v="8.4558"/>
    <n v="6.18"/>
    <d v="2025-10-03T00:00:00"/>
    <d v="2025-10-13T00:00:00"/>
    <n v="6.18"/>
    <m/>
    <s v="629555051821766,18"/>
    <s v="09/00012851424-5"/>
    <x v="2"/>
    <m/>
    <n v="0"/>
    <m/>
    <s v="Cobrança Regular"/>
    <m/>
    <m/>
    <m/>
    <m/>
    <m/>
    <m/>
    <m/>
    <m/>
    <m/>
  </r>
  <r>
    <s v="BIFÁSICO"/>
    <s v="10/3040565-8"/>
    <n v="0"/>
    <n v="62955505015431"/>
    <s v="energisa_ms"/>
    <s v="Igreja do Evangelho Quadrangular"/>
    <x v="0"/>
    <s v="10/41548-945689"/>
    <s v="SIM"/>
    <n v="348"/>
    <n v="447.57"/>
    <n v="358.61656093788463"/>
    <s v="Aprovado"/>
    <n v="331.2"/>
    <n v="242.25"/>
    <d v="2025-10-03T00:00:00"/>
    <d v="2025-10-13T00:00:00"/>
    <n v="242.25"/>
    <m/>
    <s v="62955505015431242,25"/>
    <s v="09/00012851455-9"/>
    <x v="1"/>
    <n v="242.25"/>
    <n v="0"/>
    <m/>
    <m/>
    <m/>
    <m/>
    <m/>
    <m/>
    <m/>
    <m/>
    <m/>
    <m/>
    <m/>
  </r>
  <r>
    <s v="TRIFÁSICO"/>
    <s v="10/8777-5"/>
    <s v="Solicitação de distrato"/>
    <n v="62955505122432"/>
    <s v="energisa_ms"/>
    <s v="Igreja do Evangelho Quadrangular"/>
    <x v="0"/>
    <s v="10/61344-845689"/>
    <s v="SIM"/>
    <n v="312"/>
    <n v="642.09243243243247"/>
    <n v="554.00316517149406"/>
    <s v="Aprovado"/>
    <n v="327.98243243243252"/>
    <n v="239.89"/>
    <d v="2025-10-03T00:00:00"/>
    <d v="2025-10-13T00:00:00"/>
    <n v="239.89"/>
    <m/>
    <s v="62955505122432239,89"/>
    <s v="09/00012851440-1"/>
    <x v="1"/>
    <n v="239.89"/>
    <n v="0"/>
    <m/>
    <m/>
    <m/>
    <m/>
    <m/>
    <m/>
    <m/>
    <m/>
    <m/>
    <m/>
    <m/>
  </r>
  <r>
    <s v="TRIFÁSICO"/>
    <s v="10/15297-5"/>
    <n v="0"/>
    <n v="62955505312487"/>
    <s v="energisa_ms"/>
    <s v="Igreja do Evangelho Quadrangular"/>
    <x v="2"/>
    <s v="10/1117293-945839"/>
    <s v="SIM"/>
    <n v="303"/>
    <n v="415.19979999999998"/>
    <n v="345.41403976644813"/>
    <s v="Aprovado"/>
    <n v="308.83980000000003"/>
    <n v="239.05"/>
    <d v="2025-09-10T00:00:00"/>
    <d v="2025-09-20T00:00:00"/>
    <n v="239.05"/>
    <m/>
    <s v="62955505312487239,05"/>
    <s v="09/00012749671-7"/>
    <x v="1"/>
    <n v="239.05"/>
    <n v="0"/>
    <m/>
    <m/>
    <m/>
    <m/>
    <m/>
    <m/>
    <m/>
    <m/>
    <m/>
    <m/>
    <m/>
  </r>
  <r>
    <s v="TRIFÁSICO"/>
    <s v="10/532723-4"/>
    <n v="67996446178"/>
    <n v="62955505359360"/>
    <s v="energisa_ms"/>
    <s v="Igreja do Evangelho Quadrangular"/>
    <x v="5"/>
    <s v="10/69319-245748"/>
    <s v="SIM"/>
    <n v="284"/>
    <n v="502.88999999999993"/>
    <n v="423.23249999999996"/>
    <s v="Aprovado"/>
    <n v="318.63"/>
    <n v="238.97"/>
    <m/>
    <m/>
    <n v="238.97"/>
    <m/>
    <s v="62955505359360238,97"/>
    <e v="#N/A"/>
    <x v="1"/>
    <n v="318.63"/>
    <n v="79.66"/>
    <d v="2025-09-30T00:00:00"/>
    <m/>
    <m/>
    <m/>
    <m/>
    <m/>
    <m/>
    <m/>
    <m/>
    <m/>
    <m/>
  </r>
  <r>
    <s v="BIFÁSICO"/>
    <s v="10/3040565-8"/>
    <n v="67996135721"/>
    <n v="62955505015431"/>
    <s v="energisa_ms"/>
    <s v="Igreja do Evangelho Quadrangular"/>
    <x v="9"/>
    <s v="10/109074-545717"/>
    <s v="SIM"/>
    <n v="338"/>
    <n v="444.99"/>
    <n v="352.23438278290268"/>
    <s v="Aprovado"/>
    <n v="331.65"/>
    <n v="238.89"/>
    <d v="2025-11-06T00:00:00"/>
    <d v="2025-11-13T00:00:00"/>
    <n v="238.89"/>
    <m/>
    <s v="62955505015431238,89"/>
    <s v="09/00013026887-1"/>
    <x v="1"/>
    <n v="238.89"/>
    <n v="0"/>
    <m/>
    <m/>
    <m/>
    <m/>
    <m/>
    <m/>
    <m/>
    <m/>
    <m/>
    <m/>
    <m/>
  </r>
  <r>
    <s v="BIFÁSICO"/>
    <s v="10/142353-2"/>
    <n v="67992899434"/>
    <n v="62955505113875"/>
    <s v="energisa_ms"/>
    <s v="Igreja do Evangelho Quadrangular"/>
    <x v="8"/>
    <s v="10/1288241-145931"/>
    <s v="SIM"/>
    <n v="330"/>
    <n v="430.10999999999996"/>
    <n v="350.51999999999992"/>
    <s v="Aprovado"/>
    <n v="318.36"/>
    <n v="238.77"/>
    <m/>
    <m/>
    <n v="238.77"/>
    <m/>
    <s v="62955505113875238,77"/>
    <m/>
    <x v="1"/>
    <n v="238.77"/>
    <n v="0"/>
    <m/>
    <m/>
    <m/>
    <m/>
    <m/>
    <m/>
    <m/>
    <m/>
    <m/>
    <m/>
    <m/>
  </r>
  <r>
    <s v="TRIFÁSICO"/>
    <s v="10/3123706-8"/>
    <n v="67999516782"/>
    <n v="62955505375721"/>
    <s v="energisa_ms"/>
    <s v="Igreja do Evangelho Quadrangular"/>
    <x v="1"/>
    <s v="10/1035655-845839"/>
    <s v="SIM"/>
    <n v="307"/>
    <n v="474.16874999999993"/>
    <n v="403.30508275"/>
    <s v="Aprovado"/>
    <n v="308.90874999999994"/>
    <n v="238.05"/>
    <d v="2025-09-10T00:00:00"/>
    <d v="2025-09-20T00:00:00"/>
    <n v="238.05"/>
    <m/>
    <s v="62955505375721238,05"/>
    <s v="09/00012683504-8"/>
    <x v="1"/>
    <n v="238.05"/>
    <n v="0"/>
    <d v="2025-09-04T00:00:00"/>
    <m/>
    <m/>
    <m/>
    <m/>
    <m/>
    <m/>
    <m/>
    <m/>
    <m/>
    <m/>
  </r>
  <r>
    <s v="TRIFÁSICO"/>
    <s v="10/127464-6"/>
    <n v="67996150274"/>
    <n v="62955505331198"/>
    <s v="energisa_ms"/>
    <s v="Igreja do Evangelho Quadrangular"/>
    <x v="3"/>
    <s v="10/3125732-245748"/>
    <s v="SIM"/>
    <n v="317"/>
    <n v="499.58000000000004"/>
    <n v="424.40361639822891"/>
    <s v="Aprovado"/>
    <n v="316.86"/>
    <n v="237.65"/>
    <d v="2025-07-22T00:00:00"/>
    <d v="2025-08-02T00:00:00"/>
    <n v="237.65"/>
    <m/>
    <s v="62955505331198237,65"/>
    <s v="09/00012472786-6"/>
    <x v="1"/>
    <n v="237.65"/>
    <n v="0"/>
    <s v="04/08/2025"/>
    <m/>
    <m/>
    <m/>
    <m/>
    <m/>
    <m/>
    <m/>
    <m/>
    <m/>
    <m/>
  </r>
  <r>
    <s v="BIFÁSICO"/>
    <s v="10/142353-2"/>
    <n v="67992899434"/>
    <n v="62955505113875"/>
    <s v="energisa_ms"/>
    <s v="Igreja do Evangelho Quadrangular"/>
    <x v="9"/>
    <s v="10/81222-245717"/>
    <s v="SIM"/>
    <n v="334"/>
    <n v="441.6"/>
    <n v="349.94352216376564"/>
    <s v="Aprovado"/>
    <n v="327.72"/>
    <n v="236.06"/>
    <d v="2025-11-06T00:00:00"/>
    <d v="2025-11-13T00:00:00"/>
    <n v="236.06"/>
    <m/>
    <s v="62955505113875236,06"/>
    <s v="09/00013026865-7"/>
    <x v="1"/>
    <n v="327.72"/>
    <n v="0"/>
    <d v="2025-12-02T00:00:00"/>
    <m/>
    <m/>
    <m/>
    <m/>
    <m/>
    <m/>
    <m/>
    <m/>
    <m/>
    <m/>
  </r>
  <r>
    <e v="#N/A"/>
    <s v="10/3005226-0"/>
    <e v="#N/A"/>
    <n v="62955505057789"/>
    <s v="energisa_ms"/>
    <s v="Igreja do Evangelho Quadrangular"/>
    <x v="6"/>
    <s v="10/3092868-345689"/>
    <s v="SIM"/>
    <n v="323"/>
    <m/>
    <m/>
    <s v="Aprovado"/>
    <n v="314.62000000000006"/>
    <n v="235.97"/>
    <m/>
    <m/>
    <m/>
    <s v="não emitido pela EGS"/>
    <s v="62955505057789"/>
    <m/>
    <x v="0"/>
    <n v="0"/>
    <n v="0"/>
    <m/>
    <m/>
    <m/>
    <m/>
    <m/>
    <m/>
    <m/>
    <m/>
    <m/>
    <m/>
    <m/>
  </r>
  <r>
    <s v="TRIFÁSICO"/>
    <s v="10/81222-2"/>
    <s v="67 992491551"/>
    <n v="62955505015946"/>
    <s v="energisa_ms"/>
    <s v="Igreja do Evangelho Quadrangular"/>
    <x v="5"/>
    <s v="10/63920-345778"/>
    <s v="SIM"/>
    <n v="323"/>
    <n v="449.93"/>
    <n v="371.38250000000005"/>
    <s v="Aprovado"/>
    <n v="314.19"/>
    <n v="235.64"/>
    <m/>
    <m/>
    <n v="235.64"/>
    <m/>
    <s v="62955505015946235,64"/>
    <m/>
    <x v="1"/>
    <n v="235.64"/>
    <n v="0"/>
    <m/>
    <m/>
    <m/>
    <m/>
    <m/>
    <m/>
    <m/>
    <m/>
    <m/>
    <m/>
    <m/>
  </r>
  <r>
    <s v="TRIFÁSICO"/>
    <s v="10/532081-7"/>
    <s v="67 992321318"/>
    <n v="62955505193534"/>
    <s v="energisa_ms"/>
    <s v="Igreja do Evangelho Quadrangular"/>
    <x v="7"/>
    <s v="10/1939035-045717"/>
    <s v="SIM"/>
    <n v="279"/>
    <n v="494.4"/>
    <n v="416.54499999999996"/>
    <s v="Aprovado"/>
    <n v="311.41999999999996"/>
    <n v="233.57"/>
    <m/>
    <m/>
    <n v="233.57"/>
    <m/>
    <s v="62955505193534233,57"/>
    <m/>
    <x v="1"/>
    <n v="311.42"/>
    <n v="77.850000000000023"/>
    <d v="2025-10-08T00:00:00"/>
    <m/>
    <m/>
    <m/>
    <m/>
    <m/>
    <m/>
    <m/>
    <m/>
    <m/>
    <m/>
  </r>
  <r>
    <s v="TRIFÁSICO"/>
    <s v="10/3030784-7"/>
    <n v="0"/>
    <n v="62955505016080"/>
    <s v="energisa_ms"/>
    <s v="Igreja do Evangelho Quadrangular"/>
    <x v="0"/>
    <s v="10/501586-245627"/>
    <s v="SIM"/>
    <n v="264"/>
    <n v="501.428"/>
    <n v="415.76519359304473"/>
    <s v="Aprovado"/>
    <n v="318.94799999999998"/>
    <n v="233.29"/>
    <d v="2025-10-03T00:00:00"/>
    <d v="2025-10-13T00:00:00"/>
    <n v="233.29"/>
    <m/>
    <s v="62955505016080233,29"/>
    <s v="09/00012851407-0"/>
    <x v="1"/>
    <n v="233.29"/>
    <n v="0"/>
    <m/>
    <m/>
    <m/>
    <m/>
    <m/>
    <m/>
    <m/>
    <m/>
    <m/>
    <m/>
    <m/>
  </r>
  <r>
    <s v="TRIFÁSICO"/>
    <s v="10/127464-6"/>
    <n v="67996150274"/>
    <n v="62955505331198"/>
    <s v="energisa_ms"/>
    <s v="Igreja do Evangelho Quadrangular"/>
    <x v="1"/>
    <s v="10/908866-745689"/>
    <s v="SIM"/>
    <n v="295"/>
    <n v="470.96900000000005"/>
    <n v="402.87872140000002"/>
    <s v="Aprovado"/>
    <n v="300.84899999999993"/>
    <n v="232.76"/>
    <d v="2025-09-10T00:00:00"/>
    <d v="2025-09-20T00:00:00"/>
    <n v="232.76"/>
    <m/>
    <s v="62955505331198232,76"/>
    <s v="09/00012683496-7"/>
    <x v="1"/>
    <n v="300.85000000000002"/>
    <n v="68.090000000000032"/>
    <d v="2025-09-30T00:00:00"/>
    <m/>
    <m/>
    <m/>
    <m/>
    <m/>
    <m/>
    <m/>
    <m/>
    <m/>
    <m/>
  </r>
  <r>
    <s v="BIFÁSICO"/>
    <s v="10/1939035-0"/>
    <s v=" 67 91285460"/>
    <n v="62955505419443"/>
    <s v="energisa_ms"/>
    <s v="Igreja do Evangelho Quadrangular"/>
    <x v="9"/>
    <s v="10/129490-945809"/>
    <s v="SIM"/>
    <n v="264"/>
    <n v="420.13159999999993"/>
    <n v="330.23665383715672"/>
    <s v="Aprovado"/>
    <n v="321.42159999999996"/>
    <n v="232.48"/>
    <d v="2025-11-06T00:00:00"/>
    <d v="2025-11-13T00:00:00"/>
    <n v="232.48"/>
    <m/>
    <s v="62955505419443232,48"/>
    <s v="09/00013026957-2"/>
    <x v="1"/>
    <n v="232.48"/>
    <n v="0"/>
    <m/>
    <m/>
    <m/>
    <m/>
    <m/>
    <m/>
    <m/>
    <m/>
    <m/>
    <m/>
    <m/>
  </r>
  <r>
    <s v="BIFÁSICO"/>
    <s v="10/511753-6"/>
    <n v="67996266684"/>
    <n v="62955505016080"/>
    <s v="energisa_ms"/>
    <s v="Igreja do Evangelho Quadrangular"/>
    <x v="9"/>
    <s v="10/237441-145870"/>
    <s v="SIM"/>
    <n v="262"/>
    <n v="447.22319999999996"/>
    <n v="356.96981693371811"/>
    <s v="Aprovado"/>
    <n v="322.70319999999998"/>
    <n v="232.45"/>
    <d v="2025-11-06T00:00:00"/>
    <d v="2025-11-13T00:00:00"/>
    <n v="232.45"/>
    <m/>
    <s v="62955505016080232,45"/>
    <s v="09/00013026987-9"/>
    <x v="1"/>
    <n v="322.7"/>
    <n v="0"/>
    <d v="2025-12-03T00:00:00"/>
    <s v="Cobrança Regular"/>
    <m/>
    <m/>
    <m/>
    <m/>
    <m/>
    <m/>
    <m/>
    <m/>
    <m/>
  </r>
  <r>
    <s v="TRIFÁSICO"/>
    <s v="10/276283-9"/>
    <s v="46 999066691"/>
    <n v="62955505088404"/>
    <s v="energisa_ms"/>
    <s v="Igreja do Evangelho Quadrangular"/>
    <x v="9"/>
    <s v="10/31292-645870"/>
    <s v="SIM"/>
    <n v="274"/>
    <n v="503.24326086956523"/>
    <n v="413.07096775654389"/>
    <s v="Aprovado"/>
    <n v="322.41326086956525"/>
    <n v="232.24"/>
    <d v="2025-11-06T00:00:00"/>
    <d v="2025-11-13T00:00:00"/>
    <n v="232.24"/>
    <m/>
    <s v="62955505088404232,24"/>
    <s v="09/00013026990-3"/>
    <x v="1"/>
    <n v="232.24"/>
    <n v="0"/>
    <m/>
    <m/>
    <m/>
    <m/>
    <m/>
    <m/>
    <m/>
    <m/>
    <m/>
    <m/>
    <m/>
  </r>
  <r>
    <s v="TRIFÁSICO"/>
    <s v="10/3139326-7"/>
    <n v="0"/>
    <n v="62955505182257"/>
    <s v="energisa_ms"/>
    <s v="Igreja do Evangelho Quadrangular"/>
    <x v="0"/>
    <s v="10/252817-245689"/>
    <s v="SIM"/>
    <n v="302"/>
    <n v="500.26156862745103"/>
    <n v="414.98724363642441"/>
    <s v="Aprovado"/>
    <n v="317.50156862745098"/>
    <n v="232.23"/>
    <d v="2025-10-03T00:00:00"/>
    <d v="2025-10-13T00:00:00"/>
    <n v="232.23"/>
    <m/>
    <s v="62955505182257232,23"/>
    <s v="09/00012851441-9"/>
    <x v="1"/>
    <n v="232.23"/>
    <n v="0"/>
    <m/>
    <m/>
    <m/>
    <m/>
    <m/>
    <m/>
    <m/>
    <m/>
    <m/>
    <m/>
    <m/>
  </r>
  <r>
    <s v="TRIFÁSICO"/>
    <s v="10/513413-5"/>
    <n v="67992637973"/>
    <n v="62955505321630"/>
    <s v="energisa_ms"/>
    <s v="Igreja do Evangelho Quadrangular"/>
    <x v="6"/>
    <s v="10/3123706-845901"/>
    <s v="SIM"/>
    <n v="277"/>
    <n v="775.59"/>
    <n v="698.29"/>
    <s v="Aprovado"/>
    <n v="309.2"/>
    <n v="231.9"/>
    <m/>
    <m/>
    <n v="231.9"/>
    <m/>
    <s v="62955505321630231,9"/>
    <m/>
    <x v="1"/>
    <n v="231.9"/>
    <n v="0"/>
    <m/>
    <m/>
    <m/>
    <m/>
    <m/>
    <m/>
    <m/>
    <m/>
    <m/>
    <m/>
    <m/>
  </r>
  <r>
    <s v="TRIFÁSICO"/>
    <s v="10/1698130-0"/>
    <n v="67991767866"/>
    <n v="62955505461210"/>
    <s v="energisa_ms"/>
    <s v="Igreja do Evangelho Quadrangular"/>
    <x v="6"/>
    <s v="10/260761-245689"/>
    <s v="SIM"/>
    <n v="293"/>
    <n v="496.33"/>
    <n v="419.4375"/>
    <s v="Aprovado"/>
    <n v="307.57"/>
    <n v="230.68"/>
    <m/>
    <m/>
    <n v="230.68"/>
    <m/>
    <s v="62955505461210230,68"/>
    <m/>
    <x v="1"/>
    <n v="230.68"/>
    <n v="0"/>
    <m/>
    <m/>
    <m/>
    <m/>
    <m/>
    <m/>
    <m/>
    <m/>
    <m/>
    <m/>
    <m/>
  </r>
  <r>
    <s v="TRIFÁSICO"/>
    <s v="10/1184751-4"/>
    <s v="67 96034976"/>
    <n v="62955505149047"/>
    <s v="energisa_ms"/>
    <s v="Igreja do Evangelho Quadrangular"/>
    <x v="4"/>
    <s v="10/341308-545931"/>
    <s v="SIM"/>
    <n v="286"/>
    <n v="482.89"/>
    <n v="406.35249999999996"/>
    <s v="Aprovado"/>
    <n v="306.15000000000003"/>
    <n v="229.61"/>
    <m/>
    <m/>
    <n v="229.61"/>
    <m/>
    <s v="62955505149047229,61"/>
    <m/>
    <x v="1"/>
    <n v="229.61"/>
    <n v="0"/>
    <m/>
    <m/>
    <m/>
    <m/>
    <m/>
    <m/>
    <m/>
    <m/>
    <m/>
    <m/>
    <m/>
  </r>
  <r>
    <s v="BIFÁSICO"/>
    <s v="10/511753-6"/>
    <n v="67996266684"/>
    <n v="62955505016080"/>
    <s v="energisa_ms"/>
    <s v="Igreja do Evangelho Quadrangular"/>
    <x v="4"/>
    <s v="10/3005226-045717"/>
    <s v="SIM"/>
    <n v="301"/>
    <n v="415.14000000000004"/>
    <n v="338.68"/>
    <s v="Aprovado"/>
    <n v="305.84000000000003"/>
    <n v="229.38"/>
    <m/>
    <m/>
    <n v="229.38"/>
    <m/>
    <s v="62955505016080229,38"/>
    <m/>
    <x v="1"/>
    <n v="229.38"/>
    <n v="0"/>
    <m/>
    <m/>
    <m/>
    <m/>
    <m/>
    <m/>
    <m/>
    <m/>
    <m/>
    <m/>
    <m/>
  </r>
  <r>
    <s v="BIFÁSICO"/>
    <s v="10/511753-6"/>
    <n v="67996266684"/>
    <n v="62955505016080"/>
    <s v="energisa_ms"/>
    <s v="Igreja do Evangelho Quadrangular"/>
    <x v="6"/>
    <s v="10/61344-845839"/>
    <s v="SIM"/>
    <n v="283"/>
    <n v="419.61"/>
    <n v="343.30500000000001"/>
    <s v="Aprovado"/>
    <n v="305.22000000000003"/>
    <n v="228.92"/>
    <m/>
    <m/>
    <n v="228.92"/>
    <m/>
    <s v="62955505016080228,92"/>
    <m/>
    <x v="1"/>
    <n v="228.92"/>
    <n v="0"/>
    <m/>
    <m/>
    <m/>
    <m/>
    <m/>
    <m/>
    <m/>
    <m/>
    <m/>
    <m/>
    <m/>
  </r>
  <r>
    <s v="TRIFÁSICO"/>
    <s v="10/489076-0"/>
    <n v="67996266684"/>
    <n v="62955505016080"/>
    <s v="energisa_ms"/>
    <s v="Igreja do Evangelho Quadrangular"/>
    <x v="7"/>
    <s v="10/81222-245901"/>
    <s v="SIM"/>
    <n v="273"/>
    <n v="669.62"/>
    <n v="593.43500000000006"/>
    <s v="Aprovado"/>
    <n v="304.74"/>
    <n v="228.56"/>
    <m/>
    <m/>
    <n v="228.56"/>
    <m/>
    <s v="62955505016080228,56"/>
    <m/>
    <x v="2"/>
    <n v="0"/>
    <n v="-228.56"/>
    <m/>
    <s v="Cobrança Regular"/>
    <m/>
    <m/>
    <m/>
    <m/>
    <m/>
    <m/>
    <m/>
    <m/>
    <m/>
  </r>
  <r>
    <s v="TRIFÁSICO"/>
    <s v="10/127464-6"/>
    <n v="67996150274"/>
    <n v="62955505331198"/>
    <s v="energisa_ms"/>
    <s v="Igreja do Evangelho Quadrangular"/>
    <x v="7"/>
    <s v="10/1672452-845689"/>
    <s v="SIM"/>
    <n v="273"/>
    <n v="725.35"/>
    <n v="649.16499999999996"/>
    <s v="Aprovado"/>
    <n v="304.74"/>
    <n v="228.56"/>
    <m/>
    <m/>
    <n v="228.56"/>
    <m/>
    <s v="62955505331198228,56"/>
    <m/>
    <x v="1"/>
    <n v="228.56"/>
    <n v="0"/>
    <m/>
    <m/>
    <m/>
    <m/>
    <m/>
    <m/>
    <m/>
    <m/>
    <m/>
    <m/>
    <m/>
  </r>
  <r>
    <s v="TRIFÁSICO"/>
    <s v="10/3139326-7"/>
    <n v="67999361728"/>
    <n v="62955505182257"/>
    <s v="energisa_ms"/>
    <s v="Igreja do Evangelho Quadrangular"/>
    <x v="7"/>
    <s v="10/1672452-845748"/>
    <s v="SIM"/>
    <n v="273"/>
    <n v="518.59"/>
    <n v="442.40499999999997"/>
    <s v="Aprovado"/>
    <n v="304.74"/>
    <n v="228.56"/>
    <m/>
    <m/>
    <n v="228.56"/>
    <m/>
    <s v="62955505182257228,56"/>
    <m/>
    <x v="1"/>
    <n v="228.56"/>
    <n v="0"/>
    <m/>
    <m/>
    <m/>
    <m/>
    <m/>
    <m/>
    <m/>
    <m/>
    <m/>
    <m/>
    <m/>
  </r>
  <r>
    <s v="BIFÁSICO"/>
    <s v="10/40190-1"/>
    <n v="67996859014"/>
    <n v="62955505177504"/>
    <s v="energisa_ms"/>
    <s v="Igreja do Evangelho Quadrangular"/>
    <x v="7"/>
    <s v="10/510330-445931"/>
    <s v="SIM"/>
    <n v="273"/>
    <n v="455.12"/>
    <n v="378.93499999999995"/>
    <s v="Aprovado"/>
    <n v="304.74"/>
    <n v="228.56"/>
    <m/>
    <m/>
    <n v="228.56"/>
    <m/>
    <s v="62955505177504228,56"/>
    <m/>
    <x v="1"/>
    <n v="228.56"/>
    <n v="0"/>
    <m/>
    <m/>
    <m/>
    <m/>
    <m/>
    <m/>
    <m/>
    <m/>
    <m/>
    <m/>
    <m/>
  </r>
  <r>
    <s v="TRIFÁSICO"/>
    <s v="10/63920-3"/>
    <n v="67981263396"/>
    <n v="62955505135500"/>
    <s v="energisa_ms"/>
    <s v="Igreja do Evangelho Quadrangular"/>
    <x v="9"/>
    <s v="10/52987-545717"/>
    <s v="SIM"/>
    <n v="296"/>
    <n v="491.23529411764702"/>
    <n v="402.84678584606786"/>
    <s v="Aprovado"/>
    <n v="316.03529411764708"/>
    <n v="227.72"/>
    <d v="2025-11-06T00:00:00"/>
    <d v="2025-11-13T00:00:00"/>
    <n v="227.72"/>
    <m/>
    <s v="62955505135500227,72"/>
    <s v="09/00013026880-6"/>
    <x v="1"/>
    <n v="227.72"/>
    <n v="0"/>
    <m/>
    <m/>
    <m/>
    <m/>
    <m/>
    <m/>
    <m/>
    <m/>
    <m/>
    <m/>
    <m/>
  </r>
  <r>
    <s v="TRIFÁSICO"/>
    <s v="10/504844-2"/>
    <n v="67992637973"/>
    <n v="62955505354481"/>
    <s v="energisa_ms"/>
    <s v="Igreja do Evangelho Quadrangular"/>
    <x v="9"/>
    <s v="10/63920-345717"/>
    <s v="SIM"/>
    <n v="297"/>
    <n v="620.15189655172412"/>
    <n v="531.93773963247054"/>
    <s v="Aprovado"/>
    <n v="315.41189655172417"/>
    <n v="227.2"/>
    <d v="2025-11-06T00:00:00"/>
    <d v="2025-11-13T00:00:00"/>
    <n v="227.2"/>
    <m/>
    <s v="62955505354481227,2"/>
    <s v="09/00013026876-4"/>
    <x v="1"/>
    <n v="227.2"/>
    <n v="0"/>
    <m/>
    <m/>
    <m/>
    <m/>
    <m/>
    <m/>
    <m/>
    <m/>
    <m/>
    <m/>
    <m/>
  </r>
  <r>
    <s v="TRIFÁSICO"/>
    <s v="10/63920-3"/>
    <n v="0"/>
    <n v="62955505135500"/>
    <s v="energisa_ms"/>
    <s v="Igreja do Evangelho Quadrangular"/>
    <x v="0"/>
    <s v="10/127464-645689"/>
    <s v="SIM"/>
    <n v="294"/>
    <n v="487.78692307692307"/>
    <n v="404.76991126771281"/>
    <s v="Aprovado"/>
    <n v="309.09692307692308"/>
    <n v="226.08"/>
    <d v="2025-10-03T00:00:00"/>
    <d v="2025-10-13T00:00:00"/>
    <n v="226.08"/>
    <m/>
    <s v="62955505135500226,08"/>
    <s v="09/00012851448-4"/>
    <x v="1"/>
    <n v="226.08"/>
    <n v="0"/>
    <m/>
    <m/>
    <m/>
    <m/>
    <m/>
    <m/>
    <m/>
    <m/>
    <m/>
    <m/>
    <m/>
  </r>
  <r>
    <s v="TRIFÁSICO"/>
    <s v="10/931327-1"/>
    <s v="67 992158055"/>
    <n v="62955505402710"/>
    <s v="energisa_ms"/>
    <s v="Igreja do Evangelho Quadrangular"/>
    <x v="7"/>
    <s v="10/5202-745839"/>
    <s v="SIM"/>
    <n v="270"/>
    <n v="484.35"/>
    <n v="409.00250000000005"/>
    <s v="Aprovado"/>
    <n v="301.39"/>
    <n v="226.04"/>
    <m/>
    <m/>
    <n v="226.04"/>
    <m/>
    <s v="62955505402710226,04"/>
    <m/>
    <x v="1"/>
    <n v="226.04"/>
    <n v="0"/>
    <m/>
    <m/>
    <m/>
    <m/>
    <m/>
    <m/>
    <m/>
    <m/>
    <m/>
    <m/>
    <m/>
  </r>
  <r>
    <s v="TRIFÁSICO"/>
    <s v="10/1266128-6"/>
    <n v="67991306665"/>
    <n v="62955505379395"/>
    <s v="energisa_ms"/>
    <s v="Igreja do Evangelho Quadrangular"/>
    <x v="5"/>
    <s v="10/76927-345778"/>
    <s v="SIM"/>
    <n v="310"/>
    <n v="459.59"/>
    <n v="384.26499999999999"/>
    <s v="Aprovado"/>
    <n v="301.3"/>
    <n v="225.98"/>
    <m/>
    <m/>
    <n v="225.98"/>
    <m/>
    <s v="62955505379395225,98"/>
    <m/>
    <x v="1"/>
    <n v="225.98"/>
    <n v="0"/>
    <m/>
    <m/>
    <m/>
    <m/>
    <m/>
    <m/>
    <m/>
    <m/>
    <m/>
    <m/>
    <m/>
  </r>
  <r>
    <s v="TRIFÁSICO"/>
    <s v="10/489076-0"/>
    <n v="67996266684"/>
    <n v="62955505016080"/>
    <s v="energisa_ms"/>
    <s v="Igreja do Evangelho Quadrangular"/>
    <x v="8"/>
    <s v="10/129490-945778"/>
    <s v="SIM"/>
    <n v="310"/>
    <n v="682.70324561403515"/>
    <n v="607.55243421052637"/>
    <s v="Aprovado"/>
    <n v="300.60324561403519"/>
    <n v="225.45"/>
    <m/>
    <m/>
    <n v="225.45"/>
    <m/>
    <s v="62955505016080225,45"/>
    <m/>
    <x v="1"/>
    <n v="225.45"/>
    <n v="0"/>
    <m/>
    <m/>
    <m/>
    <m/>
    <m/>
    <m/>
    <m/>
    <m/>
    <m/>
    <m/>
    <m/>
  </r>
  <r>
    <s v="BIFÁSICO"/>
    <s v="10/1081489-5"/>
    <n v="67996446178"/>
    <n v="62955505016918"/>
    <s v="energisa_ms"/>
    <s v="Igreja do Evangelho Quadrangular"/>
    <x v="8"/>
    <s v="10/260761-245931"/>
    <s v="SIM"/>
    <n v="310"/>
    <n v="685.40377682403448"/>
    <n v="610.26033261802581"/>
    <s v="Aprovado"/>
    <n v="300.57377682403438"/>
    <n v="225.43"/>
    <m/>
    <m/>
    <n v="225.43"/>
    <m/>
    <s v="62955505016918225,43"/>
    <m/>
    <x v="1"/>
    <n v="225.43"/>
    <n v="0"/>
    <m/>
    <m/>
    <m/>
    <m/>
    <m/>
    <m/>
    <m/>
    <m/>
    <m/>
    <m/>
    <m/>
  </r>
  <r>
    <s v="BIFÁSICO"/>
    <s v="10/3040565-8"/>
    <n v="0"/>
    <n v="62955505015431"/>
    <s v="energisa_ms"/>
    <s v="Igreja do Evangelho Quadrangular"/>
    <x v="2"/>
    <s v="10/1117293-945627"/>
    <s v="SIM"/>
    <n v="282"/>
    <n v="360.6400000000001"/>
    <n v="294.83788758569136"/>
    <s v="Aprovado"/>
    <n v="291.21000000000004"/>
    <n v="225.41"/>
    <d v="2025-09-10T00:00:00"/>
    <d v="2025-09-20T00:00:00"/>
    <n v="225.41"/>
    <m/>
    <s v="62955505015431225,41"/>
    <s v="09/00012749699-8"/>
    <x v="1"/>
    <n v="225.41"/>
    <n v="0"/>
    <m/>
    <m/>
    <m/>
    <m/>
    <m/>
    <m/>
    <m/>
    <m/>
    <m/>
    <m/>
    <m/>
  </r>
  <r>
    <s v="BIFÁSICO"/>
    <s v="10/61344-8"/>
    <n v="67999998719"/>
    <n v="62955505015431"/>
    <s v="energisa_ms"/>
    <s v="Igreja do Evangelho Quadrangular"/>
    <x v="9"/>
    <s v="10/399338-345717"/>
    <s v="SIM"/>
    <n v="602"/>
    <n v="760.05"/>
    <n v="594.84347779243365"/>
    <s v="Aprovado"/>
    <n v="590.69999999999993"/>
    <n v="425.49"/>
    <d v="2025-11-06T00:00:00"/>
    <d v="2025-11-13T00:00:00"/>
    <n v="425.49"/>
    <m/>
    <s v="62955505015431425,49"/>
    <s v="09/00013026862-4"/>
    <x v="2"/>
    <m/>
    <n v="0"/>
    <m/>
    <s v="Cobrança Regular"/>
    <m/>
    <m/>
    <m/>
    <m/>
    <m/>
    <m/>
    <m/>
    <m/>
    <m/>
  </r>
  <r>
    <s v="TRIFÁSICO"/>
    <s v="10/3139326-7"/>
    <n v="67999361728"/>
    <n v="62955505182257"/>
    <s v="energisa_ms"/>
    <s v="Igreja do Evangelho Quadrangular"/>
    <x v="8"/>
    <s v="10/252817-245901"/>
    <s v="SIM"/>
    <n v="310"/>
    <n v="569.10918918918924"/>
    <n v="494.01689189189187"/>
    <s v="Aprovado"/>
    <n v="300.36918918918917"/>
    <n v="225.28"/>
    <m/>
    <m/>
    <n v="225.28"/>
    <m/>
    <s v="62955505182257225,28"/>
    <m/>
    <x v="1"/>
    <n v="300.37"/>
    <n v="75.09"/>
    <d v="2025-10-02T00:00:00"/>
    <m/>
    <m/>
    <m/>
    <m/>
    <m/>
    <m/>
    <m/>
    <m/>
    <m/>
    <m/>
  </r>
  <r>
    <s v="BIFÁSICO"/>
    <s v="10/452884-0"/>
    <s v="67 996469842"/>
    <n v="62955505000167"/>
    <s v="energisa_ms"/>
    <s v="Igreja do Evangelho Quadrangular"/>
    <x v="4"/>
    <s v="10/13786-945778"/>
    <s v="SIM"/>
    <n v="268"/>
    <n v="354.96999999999997"/>
    <n v="280.1875"/>
    <s v="Aprovado"/>
    <n v="299.13"/>
    <n v="224.35"/>
    <m/>
    <m/>
    <n v="224.35"/>
    <m/>
    <s v="62955505000167224,35"/>
    <m/>
    <x v="1"/>
    <n v="224.35"/>
    <n v="0"/>
    <m/>
    <m/>
    <m/>
    <m/>
    <m/>
    <m/>
    <m/>
    <m/>
    <m/>
    <m/>
    <s v="DEPÓSITO UNIFICADO ITAU R$386,62 - 03/06/2025"/>
  </r>
  <r>
    <s v="BIFÁSICO"/>
    <s v="10/109074-5"/>
    <m/>
    <n v="62955505000167"/>
    <s v="energisa_ms"/>
    <s v="Igreja do Evangelho Quadrangular"/>
    <x v="2"/>
    <s v="10/226667-445839"/>
    <s v="SIM"/>
    <n v="291"/>
    <n v="351.49"/>
    <n v="286.21663640286607"/>
    <s v="Aprovado"/>
    <n v="288.87000000000006"/>
    <n v="223.6"/>
    <d v="2025-09-10T00:00:00"/>
    <d v="2025-09-20T00:00:00"/>
    <n v="223.6"/>
    <m/>
    <s v="62955505000167223,6"/>
    <s v="09/00012749696-4"/>
    <x v="2"/>
    <n v="0"/>
    <n v="0"/>
    <m/>
    <s v="Cobrança Regular"/>
    <m/>
    <m/>
    <m/>
    <m/>
    <m/>
    <m/>
    <m/>
    <m/>
    <m/>
  </r>
  <r>
    <s v="TRIFÁSICO"/>
    <s v="10/532723-4"/>
    <n v="67996446178"/>
    <n v="62955505359360"/>
    <s v="energisa_ms"/>
    <s v="Igreja do Evangelho Quadrangular"/>
    <x v="8"/>
    <s v="10/952579-145931"/>
    <s v="SIM"/>
    <n v="261"/>
    <n v="483.90949999999998"/>
    <n v="409.45212500000002"/>
    <s v="Aprovado"/>
    <n v="297.8295"/>
    <n v="223.37"/>
    <m/>
    <m/>
    <n v="223.37"/>
    <m/>
    <s v="62955505359360223,37"/>
    <m/>
    <x v="1"/>
    <n v="223.37"/>
    <n v="0"/>
    <m/>
    <m/>
    <m/>
    <m/>
    <m/>
    <m/>
    <m/>
    <m/>
    <m/>
    <m/>
    <m/>
  </r>
  <r>
    <e v="#N/A"/>
    <s v="10/3005226-0"/>
    <e v="#N/A"/>
    <n v="62955505057789"/>
    <s v="energisa_ms"/>
    <s v="Igreja do Evangelho Quadrangular"/>
    <x v="1"/>
    <s v="10/252817-245809"/>
    <s v="SIM"/>
    <n v="283"/>
    <m/>
    <m/>
    <s v="Aprovado"/>
    <n v="288.08500000000004"/>
    <n v="222.84"/>
    <d v="2025-09-10T00:00:00"/>
    <d v="2025-09-20T00:00:00"/>
    <n v="0"/>
    <s v="Enviado para rateio de forma equivocada pel Hube"/>
    <s v="629555050577890"/>
    <m/>
    <x v="0"/>
    <m/>
    <n v="0"/>
    <m/>
    <m/>
    <m/>
    <m/>
    <m/>
    <m/>
    <m/>
    <m/>
    <m/>
    <m/>
    <m/>
  </r>
  <r>
    <s v="TRIFÁSICO"/>
    <s v="10/931327-1"/>
    <s v="67 992158055"/>
    <n v="62955505402710"/>
    <s v="energisa_ms"/>
    <s v="Igreja do Evangelho Quadrangular"/>
    <x v="3"/>
    <s v="10/1035655-845870"/>
    <s v="SIM"/>
    <n v="273"/>
    <n v="479.14840000000004"/>
    <n v="408.76493197914647"/>
    <s v="Aprovado"/>
    <n v="296.65839999999997"/>
    <n v="222.49"/>
    <d v="2025-07-22T00:00:00"/>
    <d v="2025-08-02T00:00:00"/>
    <n v="222.49"/>
    <m/>
    <s v="62955505402710222,49"/>
    <s v="09/00012472751-0"/>
    <x v="1"/>
    <n v="222.49"/>
    <n v="0"/>
    <s v="01/08/2025"/>
    <m/>
    <m/>
    <m/>
    <m/>
    <m/>
    <m/>
    <m/>
    <m/>
    <m/>
    <m/>
  </r>
  <r>
    <e v="#N/A"/>
    <s v="10/3005226-0"/>
    <e v="#N/A"/>
    <n v="62955505057789"/>
    <s v="energisa_ms"/>
    <s v="Igreja do Evangelho Quadrangular"/>
    <x v="4"/>
    <s v="10/513413-545658"/>
    <s v="SIM"/>
    <n v="295"/>
    <n v="493.92999999999995"/>
    <n v="420.0506770833332"/>
    <s v="Aprovado"/>
    <n v="531.48729166666669"/>
    <n v="221.64"/>
    <m/>
    <m/>
    <n v="215.51"/>
    <m/>
    <s v="62955505057789215,51"/>
    <m/>
    <x v="1"/>
    <n v="531.49"/>
    <n v="0"/>
    <d v="2025-11-05T00:00:00"/>
    <m/>
    <m/>
    <m/>
    <m/>
    <m/>
    <m/>
    <m/>
    <m/>
    <m/>
    <s v="VALOR DEVIDO - Cancelamento via email dia 30/04, tenho tudo formalizado por whatsapp com Diil"/>
  </r>
  <r>
    <s v="BIFÁSICO"/>
    <s v="10/3040565-8"/>
    <n v="67996135721"/>
    <n v="62955505015431"/>
    <s v="energisa_ms"/>
    <s v="Igreja do Evangelho Quadrangular"/>
    <x v="1"/>
    <s v="10/3092868-345809"/>
    <s v="SIM"/>
    <n v="284"/>
    <n v="383.98"/>
    <n v="318.50694600000003"/>
    <s v="Aprovado"/>
    <n v="285.40999999999991"/>
    <n v="219.94"/>
    <d v="2025-09-10T00:00:00"/>
    <d v="2025-09-20T00:00:00"/>
    <n v="219.94"/>
    <m/>
    <s v="62955505015431219,94"/>
    <s v="09/00012683507-1"/>
    <x v="1"/>
    <n v="219.94"/>
    <n v="0"/>
    <m/>
    <m/>
    <m/>
    <m/>
    <m/>
    <m/>
    <m/>
    <m/>
    <m/>
    <m/>
    <m/>
  </r>
  <r>
    <s v="TRIFÁSICO"/>
    <s v="10/81222-2"/>
    <s v="67 992491551"/>
    <n v="62955505015946"/>
    <s v="energisa_ms"/>
    <s v="Igreja do Evangelho Quadrangular"/>
    <x v="8"/>
    <s v="10/226667-445658"/>
    <s v="SIM"/>
    <n v="300"/>
    <n v="430.48212765957442"/>
    <n v="357.20409574468079"/>
    <s v="Aprovado"/>
    <n v="293.11212765957453"/>
    <n v="219.83"/>
    <m/>
    <m/>
    <n v="219.83"/>
    <m/>
    <s v="62955505015946219,83"/>
    <m/>
    <x v="1"/>
    <n v="219.83"/>
    <n v="0"/>
    <m/>
    <m/>
    <m/>
    <m/>
    <m/>
    <m/>
    <m/>
    <m/>
    <m/>
    <m/>
    <m/>
  </r>
  <r>
    <s v="TRIFÁSICO"/>
    <s v="10/931327-1"/>
    <s v="67 992158055"/>
    <n v="62955505402710"/>
    <s v="energisa_ms"/>
    <s v="Igreja do Evangelho Quadrangular"/>
    <x v="6"/>
    <s v="10/532723-445901"/>
    <s v="SIM"/>
    <n v="266"/>
    <n v="474.31000000000006"/>
    <n v="401.255"/>
    <s v="Aprovado"/>
    <n v="292.21999999999997"/>
    <n v="219.17"/>
    <m/>
    <m/>
    <n v="219.17"/>
    <m/>
    <s v="62955505402710219,17"/>
    <m/>
    <x v="1"/>
    <n v="219.17"/>
    <n v="0"/>
    <m/>
    <m/>
    <m/>
    <m/>
    <m/>
    <m/>
    <m/>
    <m/>
    <m/>
    <m/>
    <m/>
  </r>
  <r>
    <s v="BIFÁSICO"/>
    <s v="10/142353-2"/>
    <n v="67992899434"/>
    <n v="62955505113875"/>
    <s v="energisa_ms"/>
    <s v="Igreja do Evangelho Quadrangular"/>
    <x v="1"/>
    <s v="10/1672452-845839"/>
    <s v="SIM"/>
    <n v="278"/>
    <n v="387.53333333333325"/>
    <n v="323.33727266666665"/>
    <s v="Aprovado"/>
    <n v="282.64333333333332"/>
    <n v="218.45"/>
    <d v="2025-09-10T00:00:00"/>
    <d v="2025-09-20T00:00:00"/>
    <n v="218.45"/>
    <m/>
    <s v="62955505113875218,45"/>
    <s v="09/00012683497-5"/>
    <x v="1"/>
    <n v="282.64"/>
    <n v="64.19"/>
    <d v="2025-09-01T00:00:00"/>
    <m/>
    <m/>
    <m/>
    <m/>
    <m/>
    <m/>
    <m/>
    <m/>
    <m/>
    <m/>
  </r>
  <r>
    <s v="BIFÁSICO"/>
    <s v="10/341308-5"/>
    <n v="67993249456"/>
    <n v="62955505239119"/>
    <s v="energisa_ms"/>
    <s v="Igreja do Evangelho Quadrangular"/>
    <x v="9"/>
    <s v="10/395471-645717"/>
    <s v="SIM"/>
    <n v="280"/>
    <n v="347.11000000000007"/>
    <n v="264.00611307134545"/>
    <s v="Aprovado"/>
    <n v="297.14000000000004"/>
    <n v="217.05"/>
    <d v="2025-11-06T00:00:00"/>
    <d v="2025-11-13T00:00:00"/>
    <n v="217.05"/>
    <m/>
    <s v="62955505239119217,05"/>
    <s v="09/00013026890-5"/>
    <x v="1"/>
    <n v="217.05"/>
    <n v="0"/>
    <d v="2025-11-18T00:00:00"/>
    <m/>
    <m/>
    <m/>
    <m/>
    <m/>
    <m/>
    <m/>
    <m/>
    <m/>
    <m/>
  </r>
  <r>
    <e v="#N/A"/>
    <s v="10/3005226-0"/>
    <e v="#N/A"/>
    <n v="62955505057789"/>
    <s v="energisa_ms"/>
    <s v="Igreja do Evangelho Quadrangular"/>
    <x v="3"/>
    <s v="10/384823-145931"/>
    <s v="SIM"/>
    <n v="260"/>
    <n v="389.78529411764708"/>
    <n v="321.1701071888732"/>
    <s v="Aprovado"/>
    <n v="289.2052941176471"/>
    <n v="216.9"/>
    <d v="2025-07-22T00:00:00"/>
    <d v="2025-08-02T00:00:00"/>
    <n v="216.9"/>
    <s v="Enviado para rateio de forma equivocada pel Hube"/>
    <s v="62955505057789216,9"/>
    <s v="09/00012472768-4"/>
    <x v="0"/>
    <n v="0"/>
    <n v="-216.9"/>
    <m/>
    <m/>
    <m/>
    <m/>
    <m/>
    <m/>
    <m/>
    <m/>
    <m/>
    <m/>
    <m/>
  </r>
  <r>
    <s v="BIFÁSICO"/>
    <s v="10/142353-2"/>
    <n v="0"/>
    <n v="62955505113875"/>
    <s v="energisa_ms"/>
    <s v="Igreja do Evangelho Quadrangular"/>
    <x v="2"/>
    <s v="10/226667-445870"/>
    <s v="SIM"/>
    <n v="271"/>
    <n v="381.83600000000001"/>
    <n v="319.45810107948074"/>
    <s v="Aprovado"/>
    <n v="276.0560000000001"/>
    <n v="213.68"/>
    <d v="2025-09-10T00:00:00"/>
    <d v="2025-09-20T00:00:00"/>
    <n v="213.68"/>
    <m/>
    <s v="62955505113875213,68"/>
    <s v="09/00012749676-6"/>
    <x v="1"/>
    <n v="276.06"/>
    <n v="62.379999999999995"/>
    <d v="2025-11-03T00:00:00"/>
    <m/>
    <m/>
    <m/>
    <m/>
    <m/>
    <m/>
    <m/>
    <m/>
    <m/>
    <m/>
  </r>
  <r>
    <s v="BIFÁSICO"/>
    <s v="10/142353-2"/>
    <n v="0"/>
    <n v="62955505113875"/>
    <s v="energisa_ms"/>
    <s v="Igreja do Evangelho Quadrangular"/>
    <x v="0"/>
    <s v="10/69319-245689"/>
    <s v="SIM"/>
    <n v="306"/>
    <n v="400.77"/>
    <n v="322.55167253001252"/>
    <s v="Aprovado"/>
    <n v="291.23"/>
    <n v="213.01"/>
    <d v="2025-10-03T00:00:00"/>
    <d v="2025-10-13T00:00:00"/>
    <n v="213.01"/>
    <m/>
    <s v="62955505113875213,01"/>
    <s v="09/00012851436-9"/>
    <x v="1"/>
    <n v="213.01"/>
    <n v="0"/>
    <m/>
    <m/>
    <m/>
    <m/>
    <m/>
    <m/>
    <m/>
    <m/>
    <m/>
    <m/>
    <m/>
  </r>
  <r>
    <s v="BIFÁSICO"/>
    <s v="10/13786-9"/>
    <n v="67996266684"/>
    <n v="62955505197521"/>
    <s v="energisa_ms"/>
    <s v="Igreja do Evangelho Quadrangular"/>
    <x v="8"/>
    <s v="10/466560-045931"/>
    <s v="SIM"/>
    <n v="294"/>
    <n v="329.75000000000006"/>
    <n v="258.84250000000009"/>
    <s v="Aprovado"/>
    <n v="283.63"/>
    <n v="212.72"/>
    <m/>
    <m/>
    <n v="212.72"/>
    <m/>
    <s v="62955505197521212,72"/>
    <m/>
    <x v="1"/>
    <n v="212.72"/>
    <n v="0"/>
    <m/>
    <m/>
    <m/>
    <m/>
    <m/>
    <m/>
    <m/>
    <m/>
    <m/>
    <m/>
    <m/>
  </r>
  <r>
    <s v="TRIFÁSICO"/>
    <s v="10/3092868-3"/>
    <n v="0"/>
    <n v="62955505419443"/>
    <s v="energisa_ms"/>
    <s v="Igreja do Evangelho Quadrangular"/>
    <x v="0"/>
    <s v="10/532081-745627"/>
    <s v="SIM"/>
    <n v="240"/>
    <n v="410.76"/>
    <n v="332.88545393701577"/>
    <s v="Aprovado"/>
    <n v="289.95"/>
    <n v="212.08"/>
    <d v="2025-10-03T00:00:00"/>
    <d v="2025-10-13T00:00:00"/>
    <n v="212.08"/>
    <m/>
    <s v="62955505419443212,08"/>
    <s v="09/00012851412-0"/>
    <x v="1"/>
    <n v="212.08"/>
    <n v="0"/>
    <m/>
    <m/>
    <m/>
    <m/>
    <m/>
    <m/>
    <m/>
    <m/>
    <m/>
    <m/>
    <m/>
  </r>
  <r>
    <s v="TRIFÁSICO"/>
    <s v="10/513413-5"/>
    <n v="67992637973"/>
    <n v="62955505321630"/>
    <s v="energisa_ms"/>
    <s v="Igreja do Evangelho Quadrangular"/>
    <x v="4"/>
    <s v="10/489076-045778"/>
    <s v="SIM"/>
    <n v="253"/>
    <n v="742.1"/>
    <n v="671.49749999999995"/>
    <s v="Aprovado"/>
    <n v="282.41000000000003"/>
    <n v="211.81"/>
    <m/>
    <m/>
    <n v="211.81"/>
    <m/>
    <s v="62955505321630211,81"/>
    <m/>
    <x v="1"/>
    <n v="211.81"/>
    <n v="0"/>
    <m/>
    <m/>
    <m/>
    <m/>
    <m/>
    <m/>
    <m/>
    <m/>
    <m/>
    <m/>
    <m/>
  </r>
  <r>
    <s v="TRIFÁSICO"/>
    <s v="10/156956-5"/>
    <s v="67 998338301"/>
    <n v="62955505015350"/>
    <s v="energisa_ms"/>
    <s v="Igreja do Evangelho Quadrangular"/>
    <x v="9"/>
    <s v="10/104720-845839"/>
    <s v="SIM"/>
    <n v="240"/>
    <n v="491.08199999999999"/>
    <n v="408.8641368775983"/>
    <s v="Aprovado"/>
    <n v="293.97199999999998"/>
    <n v="211.75"/>
    <d v="2025-11-06T00:00:00"/>
    <d v="2025-11-13T00:00:00"/>
    <n v="211.75"/>
    <m/>
    <s v="62955505015350211,75"/>
    <s v="09/00013026971-3"/>
    <x v="1"/>
    <n v="211.75"/>
    <n v="0"/>
    <m/>
    <m/>
    <m/>
    <m/>
    <m/>
    <m/>
    <m/>
    <m/>
    <m/>
    <m/>
    <m/>
  </r>
  <r>
    <s v="BIFÁSICO"/>
    <s v="10/452884-0"/>
    <s v="67 996469842"/>
    <n v="62955505000167"/>
    <s v="energisa_ms"/>
    <s v="Igreja do Evangelho Quadrangular"/>
    <x v="5"/>
    <s v="10/129490-945870"/>
    <s v="SIM"/>
    <n v="252"/>
    <n v="364.07"/>
    <n v="293.52500029999999"/>
    <s v="Aprovado"/>
    <n v="282.17999880000002"/>
    <n v="211.63"/>
    <m/>
    <m/>
    <n v="211.63"/>
    <m/>
    <s v="62955505000167211,63"/>
    <m/>
    <x v="1"/>
    <n v="211.63"/>
    <n v="0"/>
    <m/>
    <m/>
    <m/>
    <m/>
    <m/>
    <m/>
    <m/>
    <m/>
    <m/>
    <m/>
    <m/>
  </r>
  <r>
    <s v="TRIFÁSICO"/>
    <s v="10/78338-1"/>
    <s v="67 984742936"/>
    <n v="62955505016837"/>
    <s v="energisa_ms"/>
    <s v="Igreja do Evangelho Quadrangular"/>
    <x v="9"/>
    <s v="10/2338577-645748"/>
    <s v="SIM"/>
    <n v="275"/>
    <n v="460.01999999999992"/>
    <n v="377.86702245936925"/>
    <s v="Aprovado"/>
    <n v="293.74"/>
    <n v="211.44"/>
    <d v="2025-11-06T00:00:00"/>
    <d v="2025-11-13T00:00:00"/>
    <n v="211.44"/>
    <m/>
    <s v="62955505016837211,44"/>
    <s v="09/00013026905-1"/>
    <x v="1"/>
    <n v="211.44"/>
    <n v="0"/>
    <m/>
    <m/>
    <m/>
    <m/>
    <m/>
    <m/>
    <m/>
    <m/>
    <m/>
    <m/>
    <m/>
  </r>
  <r>
    <s v="TRIFÁSICO"/>
    <s v="10/63920-3"/>
    <n v="0"/>
    <n v="62955505135500"/>
    <s v="energisa_ms"/>
    <s v="Igreja do Evangelho Quadrangular"/>
    <x v="2"/>
    <s v="10/175073-645658"/>
    <s v="SIM"/>
    <n v="268"/>
    <n v="444.31490909090911"/>
    <n v="382.94278327009903"/>
    <s v="Aprovado"/>
    <n v="271.60490909090908"/>
    <n v="210.23"/>
    <d v="2025-09-10T00:00:00"/>
    <d v="2025-09-20T00:00:00"/>
    <n v="210.23"/>
    <m/>
    <s v="62955505135500210,23"/>
    <s v="09/00012749683-2"/>
    <x v="1"/>
    <n v="271.60000000000002"/>
    <n v="61.370000000000033"/>
    <d v="2025-10-09T00:00:00"/>
    <m/>
    <m/>
    <m/>
    <m/>
    <m/>
    <m/>
    <m/>
    <m/>
    <m/>
    <m/>
  </r>
  <r>
    <s v="TRIFÁSICO"/>
    <s v="10/931327-1"/>
    <s v="67 992158055"/>
    <n v="62955505402710"/>
    <s v="energisa_ms"/>
    <s v="Igreja do Evangelho Quadrangular"/>
    <x v="5"/>
    <s v="10/489076-045839"/>
    <s v="SIM"/>
    <n v="269"/>
    <n v="457.99"/>
    <n v="388.07"/>
    <s v="Aprovado"/>
    <n v="279.68"/>
    <n v="209.76"/>
    <m/>
    <m/>
    <n v="209.76"/>
    <m/>
    <s v="62955505402710209,76"/>
    <m/>
    <x v="1"/>
    <n v="209.76"/>
    <n v="0"/>
    <m/>
    <m/>
    <m/>
    <m/>
    <m/>
    <m/>
    <m/>
    <m/>
    <m/>
    <m/>
    <m/>
  </r>
  <r>
    <s v="BIFÁSICO"/>
    <s v="10/1939035-0"/>
    <n v="0"/>
    <n v="62955505419443"/>
    <s v="energisa_ms"/>
    <s v="Igreja do Evangelho Quadrangular"/>
    <x v="0"/>
    <s v="10/987178-145627"/>
    <s v="SIM"/>
    <n v="237"/>
    <n v="377.58519999999999"/>
    <n v="300.67882832448902"/>
    <s v="Aprovado"/>
    <n v="286.34519999999998"/>
    <n v="209.44"/>
    <d v="2025-10-03T00:00:00"/>
    <d v="2025-10-13T00:00:00"/>
    <n v="209.44"/>
    <m/>
    <s v="62955505419443209,44"/>
    <s v="09/00012851415-3"/>
    <x v="1"/>
    <n v="209.44"/>
    <n v="0"/>
    <m/>
    <m/>
    <m/>
    <m/>
    <m/>
    <m/>
    <m/>
    <m/>
    <m/>
    <m/>
    <m/>
  </r>
  <r>
    <s v="TRIFÁSICO"/>
    <s v="10/435964-2"/>
    <n v="67992021114"/>
    <n v="62955505357405"/>
    <s v="energisa_ms"/>
    <s v="Igreja do Evangelho Quadrangular"/>
    <x v="8"/>
    <s v="10/501586-245748"/>
    <s v="SIM"/>
    <n v="286"/>
    <n v="386.22159999999997"/>
    <n v="316.48869999999999"/>
    <s v="Aprovado"/>
    <n v="278.93159999999995"/>
    <n v="209.2"/>
    <m/>
    <m/>
    <n v="209.2"/>
    <m/>
    <s v="62955505357405209,2"/>
    <m/>
    <x v="1"/>
    <n v="209.2"/>
    <n v="0"/>
    <m/>
    <m/>
    <m/>
    <m/>
    <m/>
    <m/>
    <m/>
    <m/>
    <m/>
    <m/>
    <m/>
  </r>
  <r>
    <e v="#N/A"/>
    <s v="10/3005226-0"/>
    <e v="#N/A"/>
    <n v="62955505057789"/>
    <s v="energisa_ms"/>
    <s v="Igreja do Evangelho Quadrangular"/>
    <x v="5"/>
    <s v="10/162736-345778"/>
    <s v="SIM"/>
    <n v="240"/>
    <n v="446.9"/>
    <n v="379.75749999999994"/>
    <s v="Aprovado"/>
    <n v="274.7"/>
    <n v="207.56"/>
    <m/>
    <m/>
    <n v="207.56"/>
    <m/>
    <s v="62955505057789207,56"/>
    <m/>
    <x v="1"/>
    <n v="207.56"/>
    <n v="0"/>
    <m/>
    <m/>
    <m/>
    <m/>
    <m/>
    <m/>
    <m/>
    <m/>
    <m/>
    <m/>
    <m/>
  </r>
  <r>
    <s v="TRIFÁSICO"/>
    <s v="10/3123706-8"/>
    <m/>
    <n v="62955505375721"/>
    <s v="energisa_ms"/>
    <s v="Igreja do Evangelho Quadrangular"/>
    <x v="2"/>
    <s v="10/283183-245839"/>
    <s v="SIM"/>
    <n v="260"/>
    <n v="411.20947368421054"/>
    <n v="350.63169927927493"/>
    <s v="Aprovado"/>
    <n v="268.08947368421047"/>
    <n v="207.51"/>
    <d v="2025-09-10T00:00:00"/>
    <d v="2025-09-20T00:00:00"/>
    <n v="207.51"/>
    <m/>
    <s v="62955505375721207,51"/>
    <s v="09/00012749691-5"/>
    <x v="2"/>
    <n v="0"/>
    <n v="-207.51"/>
    <m/>
    <s v="Cobrança Regular"/>
    <m/>
    <m/>
    <m/>
    <m/>
    <m/>
    <m/>
    <m/>
    <m/>
    <m/>
  </r>
  <r>
    <s v="TRIFÁSICO"/>
    <s v="10/76927-3"/>
    <s v="67 999373813"/>
    <n v="62955505058599"/>
    <s v="energisa_ms"/>
    <s v="Igreja do Evangelho Quadrangular"/>
    <x v="7"/>
    <s v="10/1672452-845717"/>
    <s v="SIM"/>
    <n v="273"/>
    <n v="454.2"/>
    <n v="385.375"/>
    <s v="Aprovado"/>
    <n v="275.3"/>
    <n v="206.48"/>
    <m/>
    <m/>
    <n v="206.48"/>
    <m/>
    <s v="62955505058599206,48"/>
    <m/>
    <x v="1"/>
    <n v="206.48"/>
    <n v="0"/>
    <m/>
    <m/>
    <m/>
    <m/>
    <m/>
    <m/>
    <m/>
    <m/>
    <m/>
    <m/>
    <m/>
  </r>
  <r>
    <s v="BIFÁSICO"/>
    <s v="10/13786-9"/>
    <n v="67996266684"/>
    <n v="62955505197521"/>
    <s v="energisa_ms"/>
    <s v="Igreja do Evangelho Quadrangular"/>
    <x v="9"/>
    <s v="10/908866-745717"/>
    <s v="SIM"/>
    <n v="270"/>
    <n v="333.88000000000005"/>
    <n v="254.04556329075706"/>
    <s v="Aprovado"/>
    <n v="285.45000000000005"/>
    <n v="206"/>
    <d v="2025-11-06T00:00:00"/>
    <d v="2025-11-13T00:00:00"/>
    <n v="206"/>
    <m/>
    <s v="62955505197521206"/>
    <s v="09/00013026894-7"/>
    <x v="1"/>
    <n v="206"/>
    <n v="0"/>
    <m/>
    <m/>
    <m/>
    <m/>
    <m/>
    <m/>
    <m/>
    <m/>
    <m/>
    <m/>
    <m/>
  </r>
  <r>
    <s v="TRIFÁSICO"/>
    <s v="10/1695011-5"/>
    <n v="67991767866"/>
    <n v="62955505461210"/>
    <s v="energisa_ms"/>
    <s v="Igreja do Evangelho Quadrangular"/>
    <x v="7"/>
    <s v="10/2605731-545748"/>
    <s v="SIM"/>
    <n v="246"/>
    <n v="1020.28"/>
    <n v="951.63000000000011"/>
    <s v="Aprovado"/>
    <n v="274.60000000000002"/>
    <n v="205.95"/>
    <m/>
    <m/>
    <n v="205.95"/>
    <m/>
    <s v="62955505461210205,95"/>
    <m/>
    <x v="1"/>
    <n v="205.95"/>
    <n v="0"/>
    <m/>
    <m/>
    <n v="283032"/>
    <n v="502"/>
    <s v="Igreja do Evangelho Quadrangular"/>
    <s v="'62955505269026'"/>
    <n v="118.05"/>
    <m/>
    <s v="A Unidade Consumidora 10/41548-9 economizou R$39,35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3092868-3"/>
    <s v=" 67 91285460"/>
    <n v="62955505419443"/>
    <s v="energisa_ms"/>
    <s v="Igreja do Evangelho Quadrangular"/>
    <x v="7"/>
    <s v="10/127464-645931"/>
    <s v="SIM"/>
    <n v="246"/>
    <n v="463.25"/>
    <n v="394.6"/>
    <s v="Aprovado"/>
    <n v="274.60000000000002"/>
    <n v="205.95"/>
    <m/>
    <m/>
    <n v="205.95"/>
    <m/>
    <s v="62955505419443205,95"/>
    <m/>
    <x v="1"/>
    <n v="205.95"/>
    <n v="0"/>
    <m/>
    <m/>
    <m/>
    <m/>
    <m/>
    <m/>
    <m/>
    <m/>
    <m/>
    <m/>
    <m/>
  </r>
  <r>
    <s v="TRIFÁSICO"/>
    <s v="10/510330-4"/>
    <n v="67992637973"/>
    <n v="62955505367117"/>
    <s v="energisa_ms"/>
    <s v="Igreja do Evangelho Quadrangular"/>
    <x v="7"/>
    <s v="10/3030784-745717"/>
    <s v="SIM"/>
    <n v="246"/>
    <n v="1001.16"/>
    <n v="932.51"/>
    <s v="Aprovado"/>
    <n v="274.60000000000002"/>
    <n v="205.95"/>
    <m/>
    <m/>
    <n v="205.95"/>
    <m/>
    <s v="62955505367117205,95"/>
    <m/>
    <x v="1"/>
    <n v="205.95"/>
    <n v="0"/>
    <m/>
    <m/>
    <m/>
    <m/>
    <m/>
    <m/>
    <m/>
    <m/>
    <m/>
    <m/>
    <m/>
  </r>
  <r>
    <s v="TRIFÁSICO"/>
    <s v="10/513413-5"/>
    <n v="67992637973"/>
    <n v="62955505321630"/>
    <s v="energisa_ms"/>
    <s v="Igreja do Evangelho Quadrangular"/>
    <x v="7"/>
    <s v="10/15297-545931"/>
    <s v="SIM"/>
    <n v="246"/>
    <n v="737.63999999999987"/>
    <n v="668.98999999999978"/>
    <s v="Aprovado"/>
    <n v="274.60000000000002"/>
    <n v="205.95"/>
    <m/>
    <m/>
    <n v="205.95"/>
    <m/>
    <s v="62955505321630205,95"/>
    <m/>
    <x v="1"/>
    <n v="205.95"/>
    <n v="0"/>
    <m/>
    <m/>
    <m/>
    <m/>
    <m/>
    <m/>
    <m/>
    <m/>
    <m/>
    <m/>
    <m/>
  </r>
  <r>
    <s v="TRIFÁSICO"/>
    <s v="10/127464-6"/>
    <n v="0"/>
    <n v="62955505331198"/>
    <s v="energisa_ms"/>
    <s v="Igreja do Evangelho Quadrangular"/>
    <x v="2"/>
    <s v="10/530195-745901"/>
    <s v="SIM"/>
    <n v="264"/>
    <n v="439.6514285714286"/>
    <n v="379.58162476236441"/>
    <s v="Aprovado"/>
    <n v="265.84142857142854"/>
    <n v="205.77"/>
    <d v="2025-09-10T00:00:00"/>
    <d v="2025-09-20T00:00:00"/>
    <n v="205.77"/>
    <m/>
    <s v="62955505331198205,77"/>
    <s v="09/00012749674-1"/>
    <x v="1"/>
    <n v="205.77"/>
    <n v="0"/>
    <m/>
    <m/>
    <m/>
    <m/>
    <m/>
    <m/>
    <m/>
    <m/>
    <m/>
    <m/>
    <m/>
  </r>
  <r>
    <s v="TRIFÁSICO"/>
    <s v="10/504844-2"/>
    <n v="67992637973"/>
    <n v="62955505354481"/>
    <s v="energisa_ms"/>
    <s v="Igreja do Evangelho Quadrangular"/>
    <x v="7"/>
    <s v="10/156956-545717"/>
    <s v="SIM"/>
    <n v="273"/>
    <n v="622.79"/>
    <n v="554.42750000000001"/>
    <s v="Aprovado"/>
    <n v="273.45"/>
    <n v="205.09"/>
    <m/>
    <m/>
    <n v="205.09"/>
    <m/>
    <s v="62955505354481205,09"/>
    <m/>
    <x v="1"/>
    <n v="205.09"/>
    <n v="0"/>
    <m/>
    <m/>
    <m/>
    <m/>
    <m/>
    <m/>
    <m/>
    <m/>
    <m/>
    <m/>
    <m/>
  </r>
  <r>
    <s v="TRIFÁSICO"/>
    <s v="10/2599101-9"/>
    <n v="0"/>
    <n v="62955505379395"/>
    <s v="energisa_ms"/>
    <s v="Igreja do Evangelho Quadrangular"/>
    <x v="2"/>
    <s v="10/237441-145931"/>
    <s v="SIM"/>
    <n v="227"/>
    <n v="387.34940594059412"/>
    <n v="327.7500581158825"/>
    <s v="Aprovado"/>
    <n v="263.75940594059409"/>
    <n v="204.16"/>
    <d v="2025-09-10T00:00:00"/>
    <d v="2025-09-20T00:00:00"/>
    <n v="204.16"/>
    <m/>
    <s v="62955505379395204,16"/>
    <s v="09/00012749638-6"/>
    <x v="1"/>
    <n v="204.16"/>
    <n v="0"/>
    <m/>
    <m/>
    <m/>
    <m/>
    <m/>
    <m/>
    <m/>
    <m/>
    <m/>
    <m/>
    <m/>
  </r>
  <r>
    <s v="TRIFÁSICO"/>
    <s v="10/81222-2"/>
    <s v="67 992491551"/>
    <n v="62955505015946"/>
    <s v="energisa_ms"/>
    <s v="Igreja do Evangelho Quadrangular"/>
    <x v="7"/>
    <s v="10/162736-345689"/>
    <s v="SIM"/>
    <n v="273"/>
    <n v="793.29"/>
    <n v="725.24499999999989"/>
    <s v="Aprovado"/>
    <n v="272.18"/>
    <n v="204.14"/>
    <m/>
    <m/>
    <n v="204.14"/>
    <m/>
    <s v="62955505015946204,14"/>
    <m/>
    <x v="1"/>
    <n v="204.14"/>
    <n v="0"/>
    <m/>
    <m/>
    <m/>
    <m/>
    <m/>
    <m/>
    <m/>
    <m/>
    <m/>
    <m/>
    <m/>
  </r>
  <r>
    <s v="BIFÁSICO"/>
    <s v="10/341308-5"/>
    <n v="67993249456"/>
    <n v="62955505239119"/>
    <s v="energisa_ms"/>
    <s v="Igreja do Evangelho Quadrangular"/>
    <x v="8"/>
    <s v="10/1548741-645778"/>
    <s v="SIM"/>
    <n v="278"/>
    <n v="315.71999999999997"/>
    <n v="247.97749999999999"/>
    <s v="Aprovado"/>
    <n v="270.96999999999997"/>
    <n v="203.23"/>
    <m/>
    <m/>
    <n v="203.23"/>
    <m/>
    <s v="62955505239119203,23"/>
    <m/>
    <x v="1"/>
    <n v="203.23"/>
    <n v="0"/>
    <d v="2025-09-01T00:00:00"/>
    <m/>
    <m/>
    <m/>
    <m/>
    <m/>
    <m/>
    <m/>
    <m/>
    <m/>
    <m/>
  </r>
  <r>
    <s v="TRIFÁSICO"/>
    <s v="10/1266128-6"/>
    <n v="67991306665"/>
    <n v="62955505379395"/>
    <s v="energisa_ms"/>
    <s v="Igreja do Evangelho Quadrangular"/>
    <x v="7"/>
    <s v="10/15297-545778"/>
    <s v="SIM"/>
    <n v="273"/>
    <n v="580.45000000000005"/>
    <n v="512.82000000000005"/>
    <s v="Aprovado"/>
    <n v="270.52"/>
    <n v="202.89"/>
    <m/>
    <m/>
    <n v="202.89"/>
    <m/>
    <s v="62955505379395202,89"/>
    <m/>
    <x v="1"/>
    <n v="202.89"/>
    <n v="0"/>
    <m/>
    <m/>
    <m/>
    <m/>
    <m/>
    <m/>
    <m/>
    <m/>
    <m/>
    <m/>
    <m/>
  </r>
  <r>
    <s v="BIFÁSICO"/>
    <s v="10/239312-2"/>
    <n v="67996711972"/>
    <n v="62955505016594"/>
    <s v="energisa_ms"/>
    <s v="Igreja do Evangelho Quadrangular"/>
    <x v="9"/>
    <s v="10/104720-845748"/>
    <s v="SIM"/>
    <n v="263"/>
    <n v="383.00428571428574"/>
    <n v="304.31533523002787"/>
    <s v="Aprovado"/>
    <n v="281.35428571428571"/>
    <n v="202.67"/>
    <d v="2025-11-06T00:00:00"/>
    <d v="2025-11-13T00:00:00"/>
    <n v="202.67"/>
    <m/>
    <s v="62955505016594202,67"/>
    <s v="09/00013026897-0"/>
    <x v="1"/>
    <n v="202.67"/>
    <n v="0"/>
    <m/>
    <m/>
    <m/>
    <m/>
    <m/>
    <m/>
    <m/>
    <m/>
    <m/>
    <m/>
    <m/>
  </r>
  <r>
    <s v="TRIFÁSICO"/>
    <s v="10/510330-4"/>
    <n v="67992637973"/>
    <n v="62955505367117"/>
    <s v="energisa_ms"/>
    <s v="Igreja do Evangelho Quadrangular"/>
    <x v="5"/>
    <s v="10/3005226-045778"/>
    <s v="SIM"/>
    <n v="240"/>
    <n v="752.47"/>
    <n v="685.34750000000008"/>
    <s v="Aprovado"/>
    <n v="268.49"/>
    <n v="201.37"/>
    <m/>
    <m/>
    <n v="201.37"/>
    <m/>
    <s v="62955505367117201,37"/>
    <m/>
    <x v="1"/>
    <n v="201.37"/>
    <n v="0"/>
    <m/>
    <m/>
    <m/>
    <m/>
    <m/>
    <m/>
    <m/>
    <m/>
    <m/>
    <m/>
    <m/>
  </r>
  <r>
    <s v="TRIFÁSICO"/>
    <s v="10/280638-8"/>
    <s v="67 81355403"/>
    <n v="62955505843253"/>
    <s v="energisa_ms"/>
    <s v="Igreja do Evangelho Quadrangular"/>
    <x v="4"/>
    <s v="10/1698130-045658"/>
    <s v="SIM"/>
    <n v="240"/>
    <n v="478.39"/>
    <n v="411.41500000000002"/>
    <s v="Aprovado"/>
    <n v="267.89999999999998"/>
    <n v="200.93"/>
    <m/>
    <m/>
    <n v="200.93"/>
    <m/>
    <s v="62955505843253200,93"/>
    <m/>
    <x v="1"/>
    <n v="200.93"/>
    <n v="0"/>
    <m/>
    <m/>
    <m/>
    <m/>
    <m/>
    <m/>
    <m/>
    <m/>
    <m/>
    <m/>
    <m/>
  </r>
  <r>
    <s v="BIFÁSICO"/>
    <s v="10/3040565-8"/>
    <n v="67996135721"/>
    <n v="62955505015431"/>
    <s v="energisa_ms"/>
    <s v="Igreja do Evangelho Quadrangular"/>
    <x v="4"/>
    <s v="10/489076-045809"/>
    <s v="SIM"/>
    <n v="240"/>
    <n v="520.76"/>
    <n v="453.78499999999997"/>
    <s v="Aprovado"/>
    <n v="267.89999999999998"/>
    <n v="200.93"/>
    <m/>
    <m/>
    <n v="200.93"/>
    <m/>
    <s v="62955505015431200,93"/>
    <m/>
    <x v="1"/>
    <n v="200.93"/>
    <n v="0"/>
    <m/>
    <m/>
    <m/>
    <m/>
    <m/>
    <m/>
    <m/>
    <m/>
    <m/>
    <m/>
    <s v="DEPÓSITO UNIFICADO ITAU R$1.310,17 - 10/06/2025"/>
  </r>
  <r>
    <s v="BIFÁSICO"/>
    <s v="10/1130988-7"/>
    <n v="67992637973"/>
    <n v="62955505040894"/>
    <s v="energisa_ms"/>
    <s v="Igreja do Evangelho Quadrangular"/>
    <x v="9"/>
    <s v="10/1433087-245778"/>
    <s v="SIM"/>
    <n v="268"/>
    <n v="347.31399999999996"/>
    <n v="269.41941844232582"/>
    <s v="Aprovado"/>
    <n v="278.51400000000001"/>
    <n v="200.62"/>
    <d v="2025-11-06T00:00:00"/>
    <d v="2025-11-13T00:00:00"/>
    <n v="200.62"/>
    <m/>
    <s v="62955505040894200,62"/>
    <s v="09/00013026916-8"/>
    <x v="1"/>
    <n v="200.62"/>
    <n v="0"/>
    <m/>
    <m/>
    <m/>
    <m/>
    <m/>
    <m/>
    <m/>
    <m/>
    <m/>
    <m/>
    <m/>
  </r>
  <r>
    <s v="TRIFÁSICO"/>
    <s v="10/1035655-8"/>
    <n v="67996135721"/>
    <n v="62955505182257"/>
    <s v="energisa_ms"/>
    <s v="Igreja do Evangelho Quadrangular"/>
    <x v="5"/>
    <s v="10/13786-945748"/>
    <s v="SIM"/>
    <n v="238"/>
    <n v="448.81000000000006"/>
    <n v="382.0775000000001"/>
    <s v="Aprovado"/>
    <n v="266.93"/>
    <n v="200.2"/>
    <m/>
    <m/>
    <n v="200.2"/>
    <m/>
    <s v="62955505182257200,2"/>
    <m/>
    <x v="1"/>
    <n v="200.2"/>
    <n v="0"/>
    <m/>
    <m/>
    <m/>
    <m/>
    <m/>
    <m/>
    <m/>
    <m/>
    <m/>
    <m/>
    <m/>
  </r>
  <r>
    <s v="TRIFÁSICO"/>
    <s v="10/1698130-0"/>
    <n v="67991767866"/>
    <n v="62955505461210"/>
    <s v="energisa_ms"/>
    <s v="Igreja do Evangelho Quadrangular"/>
    <x v="7"/>
    <s v="10/1695011-545931"/>
    <s v="SIM"/>
    <n v="239"/>
    <n v="458.08000000000004"/>
    <n v="391.38500000000005"/>
    <s v="Aprovado"/>
    <n v="266.77999999999997"/>
    <n v="200.09"/>
    <m/>
    <m/>
    <n v="200.09"/>
    <m/>
    <s v="62955505461210200,09"/>
    <m/>
    <x v="1"/>
    <n v="200.09"/>
    <n v="0"/>
    <m/>
    <m/>
    <n v="283032"/>
    <n v="502"/>
    <s v="Igreja do Evangelho Quadrangular"/>
    <s v="'62955505182257'"/>
    <n v="34.200000000000003"/>
    <m/>
    <s v="A Unidade Consumidora 10/52987-5 economizou R$11,4 na fatura referente à jun/2025  consumindo 45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489076-0"/>
    <n v="0"/>
    <n v="62955505016080"/>
    <s v="energisa_ms"/>
    <s v="Igreja do Evangelho Quadrangular"/>
    <x v="0"/>
    <s v="10/3139326-745689"/>
    <s v="SIM"/>
    <n v="258"/>
    <n v="443.43655172413793"/>
    <n v="370.59610645831799"/>
    <s v="Aprovado"/>
    <n v="271.20655172413791"/>
    <n v="198.37"/>
    <d v="2025-10-03T00:00:00"/>
    <d v="2025-10-13T00:00:00"/>
    <n v="198.37"/>
    <m/>
    <s v="62955505016080198,37"/>
    <s v="09/00012851438-5"/>
    <x v="1"/>
    <n v="198.37"/>
    <n v="0"/>
    <m/>
    <m/>
    <m/>
    <m/>
    <m/>
    <m/>
    <m/>
    <m/>
    <m/>
    <m/>
    <m/>
  </r>
  <r>
    <s v="TRIFÁSICO"/>
    <s v="10/532723-4"/>
    <s v="Inadimplência"/>
    <n v="62955505359360"/>
    <s v="energisa_ms"/>
    <s v="Igreja do Evangelho Quadrangular"/>
    <x v="2"/>
    <s v="10/257864-945839"/>
    <s v="SIM"/>
    <n v="236"/>
    <n v="438.5490410958904"/>
    <n v="381.02861721528734"/>
    <s v="Aprovado"/>
    <n v="254.55904109589045"/>
    <n v="197.04"/>
    <d v="2025-09-10T00:00:00"/>
    <d v="2025-09-20T00:00:00"/>
    <n v="197.04"/>
    <m/>
    <s v="62955505359360197,04"/>
    <s v="09/00012749667-5"/>
    <x v="1"/>
    <n v="197.04"/>
    <n v="0"/>
    <m/>
    <m/>
    <m/>
    <m/>
    <m/>
    <m/>
    <m/>
    <m/>
    <m/>
    <m/>
    <m/>
  </r>
  <r>
    <s v="BIFÁSICO"/>
    <s v="10/40190-1"/>
    <n v="67996859014"/>
    <n v="62955505177504"/>
    <s v="energisa_ms"/>
    <s v="Igreja do Evangelho Quadrangular"/>
    <x v="1"/>
    <s v="10/908866-745658"/>
    <s v="SIM"/>
    <n v="251"/>
    <n v="366.47875000000005"/>
    <n v="308.54406675000001"/>
    <s v="Aprovado"/>
    <n v="254.55874999999995"/>
    <n v="196.62"/>
    <d v="2025-09-10T00:00:00"/>
    <d v="2025-09-20T00:00:00"/>
    <n v="196.62"/>
    <m/>
    <s v="62955505177504196,62"/>
    <s v="09/00012683509-7"/>
    <x v="2"/>
    <m/>
    <n v="0"/>
    <m/>
    <s v="Cobrança Regular"/>
    <m/>
    <m/>
    <m/>
    <m/>
    <m/>
    <m/>
    <m/>
    <m/>
    <m/>
  </r>
  <r>
    <s v="BIFÁSICO"/>
    <s v="10/129490-9"/>
    <s v="Inadimplência"/>
    <n v="62955505405140"/>
    <s v="energisa_ms"/>
    <s v="Igreja do Evangelho Quadrangular"/>
    <x v="0"/>
    <s v="10/109074-545689"/>
    <s v="SIM"/>
    <n v="255"/>
    <n v="345.72"/>
    <n v="273.68705206383049"/>
    <s v="Aprovado"/>
    <n v="268.20000000000005"/>
    <n v="196.17"/>
    <d v="2025-10-03T00:00:00"/>
    <d v="2025-10-13T00:00:00"/>
    <n v="196.17"/>
    <m/>
    <s v="62955505405140196,17"/>
    <s v="09/00012851531-7"/>
    <x v="1"/>
    <n v="196.17"/>
    <n v="0"/>
    <d v="2025-11-10T00:00:00"/>
    <m/>
    <m/>
    <m/>
    <m/>
    <m/>
    <m/>
    <m/>
    <m/>
    <m/>
    <m/>
  </r>
  <r>
    <s v="TRIFÁSICO"/>
    <s v="10/1433087-2"/>
    <s v=" 67 91285460"/>
    <n v="62955505419443"/>
    <s v="energisa_ms"/>
    <s v="Igreja do Evangelho Quadrangular"/>
    <x v="4"/>
    <s v="10/142353-245901"/>
    <s v="SIM"/>
    <n v="234"/>
    <n v="412.16999999999996"/>
    <n v="346.87"/>
    <s v="Aprovado"/>
    <n v="261.2"/>
    <n v="195.9"/>
    <m/>
    <m/>
    <n v="195.9"/>
    <m/>
    <s v="62955505419443195,9"/>
    <m/>
    <x v="1"/>
    <n v="195.9"/>
    <n v="0"/>
    <m/>
    <m/>
    <m/>
    <m/>
    <m/>
    <m/>
    <m/>
    <m/>
    <m/>
    <m/>
    <m/>
  </r>
  <r>
    <e v="#N/A"/>
    <s v="10/3005226-0"/>
    <e v="#N/A"/>
    <s v="#ND"/>
    <s v="energisa_ms"/>
    <s v="Igreja do Evangelho Quadrangular"/>
    <x v="0"/>
    <s v="10/8777-545689"/>
    <s v="SIM"/>
    <n v="253"/>
    <m/>
    <m/>
    <s v="Não emitido"/>
    <n v="443.91888888888889"/>
    <n v="194.42"/>
    <m/>
    <m/>
    <m/>
    <s v="Pendente dado cadastral"/>
    <s v="#ND194,42"/>
    <m/>
    <x v="0"/>
    <m/>
    <n v="0"/>
    <m/>
    <m/>
    <m/>
    <m/>
    <m/>
    <m/>
    <m/>
    <m/>
    <m/>
    <m/>
    <m/>
  </r>
  <r>
    <s v="TRIFÁSICO"/>
    <s v="10/162736-3"/>
    <n v="67996150274"/>
    <n v="62955505197360"/>
    <s v="energisa_ms"/>
    <s v="Igreja do Evangelho Quadrangular"/>
    <x v="7"/>
    <s v="10/29964-445689"/>
    <s v="SIM"/>
    <n v="232"/>
    <n v="447.26"/>
    <n v="382.52249999999998"/>
    <s v="Aprovado"/>
    <n v="258.95000000000005"/>
    <n v="194.21"/>
    <m/>
    <m/>
    <n v="194.21"/>
    <m/>
    <s v="62955505197360194,21"/>
    <m/>
    <x v="2"/>
    <n v="0"/>
    <n v="-194.21"/>
    <m/>
    <s v="Cobrança Regular"/>
    <n v="283032"/>
    <n v="502"/>
    <s v="Igreja do Evangelho Quadrangular"/>
    <s v="'62955505197521'"/>
    <n v="53.1"/>
    <m/>
    <s v="A Unidade Consumidora 10/13786-9 economizou R$17,7 na fatura referente à jun/2025  consumindo 70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399338-3"/>
    <n v="67991060202"/>
    <n v="62955505213233"/>
    <s v="energisa_ms"/>
    <s v="Igreja do Evangelho Quadrangular"/>
    <x v="3"/>
    <s v="10/511753-645870"/>
    <s v="SIM"/>
    <n v="257"/>
    <n v="366.53928571428571"/>
    <n v="305.11432826594358"/>
    <s v="Aprovado"/>
    <n v="258.89928571428572"/>
    <n v="194.17"/>
    <d v="2025-07-22T00:00:00"/>
    <d v="2025-08-02T00:00:00"/>
    <n v="194.17"/>
    <m/>
    <s v="62955505213233194,17"/>
    <s v="09/00012472778-3"/>
    <x v="1"/>
    <n v="194.17"/>
    <n v="0"/>
    <s v="05/08/2025"/>
    <m/>
    <m/>
    <m/>
    <m/>
    <m/>
    <m/>
    <m/>
    <m/>
    <m/>
    <m/>
  </r>
  <r>
    <s v="TRIFÁSICO"/>
    <s v="10/1184751-4"/>
    <s v="67 96034976"/>
    <n v="62955505149047"/>
    <s v="energisa_ms"/>
    <s v="Igreja do Evangelho Quadrangular"/>
    <x v="3"/>
    <s v="10/1674177-945839"/>
    <s v="SIM"/>
    <n v="223"/>
    <n v="441.11199999999997"/>
    <n v="379.71961417167984"/>
    <s v="Aprovado"/>
    <n v="258.762"/>
    <n v="194.07"/>
    <d v="2025-07-22T00:00:00"/>
    <d v="2025-08-02T00:00:00"/>
    <n v="194.07"/>
    <m/>
    <s v="62955505149047194,07"/>
    <s v="09/00012472754-4"/>
    <x v="1"/>
    <n v="194.07"/>
    <n v="0"/>
    <m/>
    <m/>
    <m/>
    <m/>
    <m/>
    <m/>
    <m/>
    <m/>
    <m/>
    <m/>
    <m/>
  </r>
  <r>
    <s v="TRIFÁSICO"/>
    <s v="10/395471-6"/>
    <n v="67992876000"/>
    <n v="62955505248886"/>
    <s v="energisa_ms"/>
    <s v="Igreja do Evangelho Quadrangular"/>
    <x v="9"/>
    <s v="10/10731-845748"/>
    <s v="SIM"/>
    <n v="291"/>
    <n v="416.95249999999993"/>
    <n v="330.78542628536542"/>
    <s v="Aprovado"/>
    <n v="308.09249999999997"/>
    <n v="193.68"/>
    <d v="2025-11-06T00:00:00"/>
    <d v="2025-11-13T00:00:00"/>
    <n v="193.68"/>
    <m/>
    <s v="62955505248886193,68"/>
    <s v="09/00013026902-8"/>
    <x v="1"/>
    <n v="221.93"/>
    <n v="0"/>
    <d v="2025-12-04T00:00:00"/>
    <s v="Cobrança Regular"/>
    <m/>
    <m/>
    <m/>
    <m/>
    <m/>
    <m/>
    <m/>
    <m/>
    <m/>
  </r>
  <r>
    <s v="BIFÁSICO"/>
    <s v="10/13786-9"/>
    <n v="0"/>
    <n v="62955505197521"/>
    <s v="energisa_ms"/>
    <s v="Igreja do Evangelho Quadrangular"/>
    <x v="0"/>
    <s v="10/512142-145689"/>
    <s v="SIM"/>
    <n v="252"/>
    <n v="315.15999999999997"/>
    <n v="244.0509645951519"/>
    <s v="Aprovado"/>
    <n v="264.76"/>
    <n v="193.65"/>
    <d v="2025-10-03T00:00:00"/>
    <d v="2025-10-13T00:00:00"/>
    <n v="193.65"/>
    <m/>
    <s v="62955505197521193,65"/>
    <s v="09/00012851529-1"/>
    <x v="1"/>
    <n v="193.65"/>
    <n v="0"/>
    <m/>
    <m/>
    <m/>
    <m/>
    <m/>
    <m/>
    <m/>
    <m/>
    <m/>
    <m/>
    <m/>
  </r>
  <r>
    <s v="TRIFÁSICO"/>
    <s v="10/1698130-0"/>
    <n v="67991767866"/>
    <n v="62955505461210"/>
    <s v="energisa_ms"/>
    <s v="Igreja do Evangelho Quadrangular"/>
    <x v="4"/>
    <s v="10/81222-245778"/>
    <s v="SIM"/>
    <n v="248"/>
    <n v="447.12999999999994"/>
    <n v="382.65499999999992"/>
    <s v="Aprovado"/>
    <n v="257.90000000000003"/>
    <n v="193.43"/>
    <m/>
    <m/>
    <n v="193.43"/>
    <m/>
    <s v="62955505461210193,43"/>
    <m/>
    <x v="1"/>
    <n v="193.43"/>
    <n v="0"/>
    <m/>
    <m/>
    <m/>
    <m/>
    <m/>
    <m/>
    <m/>
    <m/>
    <m/>
    <m/>
    <m/>
  </r>
  <r>
    <s v="TRIFÁSICO"/>
    <s v="10/15297-5"/>
    <n v="67996266684"/>
    <n v="62955505312487"/>
    <s v="energisa_ms"/>
    <s v="Igreja do Evangelho Quadrangular"/>
    <x v="1"/>
    <s v="10/237441-145778"/>
    <s v="SIM"/>
    <n v="247"/>
    <n v="354.72310344827582"/>
    <n v="297.71190351724135"/>
    <s v="Aprovado"/>
    <n v="248.82310344827584"/>
    <n v="191.81"/>
    <d v="2025-09-10T00:00:00"/>
    <d v="2025-09-20T00:00:00"/>
    <n v="191.81"/>
    <m/>
    <s v="62955505312487191,81"/>
    <s v="09/00012683494-2"/>
    <x v="1"/>
    <n v="191.81"/>
    <n v="0"/>
    <m/>
    <m/>
    <m/>
    <m/>
    <m/>
    <m/>
    <m/>
    <m/>
    <m/>
    <m/>
    <m/>
  </r>
  <r>
    <s v="BIFÁSICO"/>
    <s v="10/257864-9"/>
    <n v="67981311823"/>
    <n v="62955505182176"/>
    <s v="energisa_ms"/>
    <s v="Igreja do Evangelho Quadrangular"/>
    <x v="6"/>
    <s v="10/532723-445658"/>
    <s v="SIM"/>
    <n v="234"/>
    <n v="332.25"/>
    <n v="268.54999999999995"/>
    <s v="Aprovado"/>
    <n v="254.80000000000004"/>
    <n v="191.1"/>
    <m/>
    <m/>
    <n v="191.1"/>
    <m/>
    <s v="62955505182176191,1"/>
    <m/>
    <x v="1"/>
    <n v="191.1"/>
    <n v="0"/>
    <m/>
    <m/>
    <m/>
    <m/>
    <m/>
    <m/>
    <m/>
    <m/>
    <m/>
    <m/>
    <m/>
  </r>
  <r>
    <s v="TRIFÁSICO"/>
    <s v="10/480529-7"/>
    <n v="6796411024"/>
    <n v="62955505182257"/>
    <s v="energisa_ms"/>
    <s v="Igreja do Evangelho Quadrangular"/>
    <x v="9"/>
    <s v="10/78338-145717"/>
    <s v="SIM"/>
    <n v="248"/>
    <n v="444.89152542372881"/>
    <n v="370.75932162097502"/>
    <s v="Aprovado"/>
    <n v="265.06152542372888"/>
    <n v="190.93"/>
    <d v="2025-11-06T00:00:00"/>
    <d v="2025-11-13T00:00:00"/>
    <n v="190.93"/>
    <m/>
    <s v="62955505182257190,93"/>
    <s v="09/00013026888-9"/>
    <x v="1"/>
    <n v="190.93"/>
    <n v="0"/>
    <m/>
    <m/>
    <m/>
    <m/>
    <m/>
    <m/>
    <m/>
    <m/>
    <m/>
    <m/>
    <m/>
  </r>
  <r>
    <s v="BIFÁSICO"/>
    <s v="10/41548-9"/>
    <n v="67996687077"/>
    <n v="62955505269026"/>
    <s v="energisa_ms"/>
    <s v="Igreja do Evangelho Quadrangular"/>
    <x v="9"/>
    <s v="10/341308-545717"/>
    <s v="SIM"/>
    <n v="244"/>
    <n v="373.48200000000003"/>
    <n v="299.83630533140217"/>
    <s v="Aprovado"/>
    <n v="263.322"/>
    <n v="189.68"/>
    <d v="2025-11-06T00:00:00"/>
    <d v="2025-11-13T00:00:00"/>
    <n v="189.68"/>
    <m/>
    <s v="62955505269026189,68"/>
    <s v="09/00013026882-2"/>
    <x v="1"/>
    <n v="189.68"/>
    <n v="0"/>
    <d v="2025-11-18T00:00:00"/>
    <m/>
    <m/>
    <m/>
    <m/>
    <m/>
    <m/>
    <m/>
    <m/>
    <m/>
    <m/>
  </r>
  <r>
    <s v="TRIFÁSICO"/>
    <s v="10/52987-5"/>
    <n v="67996983476"/>
    <n v="62955505182257"/>
    <s v="energisa_ms"/>
    <s v="Igreja do Evangelho Quadrangular"/>
    <x v="9"/>
    <s v="10/513413-545778"/>
    <s v="SIM"/>
    <n v="245"/>
    <n v="439.0018644067797"/>
    <n v="366.57560911131429"/>
    <s v="Aprovado"/>
    <n v="258.96186440677968"/>
    <n v="186.54"/>
    <d v="2025-11-06T00:00:00"/>
    <d v="2025-11-13T00:00:00"/>
    <n v="186.54"/>
    <m/>
    <s v="62955505182257186,54"/>
    <s v="09/00013026911-9"/>
    <x v="1"/>
    <n v="258.95999999999998"/>
    <n v="0"/>
    <d v="2025-12-02T00:00:00"/>
    <m/>
    <m/>
    <m/>
    <m/>
    <m/>
    <m/>
    <m/>
    <m/>
    <m/>
    <m/>
  </r>
  <r>
    <s v="TRIFÁSICO"/>
    <s v="10/1184751-4"/>
    <s v="67 96034976"/>
    <n v="62955505149047"/>
    <s v="energisa_ms"/>
    <s v="Igreja do Evangelho Quadrangular"/>
    <x v="6"/>
    <s v="10/1695011-545689"/>
    <s v="SIM"/>
    <n v="222"/>
    <n v="428.26"/>
    <n v="366.31"/>
    <s v="Aprovado"/>
    <n v="247.80000000000004"/>
    <n v="185.85"/>
    <m/>
    <m/>
    <n v="185.85"/>
    <m/>
    <s v="62955505149047185,85"/>
    <m/>
    <x v="1"/>
    <n v="185.85"/>
    <n v="0"/>
    <m/>
    <m/>
    <m/>
    <m/>
    <m/>
    <m/>
    <m/>
    <m/>
    <m/>
    <m/>
    <m/>
  </r>
  <r>
    <s v="TRIFÁSICO"/>
    <s v="10/1184751-4"/>
    <s v="67 96034976"/>
    <n v="62955505149047"/>
    <s v="energisa_ms"/>
    <s v="Igreja do Evangelho Quadrangular"/>
    <x v="5"/>
    <s v="10/1266128-645778"/>
    <s v="SIM"/>
    <n v="238"/>
    <n v="423"/>
    <n v="361.16499985000002"/>
    <s v="Aprovado"/>
    <n v="247.34000060000002"/>
    <n v="185.51"/>
    <m/>
    <m/>
    <n v="185.51"/>
    <m/>
    <s v="62955505149047185,51"/>
    <m/>
    <x v="1"/>
    <n v="185.51"/>
    <n v="0"/>
    <m/>
    <m/>
    <m/>
    <m/>
    <m/>
    <m/>
    <m/>
    <m/>
    <m/>
    <m/>
    <m/>
  </r>
  <r>
    <s v="TRIFÁSICO"/>
    <s v="10/260761-2"/>
    <n v="67996150274"/>
    <n v="62955505000167"/>
    <s v="energisa_ms"/>
    <s v="Igreja do Evangelho Quadrangular"/>
    <x v="7"/>
    <s v="10/1695011-545901"/>
    <s v="SIM"/>
    <n v="246"/>
    <n v="421.5"/>
    <n v="359.9"/>
    <s v="Aprovado"/>
    <n v="246.40000000000006"/>
    <n v="184.8"/>
    <m/>
    <m/>
    <n v="184.8"/>
    <m/>
    <s v="62955505000167184,8"/>
    <m/>
    <x v="1"/>
    <n v="184.8"/>
    <n v="0"/>
    <m/>
    <m/>
    <m/>
    <m/>
    <m/>
    <m/>
    <m/>
    <m/>
    <m/>
    <m/>
    <m/>
  </r>
  <r>
    <s v="TRIFÁSICO"/>
    <s v="10/69319-2"/>
    <n v="67998363594"/>
    <n v="62955505182257"/>
    <s v="energisa_ms"/>
    <s v="Igreja do Evangelho Quadrangular"/>
    <x v="9"/>
    <s v="10/513413-545748"/>
    <s v="SIM"/>
    <n v="241"/>
    <n v="432.69916666666666"/>
    <n v="361.22737205342514"/>
    <s v="Aprovado"/>
    <n v="255.54916666666665"/>
    <n v="184.14"/>
    <d v="2025-11-06T00:00:00"/>
    <d v="2025-11-13T00:00:00"/>
    <n v="184.14"/>
    <m/>
    <s v="62955505182257184,14"/>
    <s v="09/00013026896-2"/>
    <x v="1"/>
    <n v="184.14"/>
    <n v="0"/>
    <m/>
    <m/>
    <m/>
    <m/>
    <m/>
    <m/>
    <m/>
    <m/>
    <m/>
    <m/>
    <m/>
  </r>
  <r>
    <s v="BIFÁSICO"/>
    <s v="10/1017804-4"/>
    <n v="0"/>
    <n v="62955505878987"/>
    <s v="energisa_ms"/>
    <s v="Igreja do Evangelho Quadrangular"/>
    <x v="1"/>
    <s v="10/1695011-545748"/>
    <s v="SIM"/>
    <n v="205"/>
    <n v="419.26100000000002"/>
    <n v="364.56722260000004"/>
    <s v="Aprovado"/>
    <n v="238.42100000000002"/>
    <n v="183.73"/>
    <d v="2025-09-10T00:00:00"/>
    <d v="2025-09-20T00:00:00"/>
    <n v="183.73"/>
    <m/>
    <s v="62955505878987183,73"/>
    <s v="09/00012683478-5"/>
    <x v="1"/>
    <n v="183.73"/>
    <n v="0"/>
    <d v="2025-10-13T00:00:00"/>
    <m/>
    <m/>
    <m/>
    <m/>
    <m/>
    <m/>
    <m/>
    <m/>
    <m/>
    <m/>
  </r>
  <r>
    <s v="TRIFÁSICO"/>
    <s v="10/18015-8"/>
    <n v="67996266684"/>
    <n v="62955505016080"/>
    <s v="energisa_ms"/>
    <s v="Igreja do Evangelho Quadrangular"/>
    <x v="5"/>
    <s v="10/1674177-945748"/>
    <s v="SIM"/>
    <n v="218"/>
    <n v="1032.96"/>
    <n v="971.83500000000004"/>
    <s v="Aprovado"/>
    <n v="244.50000000000003"/>
    <n v="183.38"/>
    <m/>
    <m/>
    <n v="183.38"/>
    <m/>
    <s v="62955505016080183,38"/>
    <m/>
    <x v="1"/>
    <n v="183.38"/>
    <n v="0"/>
    <m/>
    <m/>
    <m/>
    <m/>
    <m/>
    <m/>
    <m/>
    <m/>
    <m/>
    <m/>
    <m/>
  </r>
  <r>
    <s v="TRIFÁSICO"/>
    <s v="10/1672452-8"/>
    <n v="67992637973"/>
    <n v="62955505017213"/>
    <s v="energisa_ms"/>
    <s v="Igreja do Evangelho Quadrangular"/>
    <x v="7"/>
    <s v="10/5202-745870"/>
    <s v="SIM"/>
    <n v="219"/>
    <n v="398.97999999999996"/>
    <n v="337.86500000000001"/>
    <s v="Aprovado"/>
    <n v="244.45999999999998"/>
    <n v="183.35"/>
    <m/>
    <m/>
    <n v="183.35"/>
    <m/>
    <s v="62955505017213183,35"/>
    <m/>
    <x v="1"/>
    <n v="183.35"/>
    <n v="0"/>
    <m/>
    <m/>
    <n v="283032"/>
    <n v="502"/>
    <s v="Igreja do Evangelho Quadrangular"/>
    <s v="'62955505135500'"/>
    <n v="119.1"/>
    <m/>
    <s v="A Unidade Consumidora 10/63920-3 economizou R$39,7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"/>
    <s v="regiao371@gmail.com"/>
    <m/>
  </r>
  <r>
    <s v="TRIFÁSICO"/>
    <s v="10/81222-2"/>
    <s v="67 992491551"/>
    <n v="62955505015946"/>
    <s v="energisa_ms"/>
    <s v="Igreja do Evangelho Quadrangular"/>
    <x v="3"/>
    <s v="10/384823-145839"/>
    <s v="SIM"/>
    <n v="241"/>
    <n v="381.21762711864409"/>
    <n v="323.40644550024945"/>
    <s v="Aprovado"/>
    <n v="243.66762711864408"/>
    <n v="182.75"/>
    <d v="2025-07-22T00:00:00"/>
    <d v="2025-08-02T00:00:00"/>
    <n v="182.75"/>
    <m/>
    <s v="62955505015946182,75"/>
    <s v="09/00012472781-7"/>
    <x v="1"/>
    <n v="182.75"/>
    <n v="0"/>
    <s v="04/08/2025"/>
    <m/>
    <m/>
    <m/>
    <m/>
    <m/>
    <m/>
    <m/>
    <m/>
    <m/>
    <m/>
  </r>
  <r>
    <s v="TRIFÁSICO"/>
    <s v="10/237441-1"/>
    <n v="67992637973"/>
    <n v="62955505017213"/>
    <s v="energisa_ms"/>
    <s v="Igreja do Evangelho Quadrangular"/>
    <x v="4"/>
    <s v="10/3005226-045809"/>
    <s v="SIM"/>
    <n v="217"/>
    <n v="396.75"/>
    <n v="336.26750000000004"/>
    <s v="Aprovado"/>
    <n v="241.93000000000004"/>
    <n v="181.45"/>
    <m/>
    <m/>
    <n v="181.45"/>
    <m/>
    <s v="62955505017213181,45"/>
    <m/>
    <x v="1"/>
    <n v="181.45"/>
    <n v="0"/>
    <m/>
    <m/>
    <m/>
    <m/>
    <m/>
    <m/>
    <m/>
    <m/>
    <m/>
    <m/>
    <m/>
  </r>
  <r>
    <s v="TRIFÁSICO"/>
    <s v="10/63920-3"/>
    <n v="67981263396"/>
    <n v="62955505135500"/>
    <s v="energisa_ms"/>
    <s v="Igreja do Evangelho Quadrangular"/>
    <x v="1"/>
    <s v="10/1548741-645931"/>
    <s v="SIM"/>
    <n v="231"/>
    <n v="405.39901639344259"/>
    <n v="352.07980003278681"/>
    <s v="Aprovado"/>
    <n v="234.44901639344266"/>
    <n v="181.13"/>
    <d v="2025-09-10T00:00:00"/>
    <d v="2025-09-20T00:00:00"/>
    <n v="181.13"/>
    <m/>
    <s v="62955505135500181,13"/>
    <s v="09/00012683506-3"/>
    <x v="1"/>
    <n v="181.13"/>
    <n v="0"/>
    <m/>
    <m/>
    <m/>
    <m/>
    <m/>
    <m/>
    <m/>
    <m/>
    <m/>
    <m/>
    <m/>
  </r>
  <r>
    <s v="TRIFÁSICO"/>
    <s v="10/156956-5"/>
    <s v="67 998338301"/>
    <n v="62955505015350"/>
    <s v="energisa_ms"/>
    <s v="Igreja do Evangelho Quadrangular"/>
    <x v="5"/>
    <s v="10/395471-645748"/>
    <s v="SIM"/>
    <n v="232"/>
    <n v="420.36"/>
    <n v="360.01750000000004"/>
    <s v="Aprovado"/>
    <n v="241.37"/>
    <n v="181.03"/>
    <m/>
    <m/>
    <n v="181.03"/>
    <m/>
    <s v="62955505015350181,03"/>
    <m/>
    <x v="1"/>
    <n v="181.03"/>
    <n v="0"/>
    <m/>
    <m/>
    <m/>
    <m/>
    <m/>
    <m/>
    <m/>
    <m/>
    <m/>
    <m/>
    <m/>
  </r>
  <r>
    <s v="BIFÁSICO"/>
    <s v="10/1939035-0"/>
    <s v=" 67 91285460"/>
    <n v="62955505419443"/>
    <s v="energisa_ms"/>
    <s v="Igreja do Evangelho Quadrangular"/>
    <x v="3"/>
    <s v="10/150263-245778"/>
    <s v="SIM"/>
    <n v="218"/>
    <n v="327.48600000000005"/>
    <n v="270.36798685036933"/>
    <s v="Aprovado"/>
    <n v="240.74599999999998"/>
    <n v="180.56"/>
    <d v="2025-07-22T00:00:00"/>
    <d v="2025-08-02T00:00:00"/>
    <n v="180.56"/>
    <m/>
    <s v="62955505419443180,56"/>
    <s v="09/00012472766-8"/>
    <x v="1"/>
    <n v="180.56"/>
    <n v="0"/>
    <s v="06/08/2025"/>
    <m/>
    <m/>
    <m/>
    <m/>
    <m/>
    <m/>
    <m/>
    <m/>
    <m/>
    <m/>
  </r>
  <r>
    <s v="BIFÁSICO"/>
    <s v="10/239312-2"/>
    <n v="0"/>
    <n v="62955505016594"/>
    <s v="energisa_ms"/>
    <s v="Igreja do Evangelho Quadrangular"/>
    <x v="2"/>
    <s v="10/252817-245839"/>
    <s v="SIM"/>
    <n v="230"/>
    <n v="326.41166666666669"/>
    <n v="273.73751366681478"/>
    <s v="Aprovado"/>
    <n v="233.11166666666668"/>
    <n v="180.44"/>
    <d v="2025-09-10T00:00:00"/>
    <d v="2025-09-20T00:00:00"/>
    <n v="180.44"/>
    <m/>
    <s v="62955505016594180,44"/>
    <s v="09/00012749695-6"/>
    <x v="1"/>
    <n v="180.44"/>
    <n v="0"/>
    <m/>
    <m/>
    <m/>
    <m/>
    <m/>
    <m/>
    <m/>
    <m/>
    <m/>
    <m/>
    <m/>
  </r>
  <r>
    <s v="TRIFÁSICO"/>
    <s v="10/504844-2"/>
    <n v="0"/>
    <n v="62955505354481"/>
    <s v="energisa_ms"/>
    <s v="Igreja do Evangelho Quadrangular"/>
    <x v="2"/>
    <s v="10/135237-645931"/>
    <s v="SIM"/>
    <n v="228"/>
    <n v="368.28645161290319"/>
    <n v="315.87333219991456"/>
    <s v="Aprovado"/>
    <n v="231.95645161290324"/>
    <n v="179.54"/>
    <d v="2025-09-10T00:00:00"/>
    <d v="2025-09-20T00:00:00"/>
    <n v="179.54"/>
    <m/>
    <s v="62955505354481179,54"/>
    <s v="09/00012749678-2"/>
    <x v="1"/>
    <n v="179.54"/>
    <n v="0"/>
    <m/>
    <m/>
    <m/>
    <m/>
    <m/>
    <m/>
    <m/>
    <m/>
    <m/>
    <m/>
    <m/>
  </r>
  <r>
    <e v="#N/A"/>
    <s v="10/3005226-0"/>
    <e v="#N/A"/>
    <s v="#ND"/>
    <s v="energisa_ms"/>
    <s v="Igreja do Evangelho Quadrangular"/>
    <x v="2"/>
    <s v="10/175073-645717"/>
    <s v="SIM"/>
    <n v="225"/>
    <m/>
    <m/>
    <s v="Aprovado"/>
    <n v="452.94999999999993"/>
    <n v="178.11"/>
    <m/>
    <m/>
    <m/>
    <s v="Pendente dado cadastral"/>
    <s v="#ND178,11"/>
    <e v="#N/A"/>
    <x v="0"/>
    <m/>
    <n v="0"/>
    <m/>
    <m/>
    <m/>
    <m/>
    <m/>
    <m/>
    <m/>
    <m/>
    <m/>
    <m/>
    <m/>
  </r>
  <r>
    <s v="BIFÁSICO"/>
    <s v="10/109074-5"/>
    <s v="67 91751433"/>
    <n v="62955505000167"/>
    <s v="energisa_ms"/>
    <s v="Igreja do Evangelho Quadrangular"/>
    <x v="1"/>
    <s v="10/129490-945931"/>
    <s v="SIM"/>
    <n v="227"/>
    <n v="277.87416666666667"/>
    <n v="225.49889683333333"/>
    <s v="Aprovado"/>
    <n v="230.33416666666665"/>
    <n v="177.96"/>
    <d v="2025-09-10T00:00:00"/>
    <d v="2025-09-20T00:00:00"/>
    <n v="177.96"/>
    <m/>
    <s v="62955505000167177,96"/>
    <s v="09/00012683517-0"/>
    <x v="1"/>
    <n v="177.96"/>
    <n v="0"/>
    <m/>
    <m/>
    <m/>
    <m/>
    <m/>
    <m/>
    <m/>
    <m/>
    <m/>
    <m/>
    <m/>
  </r>
  <r>
    <s v="TRIFÁSICO"/>
    <s v="10/489076-0"/>
    <n v="67996266684"/>
    <n v="62955505016080"/>
    <s v="energisa_ms"/>
    <s v="Igreja do Evangelho Quadrangular"/>
    <x v="3"/>
    <s v="10/2794432-145748"/>
    <s v="SIM"/>
    <n v="237"/>
    <n v="576.48878787878789"/>
    <n v="520.35946354116936"/>
    <s v="Aprovado"/>
    <n v="236.57878787878786"/>
    <n v="177.43"/>
    <d v="2025-07-22T00:00:00"/>
    <d v="2025-08-02T00:00:00"/>
    <n v="177.43"/>
    <m/>
    <s v="62955505016080177,43"/>
    <s v="09/00012472774-2"/>
    <x v="1"/>
    <n v="177.43"/>
    <n v="0"/>
    <s v="01/08/2025"/>
    <m/>
    <m/>
    <m/>
    <m/>
    <m/>
    <m/>
    <m/>
    <m/>
    <m/>
    <m/>
  </r>
  <r>
    <s v="BIFÁSICO"/>
    <s v="10/1081489-5"/>
    <n v="67996446178"/>
    <n v="62955505016918"/>
    <s v="energisa_ms"/>
    <s v="Igreja do Evangelho Quadrangular"/>
    <x v="3"/>
    <s v="10/72605-945870"/>
    <s v="SIM"/>
    <n v="237"/>
    <n v="543.52815789473686"/>
    <n v="487.39898302351577"/>
    <s v="Aprovado"/>
    <n v="236.57815789473682"/>
    <n v="177.43"/>
    <d v="2025-07-22T00:00:00"/>
    <d v="2025-08-02T00:00:00"/>
    <n v="177.43"/>
    <m/>
    <s v="62955505016918177,43"/>
    <s v="09/00012472772-6"/>
    <x v="1"/>
    <n v="236.58"/>
    <n v="59.150000000000006"/>
    <d v="2025-09-29T00:00:00"/>
    <m/>
    <m/>
    <m/>
    <m/>
    <m/>
    <m/>
    <m/>
    <m/>
    <m/>
    <m/>
  </r>
  <r>
    <s v="TRIFÁSICO"/>
    <s v="10/3139326-7"/>
    <n v="67999361728"/>
    <n v="62955505182257"/>
    <s v="energisa_ms"/>
    <s v="Igreja do Evangelho Quadrangular"/>
    <x v="3"/>
    <s v="10/1698130-045901"/>
    <s v="SIM"/>
    <n v="237"/>
    <n v="562.81016393442633"/>
    <n v="506.74219922834834"/>
    <s v="Aprovado"/>
    <n v="236.3201639344262"/>
    <n v="177.24"/>
    <d v="2025-07-22T00:00:00"/>
    <d v="2025-08-02T00:00:00"/>
    <n v="177.24"/>
    <m/>
    <s v="62955505182257177,24"/>
    <s v="09/00012472777-5"/>
    <x v="1"/>
    <n v="177.24"/>
    <n v="0"/>
    <s v="06/08/2025"/>
    <m/>
    <m/>
    <m/>
    <m/>
    <m/>
    <m/>
    <m/>
    <m/>
    <m/>
    <m/>
  </r>
  <r>
    <s v="TRIFÁSICO"/>
    <s v="10/532723-4"/>
    <n v="67996446178"/>
    <n v="62955505359360"/>
    <s v="energisa_ms"/>
    <s v="Igreja do Evangelho Quadrangular"/>
    <x v="3"/>
    <s v="10/2794432-145717"/>
    <s v="SIM"/>
    <n v="221"/>
    <n v="409.99797297297306"/>
    <n v="354.01593961403671"/>
    <s v="Aprovado"/>
    <n v="235.95797297297298"/>
    <n v="176.97"/>
    <d v="2025-07-22T00:00:00"/>
    <d v="2025-08-02T00:00:00"/>
    <n v="176.97"/>
    <m/>
    <s v="62955505359360176,97"/>
    <s v="09/00012472746-0"/>
    <x v="2"/>
    <n v="0"/>
    <n v="-176.97"/>
    <m/>
    <s v="Cobrança Regular"/>
    <m/>
    <m/>
    <m/>
    <m/>
    <m/>
    <m/>
    <m/>
    <m/>
    <m/>
  </r>
  <r>
    <s v="TRIFÁSICO"/>
    <s v="10/78338-1"/>
    <s v="67 984742936"/>
    <n v="62955505016837"/>
    <s v="energisa_ms"/>
    <s v="Igreja do Evangelho Quadrangular"/>
    <x v="8"/>
    <s v="10/1674177-945658"/>
    <s v="SIM"/>
    <n v="242"/>
    <n v="394.76866666666672"/>
    <n v="335.8415"/>
    <s v="Aprovado"/>
    <n v="235.70866666666669"/>
    <n v="176.78"/>
    <m/>
    <m/>
    <n v="176.78"/>
    <m/>
    <s v="62955505016837176,78"/>
    <m/>
    <x v="1"/>
    <n v="176.78"/>
    <n v="0"/>
    <d v="2025-09-02T00:00:00"/>
    <m/>
    <m/>
    <m/>
    <m/>
    <m/>
    <m/>
    <m/>
    <m/>
    <m/>
    <m/>
  </r>
  <r>
    <s v="BIFÁSICO"/>
    <s v="10/40190-1"/>
    <n v="67996859014"/>
    <n v="62955505177504"/>
    <s v="energisa_ms"/>
    <s v="Igreja do Evangelho Quadrangular"/>
    <x v="5"/>
    <s v="10/1674177-945778"/>
    <s v="SIM"/>
    <n v="240"/>
    <n v="434.76"/>
    <n v="376.31500000000005"/>
    <s v="Aprovado"/>
    <n v="233.77999999999997"/>
    <n v="175.34"/>
    <m/>
    <m/>
    <n v="175.34"/>
    <m/>
    <s v="62955505177504175,34"/>
    <e v="#N/A"/>
    <x v="2"/>
    <n v="0"/>
    <n v="-175.34"/>
    <m/>
    <s v="Cobrança Regular"/>
    <m/>
    <m/>
    <m/>
    <m/>
    <m/>
    <m/>
    <m/>
    <m/>
    <m/>
  </r>
  <r>
    <s v="BIFÁSICO"/>
    <s v="10/41548-9"/>
    <n v="67996687077"/>
    <n v="62955505269026"/>
    <s v="energisa_ms"/>
    <s v="Igreja do Evangelho Quadrangular"/>
    <x v="5"/>
    <s v="10/280638-845901"/>
    <s v="SIM"/>
    <n v="240"/>
    <n v="391.84000000000003"/>
    <n v="333.39500000000004"/>
    <s v="Aprovado"/>
    <n v="233.77999999999997"/>
    <n v="175.34"/>
    <m/>
    <m/>
    <n v="175.34"/>
    <m/>
    <s v="62955505269026175,34"/>
    <m/>
    <x v="1"/>
    <n v="233.77999999999997"/>
    <n v="58.439999999999969"/>
    <d v="2025-11-12T00:00:00"/>
    <m/>
    <m/>
    <m/>
    <m/>
    <m/>
    <m/>
    <m/>
    <m/>
    <m/>
    <m/>
  </r>
  <r>
    <s v="TRIFÁSICO"/>
    <s v="10/3123706-8"/>
    <n v="67999516782"/>
    <n v="62955505375721"/>
    <s v="energisa_ms"/>
    <s v="Igreja do Evangelho Quadrangular"/>
    <x v="4"/>
    <s v="10/260761-245658"/>
    <s v="SIM"/>
    <n v="240"/>
    <n v="505.81"/>
    <n v="447.36500000000001"/>
    <s v="Aprovado"/>
    <n v="233.78"/>
    <n v="175.34"/>
    <m/>
    <m/>
    <n v="175.34"/>
    <m/>
    <s v="62955505375721175,34"/>
    <m/>
    <x v="1"/>
    <n v="175.34"/>
    <n v="0"/>
    <m/>
    <m/>
    <m/>
    <m/>
    <m/>
    <m/>
    <m/>
    <m/>
    <m/>
    <m/>
    <m/>
  </r>
  <r>
    <s v="BIFÁSICO"/>
    <s v="10/129490-9"/>
    <s v=","/>
    <n v="62955505405140"/>
    <s v="energisa_ms"/>
    <s v="Igreja do Evangelho Quadrangular"/>
    <x v="4"/>
    <s v="10/69319-245931"/>
    <s v="SIM"/>
    <n v="240"/>
    <n v="392.86"/>
    <n v="334.41500000000002"/>
    <s v="Aprovado"/>
    <n v="233.78"/>
    <n v="175.34"/>
    <m/>
    <m/>
    <n v="175.34"/>
    <m/>
    <s v="62955505405140175,34"/>
    <m/>
    <x v="1"/>
    <n v="175.34"/>
    <n v="0"/>
    <m/>
    <m/>
    <m/>
    <m/>
    <m/>
    <m/>
    <m/>
    <m/>
    <m/>
    <m/>
    <m/>
  </r>
  <r>
    <s v="BIFÁSICO"/>
    <s v="10/109074-5"/>
    <s v="67 91751433"/>
    <n v="62955505000167"/>
    <s v="energisa_ms"/>
    <s v="Igreja do Evangelho Quadrangular"/>
    <x v="5"/>
    <s v="10/1266128-645901"/>
    <s v="SIM"/>
    <n v="240"/>
    <n v="396.18"/>
    <n v="337.73500200000001"/>
    <s v="Aprovado"/>
    <n v="233.77999199999999"/>
    <n v="175.33"/>
    <m/>
    <m/>
    <n v="175.33"/>
    <m/>
    <s v="62955505000167175,33"/>
    <e v="#N/A"/>
    <x v="2"/>
    <m/>
    <n v="-175.33"/>
    <m/>
    <s v="Cobrança Regular"/>
    <m/>
    <m/>
    <m/>
    <m/>
    <m/>
    <m/>
    <m/>
    <m/>
    <m/>
  </r>
  <r>
    <s v="TRIFÁSICO"/>
    <s v="10/76927-3"/>
    <s v="67 999373813"/>
    <n v="62955505058599"/>
    <s v="energisa_ms"/>
    <s v="Igreja do Evangelho Quadrangular"/>
    <x v="5"/>
    <s v="10/239312-245901"/>
    <s v="SIM"/>
    <n v="240"/>
    <n v="542.41999999999996"/>
    <n v="483.995"/>
    <s v="Aprovado"/>
    <n v="233.7"/>
    <n v="175.28"/>
    <m/>
    <m/>
    <n v="175.28"/>
    <m/>
    <s v="62955505058599175,28"/>
    <e v="#N/A"/>
    <x v="2"/>
    <n v="0"/>
    <n v="-175.28"/>
    <m/>
    <s v="Cobrança Regular"/>
    <m/>
    <m/>
    <m/>
    <m/>
    <m/>
    <m/>
    <m/>
    <m/>
    <m/>
  </r>
  <r>
    <s v="TRIFÁSICO"/>
    <s v="10/1674177-9"/>
    <s v="67 993047635"/>
    <n v="62955505016160"/>
    <s v="energisa_ms"/>
    <s v="Igreja do Evangelho Quadrangular"/>
    <x v="5"/>
    <s v="10/280638-845748"/>
    <s v="SIM"/>
    <n v="240"/>
    <n v="712.28"/>
    <n v="653.85500000000002"/>
    <s v="Aprovado"/>
    <n v="233.70000000000002"/>
    <n v="175.28"/>
    <m/>
    <m/>
    <n v="175.28"/>
    <m/>
    <s v="62955505016160175,28"/>
    <e v="#N/A"/>
    <x v="1"/>
    <n v="175.28"/>
    <n v="0"/>
    <d v="2025-06-30T00:00:00"/>
    <m/>
    <m/>
    <m/>
    <m/>
    <m/>
    <m/>
    <m/>
    <m/>
    <m/>
    <m/>
  </r>
  <r>
    <s v="TRIFÁSICO"/>
    <s v="10/480529-7"/>
    <n v="6796411024"/>
    <n v="62955505182257"/>
    <s v="energisa_ms"/>
    <s v="Igreja do Evangelho Quadrangular"/>
    <x v="5"/>
    <s v="10/78338-145901"/>
    <s v="SIM"/>
    <n v="240"/>
    <n v="523.89"/>
    <n v="465.47749999999996"/>
    <s v="Aprovado"/>
    <n v="233.65"/>
    <n v="175.24"/>
    <m/>
    <m/>
    <n v="175.24"/>
    <m/>
    <s v="62955505182257175,24"/>
    <m/>
    <x v="1"/>
    <n v="175.24"/>
    <n v="0"/>
    <m/>
    <m/>
    <m/>
    <m/>
    <m/>
    <m/>
    <m/>
    <m/>
    <m/>
    <m/>
    <m/>
  </r>
  <r>
    <s v="TRIFÁSICO"/>
    <s v="10/63920-3"/>
    <n v="67981263396"/>
    <n v="62955505135500"/>
    <s v="energisa_ms"/>
    <s v="Igreja do Evangelho Quadrangular"/>
    <x v="5"/>
    <s v="10/113971-645931"/>
    <s v="SIM"/>
    <n v="240"/>
    <n v="508.71"/>
    <n v="450.2974999999999"/>
    <s v="Aprovado"/>
    <n v="233.65"/>
    <n v="175.24"/>
    <m/>
    <m/>
    <n v="175.24"/>
    <m/>
    <s v="62955505135500175,24"/>
    <m/>
    <x v="1"/>
    <n v="175.24"/>
    <n v="0"/>
    <m/>
    <m/>
    <m/>
    <m/>
    <m/>
    <m/>
    <m/>
    <m/>
    <m/>
    <m/>
    <m/>
  </r>
  <r>
    <s v="BIFÁSICO"/>
    <s v="10/239312-2"/>
    <n v="67996711972"/>
    <n v="62955505016594"/>
    <s v="energisa_ms"/>
    <s v="Igreja do Evangelho Quadrangular"/>
    <x v="5"/>
    <s v="10/10232-745931"/>
    <s v="SIM"/>
    <n v="240"/>
    <n v="355.68"/>
    <n v="297.26750400000003"/>
    <s v="Aprovado"/>
    <n v="233.64998399999999"/>
    <n v="175.24"/>
    <m/>
    <m/>
    <n v="175.24"/>
    <m/>
    <s v="62955505016594175,24"/>
    <m/>
    <x v="1"/>
    <n v="175.24"/>
    <n v="0"/>
    <m/>
    <m/>
    <m/>
    <m/>
    <m/>
    <m/>
    <m/>
    <m/>
    <m/>
    <m/>
    <m/>
  </r>
  <r>
    <e v="#N/A"/>
    <s v="10/3005226-0"/>
    <e v="#N/A"/>
    <n v="62955505057789"/>
    <s v="energisa_ms"/>
    <s v="Igreja do Evangelho Quadrangular"/>
    <x v="8"/>
    <s v="10/109074-545809"/>
    <s v="SIM"/>
    <n v="206"/>
    <n v="336.60559999999998"/>
    <n v="278.19420000000002"/>
    <s v="Aprovado"/>
    <n v="233.6456"/>
    <n v="175.23"/>
    <m/>
    <m/>
    <n v="175.23"/>
    <m/>
    <s v="62955505057789175,23"/>
    <m/>
    <x v="1"/>
    <n v="233.65"/>
    <n v="58.420000000000016"/>
    <d v="2025-11-05T00:00:00"/>
    <m/>
    <m/>
    <m/>
    <m/>
    <m/>
    <m/>
    <m/>
    <m/>
    <m/>
    <m/>
  </r>
  <r>
    <s v="BIFÁSICO"/>
    <s v="10/341308-5"/>
    <n v="67993249456"/>
    <n v="62955505239119"/>
    <s v="energisa_ms"/>
    <s v="Igreja do Evangelho Quadrangular"/>
    <x v="5"/>
    <s v="10/78338-145748"/>
    <s v="SIM"/>
    <n v="240"/>
    <n v="376.61"/>
    <n v="318.20500040000002"/>
    <s v="Aprovado"/>
    <n v="233.61999840000001"/>
    <n v="175.21"/>
    <m/>
    <m/>
    <n v="175.21"/>
    <m/>
    <s v="62955505239119175,21"/>
    <e v="#N/A"/>
    <x v="4"/>
    <n v="0"/>
    <n v="-175.21"/>
    <m/>
    <m/>
    <m/>
    <m/>
    <m/>
    <m/>
    <m/>
    <m/>
    <m/>
    <m/>
    <m/>
  </r>
  <r>
    <s v="TRIFÁSICO"/>
    <s v="10/435964-2"/>
    <n v="67992021114"/>
    <n v="62955505357405"/>
    <s v="energisa_ms"/>
    <s v="Igreja do Evangelho Quadrangular"/>
    <x v="5"/>
    <s v="10/10232-745717"/>
    <s v="SIM"/>
    <n v="240"/>
    <n v="490.76"/>
    <n v="432.36499999999995"/>
    <s v="Aprovado"/>
    <n v="233.58"/>
    <n v="175.19"/>
    <m/>
    <m/>
    <n v="175.19"/>
    <m/>
    <s v="62955505357405175,19"/>
    <m/>
    <x v="1"/>
    <n v="175.19"/>
    <n v="0"/>
    <m/>
    <m/>
    <m/>
    <m/>
    <m/>
    <m/>
    <m/>
    <m/>
    <m/>
    <m/>
    <m/>
  </r>
  <r>
    <s v="TRIFÁSICO"/>
    <s v="10/504844-2"/>
    <n v="67992637973"/>
    <n v="62955505354481"/>
    <s v="energisa_ms"/>
    <s v="Igreja do Evangelho Quadrangular"/>
    <x v="5"/>
    <s v="10/156956-545778"/>
    <s v="SIM"/>
    <n v="240"/>
    <n v="765.53"/>
    <n v="707.13499999999999"/>
    <s v="Aprovado"/>
    <n v="233.58"/>
    <n v="175.19"/>
    <m/>
    <m/>
    <n v="175.19"/>
    <m/>
    <s v="62955505354481175,19"/>
    <m/>
    <x v="1"/>
    <n v="175.19"/>
    <n v="0"/>
    <m/>
    <m/>
    <m/>
    <m/>
    <m/>
    <m/>
    <m/>
    <m/>
    <m/>
    <m/>
    <m/>
  </r>
  <r>
    <s v="TRIFÁSICO"/>
    <s v="10/69319-2"/>
    <n v="67998363594"/>
    <n v="62955505182257"/>
    <s v="energisa_ms"/>
    <s v="Igreja do Evangelho Quadrangular"/>
    <x v="5"/>
    <s v="10/435964-245689"/>
    <s v="SIM"/>
    <n v="240"/>
    <n v="419.26"/>
    <n v="360.88499999999999"/>
    <s v="Aprovado"/>
    <n v="233.5"/>
    <n v="175.13"/>
    <m/>
    <m/>
    <n v="175.13"/>
    <m/>
    <s v="62955505182257175,13"/>
    <m/>
    <x v="1"/>
    <n v="233.5"/>
    <n v="58.370000000000005"/>
    <d v="2025-09-19T00:00:00"/>
    <m/>
    <m/>
    <m/>
    <m/>
    <m/>
    <m/>
    <m/>
    <m/>
    <m/>
    <m/>
  </r>
  <r>
    <s v="BIFÁSICO"/>
    <s v="10/13786-9"/>
    <n v="67996266684"/>
    <n v="62955505197521"/>
    <s v="energisa_ms"/>
    <s v="Igreja do Evangelho Quadrangular"/>
    <x v="5"/>
    <s v="10/40190-145778"/>
    <s v="SIM"/>
    <n v="240"/>
    <n v="323.52"/>
    <n v="265.15749999999997"/>
    <s v="Aprovado"/>
    <n v="233.45"/>
    <n v="175.09"/>
    <m/>
    <m/>
    <n v="175.09"/>
    <m/>
    <s v="62955505197521175,09"/>
    <e v="#N/A"/>
    <x v="2"/>
    <n v="0"/>
    <n v="-175.09"/>
    <m/>
    <s v="Cobrança Regular"/>
    <m/>
    <m/>
    <m/>
    <m/>
    <m/>
    <m/>
    <m/>
    <m/>
    <m/>
  </r>
  <r>
    <s v="TRIFÁSICO"/>
    <s v="10/8777-5"/>
    <s v="67 992319530"/>
    <n v="62955505122432"/>
    <s v="energisa_ms"/>
    <s v="Igreja do Evangelho Quadrangular"/>
    <x v="5"/>
    <s v="10/13786-945870"/>
    <s v="SIM"/>
    <n v="240"/>
    <n v="818.53"/>
    <n v="760.1674999999999"/>
    <s v="Aprovado"/>
    <n v="233.45"/>
    <n v="175.09"/>
    <m/>
    <m/>
    <n v="175.09"/>
    <m/>
    <s v="62955505122432175,09"/>
    <m/>
    <x v="1"/>
    <n v="175.09"/>
    <n v="0"/>
    <m/>
    <m/>
    <m/>
    <m/>
    <m/>
    <m/>
    <m/>
    <m/>
    <m/>
    <m/>
    <m/>
  </r>
  <r>
    <s v="TRIFÁSICO"/>
    <s v="10/395471-6"/>
    <n v="67992876000"/>
    <n v="62955505248886"/>
    <s v="energisa_ms"/>
    <s v="Igreja do Evangelho Quadrangular"/>
    <x v="5"/>
    <s v="10/2247256-745870"/>
    <s v="SIM"/>
    <n v="240"/>
    <n v="342.43"/>
    <n v="284.0675"/>
    <s v="Aprovado"/>
    <n v="233.45"/>
    <n v="175.09"/>
    <m/>
    <m/>
    <n v="175.09"/>
    <m/>
    <s v="62955505248886175,09"/>
    <e v="#N/A"/>
    <x v="1"/>
    <n v="233.45"/>
    <n v="0"/>
    <d v="2025-09-29T00:00:00"/>
    <m/>
    <m/>
    <m/>
    <m/>
    <m/>
    <m/>
    <m/>
    <m/>
    <m/>
    <m/>
  </r>
  <r>
    <s v="BIFÁSICO"/>
    <s v="10/511753-6"/>
    <n v="67996266684"/>
    <n v="62955505016080"/>
    <s v="energisa_ms"/>
    <s v="Igreja do Evangelho Quadrangular"/>
    <x v="3"/>
    <s v="10/512142-145658"/>
    <s v="SIM"/>
    <n v="210"/>
    <n v="347.17648648648651"/>
    <n v="292.5305472648862"/>
    <s v="Aprovado"/>
    <n v="230.32648648648649"/>
    <n v="172.74"/>
    <d v="2025-07-22T00:00:00"/>
    <d v="2025-08-02T00:00:00"/>
    <n v="172.74"/>
    <m/>
    <s v="62955505016080172,74"/>
    <s v="09/00012472750-2"/>
    <x v="1"/>
    <n v="172.74"/>
    <n v="0"/>
    <s v="02/08/2025"/>
    <m/>
    <m/>
    <m/>
    <m/>
    <m/>
    <m/>
    <m/>
    <m/>
    <m/>
    <m/>
  </r>
  <r>
    <s v="TRIFÁSICO"/>
    <s v="10/532723-4"/>
    <n v="67996446178"/>
    <n v="62955505359360"/>
    <s v="energisa_ms"/>
    <s v="Igreja do Evangelho Quadrangular"/>
    <x v="1"/>
    <s v="10/1130988-745778"/>
    <s v="SIM"/>
    <n v="209"/>
    <n v="392.80759999999992"/>
    <n v="342.32868055999995"/>
    <s v="Aprovado"/>
    <n v="223.05760000000001"/>
    <n v="172.58"/>
    <d v="2025-09-10T00:00:00"/>
    <d v="2025-09-20T00:00:00"/>
    <n v="172.58"/>
    <m/>
    <s v="62955505359360172,58"/>
    <s v="09/00012683531-1"/>
    <x v="2"/>
    <m/>
    <n v="0"/>
    <m/>
    <s v="Cobrança Regular"/>
    <m/>
    <m/>
    <m/>
    <m/>
    <m/>
    <m/>
    <m/>
    <m/>
    <m/>
  </r>
  <r>
    <s v="TRIFÁSICO"/>
    <s v="10/489076-0"/>
    <n v="67996266684"/>
    <n v="62955505016080"/>
    <s v="energisa_ms"/>
    <s v="Igreja do Evangelho Quadrangular"/>
    <x v="1"/>
    <s v="10/3125732-245809"/>
    <s v="SIM"/>
    <n v="218"/>
    <n v="388.47952380952376"/>
    <n v="338.16303704761901"/>
    <s v="Aprovado"/>
    <n v="222.35952380952372"/>
    <n v="172.04"/>
    <d v="2025-09-10T00:00:00"/>
    <d v="2025-09-20T00:00:00"/>
    <n v="172.04"/>
    <m/>
    <s v="62955505016080172,04"/>
    <s v="09/00012683499-1"/>
    <x v="1"/>
    <n v="172.04"/>
    <n v="0"/>
    <m/>
    <m/>
    <m/>
    <m/>
    <m/>
    <m/>
    <m/>
    <m/>
    <m/>
    <m/>
    <m/>
  </r>
  <r>
    <s v="BIFÁSICO"/>
    <s v="10/341308-5"/>
    <n v="0"/>
    <n v="62955505239119"/>
    <s v="energisa_ms"/>
    <s v="Igreja do Evangelho Quadrangular"/>
    <x v="2"/>
    <s v="10/530195-745870"/>
    <s v="SIM"/>
    <n v="219"/>
    <n v="276.94928571428568"/>
    <n v="226.72960753506365"/>
    <s v="Aprovado"/>
    <n v="222.24928571428569"/>
    <n v="172.03"/>
    <d v="2025-09-10T00:00:00"/>
    <d v="2025-09-20T00:00:00"/>
    <n v="172.03"/>
    <m/>
    <s v="62955505239119172,03"/>
    <s v="09/00012749694-9"/>
    <x v="4"/>
    <n v="0"/>
    <n v="-172.03"/>
    <m/>
    <m/>
    <m/>
    <m/>
    <m/>
    <m/>
    <m/>
    <m/>
    <m/>
    <m/>
    <m/>
  </r>
  <r>
    <s v="TRIFÁSICO"/>
    <s v="10/931327-1"/>
    <n v="0"/>
    <n v="62955505402710"/>
    <s v="energisa_ms"/>
    <s v="Igreja do Evangelho Quadrangular"/>
    <x v="2"/>
    <s v="10/10232-745870"/>
    <s v="SIM"/>
    <n v="188"/>
    <n v="399.8304"/>
    <n v="349.68729678684036"/>
    <s v="Aprovado"/>
    <n v="221.91039999999998"/>
    <n v="171.77"/>
    <d v="2025-09-10T00:00:00"/>
    <d v="2025-09-20T00:00:00"/>
    <n v="171.77"/>
    <m/>
    <s v="62955505402710171,77"/>
    <s v="09/00012749649-3"/>
    <x v="1"/>
    <n v="171.77"/>
    <n v="0"/>
    <m/>
    <m/>
    <m/>
    <m/>
    <m/>
    <m/>
    <m/>
    <m/>
    <m/>
    <m/>
    <m/>
  </r>
  <r>
    <s v="TRIFÁSICO"/>
    <s v="10/480529-7"/>
    <n v="0"/>
    <n v="62955505182257"/>
    <s v="energisa_ms"/>
    <s v="Igreja do Evangelho Quadrangular"/>
    <x v="0"/>
    <s v="10/24514-245689"/>
    <s v="SIM"/>
    <n v="223"/>
    <n v="408.35546875000006"/>
    <n v="345.39097242315347"/>
    <s v="Aprovado"/>
    <n v="234.43546874999998"/>
    <n v="171.47"/>
    <d v="2025-10-03T00:00:00"/>
    <d v="2025-10-13T00:00:00"/>
    <n v="171.47"/>
    <m/>
    <s v="62955505182257171,47"/>
    <s v="09/00012851449-2"/>
    <x v="1"/>
    <n v="171.47"/>
    <n v="0"/>
    <m/>
    <m/>
    <m/>
    <m/>
    <m/>
    <m/>
    <m/>
    <m/>
    <m/>
    <m/>
    <m/>
  </r>
  <r>
    <s v="TRIFÁSICO"/>
    <s v="10/1266128-6"/>
    <n v="67991306665"/>
    <n v="62955505379395"/>
    <s v="energisa_ms"/>
    <s v="Igreja do Evangelho Quadrangular"/>
    <x v="8"/>
    <s v="10/435964-245839"/>
    <s v="SIM"/>
    <n v="230"/>
    <n v="330.39333333333332"/>
    <n v="273.90499999999997"/>
    <s v="Aprovado"/>
    <n v="225.95333333333338"/>
    <n v="169.47"/>
    <m/>
    <m/>
    <n v="169.47"/>
    <m/>
    <s v="62955505379395169,47"/>
    <m/>
    <x v="1"/>
    <n v="169.47"/>
    <n v="0"/>
    <m/>
    <m/>
    <m/>
    <m/>
    <m/>
    <m/>
    <m/>
    <m/>
    <m/>
    <m/>
    <m/>
  </r>
  <r>
    <s v="BIFÁSICO"/>
    <s v="10/257864-9"/>
    <n v="67981311823"/>
    <n v="62955505182176"/>
    <s v="energisa_ms"/>
    <s v="Igreja do Evangelho Quadrangular"/>
    <x v="4"/>
    <s v="10/435964-245778"/>
    <s v="SIM"/>
    <n v="212"/>
    <n v="299.44"/>
    <n v="243.05499999999998"/>
    <s v="Aprovado"/>
    <n v="225.54"/>
    <n v="169.16"/>
    <m/>
    <m/>
    <n v="169.16"/>
    <m/>
    <s v="62955505182176169,16"/>
    <m/>
    <x v="2"/>
    <m/>
    <n v="0"/>
    <m/>
    <s v="Cobrança Regular"/>
    <m/>
    <m/>
    <m/>
    <m/>
    <m/>
    <m/>
    <m/>
    <m/>
    <n v="0"/>
  </r>
  <r>
    <s v="TRIFÁSICO"/>
    <s v="10/510330-4"/>
    <n v="67992637973"/>
    <n v="62955505367117"/>
    <s v="energisa_ms"/>
    <s v="Igreja do Evangelho Quadrangular"/>
    <x v="1"/>
    <s v="10/226667-445901"/>
    <s v="SIM"/>
    <n v="187"/>
    <n v="393.7081"/>
    <n v="343.81174185999998"/>
    <s v="Aprovado"/>
    <n v="218.2081"/>
    <n v="168.31"/>
    <d v="2025-09-10T00:00:00"/>
    <d v="2025-09-20T00:00:00"/>
    <n v="168.31"/>
    <m/>
    <s v="62955505367117168,31"/>
    <s v="09/00012683475-1"/>
    <x v="1"/>
    <n v="218.21"/>
    <n v="0"/>
    <d v="2025-09-11T00:00:00"/>
    <m/>
    <m/>
    <m/>
    <m/>
    <m/>
    <m/>
    <m/>
    <m/>
    <m/>
    <m/>
  </r>
  <r>
    <s v="BIFÁSICO"/>
    <s v="10/511753-6"/>
    <n v="67996266684"/>
    <n v="62955505016080"/>
    <s v="energisa_ms"/>
    <s v="Igreja do Evangelho Quadrangular"/>
    <x v="7"/>
    <s v="10/1081489-545901"/>
    <s v="SIM"/>
    <n v="201"/>
    <n v="341.47"/>
    <n v="285.38"/>
    <s v="Aprovado"/>
    <n v="224.35999999999999"/>
    <n v="168.27"/>
    <m/>
    <m/>
    <n v="168.27"/>
    <m/>
    <s v="62955505016080168,27"/>
    <m/>
    <x v="1"/>
    <n v="168.27"/>
    <n v="0"/>
    <m/>
    <m/>
    <m/>
    <m/>
    <m/>
    <m/>
    <m/>
    <m/>
    <m/>
    <m/>
    <m/>
  </r>
  <r>
    <s v="BIFÁSICO"/>
    <s v="10/129490-9"/>
    <m/>
    <n v="62955505405140"/>
    <s v="energisa_ms"/>
    <s v="Igreja do Evangelho Quadrangular"/>
    <x v="2"/>
    <s v="10/452884-045931"/>
    <s v="SIM"/>
    <n v="209"/>
    <n v="291.21624999999995"/>
    <n v="242.62417721137479"/>
    <s v="Aprovado"/>
    <n v="215.04624999999999"/>
    <n v="166.45"/>
    <d v="2025-09-10T00:00:00"/>
    <d v="2025-09-20T00:00:00"/>
    <n v="166.45"/>
    <m/>
    <s v="62955505405140166,45"/>
    <s v="09/00012749692-3"/>
    <x v="1"/>
    <n v="166.45"/>
    <n v="0"/>
    <d v="2025-10-01T00:00:00"/>
    <m/>
    <m/>
    <m/>
    <m/>
    <m/>
    <m/>
    <m/>
    <m/>
    <m/>
    <m/>
  </r>
  <r>
    <s v="TRIFÁSICO"/>
    <s v="10/252817-2"/>
    <n v="67992637973"/>
    <n v="62955505274020"/>
    <s v="energisa_ms"/>
    <s v="Igreja do Evangelho Quadrangular"/>
    <x v="9"/>
    <s v="10/104720-845778"/>
    <s v="SIM"/>
    <n v="218"/>
    <n v="389.18718749999999"/>
    <n v="324.60724268942704"/>
    <s v="Aprovado"/>
    <n v="230.90718749999999"/>
    <n v="166.33"/>
    <d v="2025-11-06T00:00:00"/>
    <d v="2025-11-13T00:00:00"/>
    <n v="166.33"/>
    <m/>
    <s v="62955505274020166,33"/>
    <s v="09/00013026913-5"/>
    <x v="1"/>
    <n v="166.33"/>
    <n v="0"/>
    <m/>
    <m/>
    <m/>
    <m/>
    <m/>
    <m/>
    <m/>
    <m/>
    <m/>
    <m/>
    <m/>
  </r>
  <r>
    <s v="TRIFÁSICO"/>
    <s v="10/1184751-4"/>
    <s v="67 96034976"/>
    <n v="62955505149047"/>
    <s v="energisa_ms"/>
    <s v="Igreja do Evangelho Quadrangular"/>
    <x v="8"/>
    <s v="10/3030784-745870"/>
    <s v="SIM"/>
    <n v="208"/>
    <n v="390.31164705882355"/>
    <n v="335.01623529411768"/>
    <s v="Aprovado"/>
    <n v="221.18164705882353"/>
    <n v="165.89"/>
    <m/>
    <m/>
    <n v="165.89"/>
    <m/>
    <s v="62955505149047165,89"/>
    <m/>
    <x v="1"/>
    <n v="221.18"/>
    <n v="55.29000000000002"/>
    <d v="2025-09-22T00:00:00"/>
    <m/>
    <m/>
    <m/>
    <m/>
    <m/>
    <m/>
    <m/>
    <m/>
    <m/>
    <m/>
  </r>
  <r>
    <s v="BIFÁSICO"/>
    <s v="10/257864-9"/>
    <n v="67981311823"/>
    <n v="62955505182176"/>
    <s v="energisa_ms"/>
    <s v="Igreja do Evangelho Quadrangular"/>
    <x v="7"/>
    <s v="10/2599101-945778"/>
    <s v="SIM"/>
    <n v="198"/>
    <n v="298.09999999999997"/>
    <n v="242.8475"/>
    <s v="Aprovado"/>
    <n v="221.01"/>
    <n v="165.76"/>
    <m/>
    <m/>
    <n v="165.76"/>
    <m/>
    <s v="62955505182176165,76"/>
    <m/>
    <x v="2"/>
    <n v="0"/>
    <n v="-165.76"/>
    <m/>
    <s v="Cobrança Regular"/>
    <n v="283032"/>
    <n v="502"/>
    <s v="Igreja do Evangelho Quadrangular"/>
    <s v="'62955505015512'"/>
    <n v="59.57"/>
    <m/>
    <s v="A Unidade Consumidora 10/3125732-2 economizou R$19,86 na fatura referente à jun/2025  consumindo 79 kWh em créditos de energia renovável conforme fatura de energia. A economia foi de 25% em relação ao que seria pago para a Energisa considerando os créditos consumidos. Atenção: Mantenha as contas da Energisa em dia para evitar cortes."/>
    <s v="pastoreliasmn@hotmail.com"/>
    <m/>
  </r>
  <r>
    <s v="BIFÁSICO"/>
    <s v="10/142353-2"/>
    <n v="67992899434"/>
    <n v="62955505113875"/>
    <s v="energisa_ms"/>
    <s v="Igreja do Evangelho Quadrangular"/>
    <x v="3"/>
    <s v="10/532081-745778"/>
    <s v="SIM"/>
    <n v="217"/>
    <n v="441.53801886792451"/>
    <n v="389.48016001683652"/>
    <s v="Aprovado"/>
    <n v="219.41801886792456"/>
    <n v="164.56"/>
    <d v="2025-07-22T00:00:00"/>
    <d v="2025-08-02T00:00:00"/>
    <n v="164.56"/>
    <m/>
    <s v="62955505113875164,56"/>
    <s v="09/00012472770-0"/>
    <x v="1"/>
    <n v="164.56"/>
    <n v="0"/>
    <m/>
    <m/>
    <m/>
    <m/>
    <m/>
    <m/>
    <m/>
    <m/>
    <m/>
    <m/>
    <m/>
  </r>
  <r>
    <s v="TRIFÁSICO"/>
    <s v="10/81222-2"/>
    <n v="0"/>
    <n v="62955505015946"/>
    <s v="energisa_ms"/>
    <s v="Igreja do Evangelho Quadrangular"/>
    <x v="2"/>
    <s v="10/3030784-745839"/>
    <s v="SIM"/>
    <n v="207"/>
    <n v="352.28090909090906"/>
    <n v="304.54643545461596"/>
    <s v="Aprovado"/>
    <n v="211.25090909090912"/>
    <n v="163.52000000000001"/>
    <d v="2025-09-10T00:00:00"/>
    <d v="2025-09-20T00:00:00"/>
    <n v="163.52000000000001"/>
    <m/>
    <s v="62955505015946163,52"/>
    <s v="09/00012749689-9"/>
    <x v="1"/>
    <n v="163.52000000000001"/>
    <n v="0"/>
    <m/>
    <m/>
    <m/>
    <m/>
    <m/>
    <m/>
    <m/>
    <m/>
    <m/>
    <m/>
    <m/>
  </r>
  <r>
    <s v="TRIFÁSICO"/>
    <s v="10/1698130-0"/>
    <n v="67991767866"/>
    <n v="62955505461210"/>
    <s v="energisa_ms"/>
    <s v="Igreja do Evangelho Quadrangular"/>
    <x v="9"/>
    <s v="10/162736-345839"/>
    <s v="SIM"/>
    <n v="184"/>
    <n v="421.93799999999999"/>
    <n v="358.89326693247807"/>
    <s v="Aprovado"/>
    <n v="225.41800000000001"/>
    <n v="162.31"/>
    <d v="2025-11-06T00:00:00"/>
    <d v="2025-11-13T00:00:00"/>
    <n v="162.31"/>
    <m/>
    <s v="62955505461210162,31"/>
    <s v="09/00013026969-7"/>
    <x v="1"/>
    <n v="162.31"/>
    <n v="0"/>
    <m/>
    <m/>
    <m/>
    <m/>
    <m/>
    <m/>
    <m/>
    <m/>
    <m/>
    <m/>
    <m/>
  </r>
  <r>
    <s v="BIFÁSICO"/>
    <s v="10/452884-0"/>
    <s v="67 996469842"/>
    <n v="62955505000167"/>
    <s v="energisa_ms"/>
    <s v="Igreja do Evangelho Quadrangular"/>
    <x v="6"/>
    <s v="10/504844-245901"/>
    <s v="SIM"/>
    <n v="203"/>
    <n v="271.96999999999997"/>
    <n v="217.88"/>
    <s v="Aprovado"/>
    <n v="216.36"/>
    <n v="162.27000000000001"/>
    <m/>
    <m/>
    <n v="162.27000000000001"/>
    <m/>
    <s v="62955505000167162,27"/>
    <m/>
    <x v="1"/>
    <n v="162.27000000000001"/>
    <n v="0"/>
    <m/>
    <m/>
    <m/>
    <m/>
    <m/>
    <m/>
    <m/>
    <m/>
    <m/>
    <m/>
    <m/>
  </r>
  <r>
    <s v="TRIFÁSICO"/>
    <s v="10/532723-4"/>
    <n v="67996446178"/>
    <n v="62955505359360"/>
    <s v="energisa_ms"/>
    <s v="Igreja do Evangelho Quadrangular"/>
    <x v="9"/>
    <s v="10/61344-845809"/>
    <s v="SIM"/>
    <n v="329"/>
    <n v="581.92768292682922"/>
    <n v="475.80124967596942"/>
    <s v="Aprovado"/>
    <n v="379.45768292682931"/>
    <n v="273.33"/>
    <d v="2025-11-06T00:00:00"/>
    <d v="2025-11-13T00:00:00"/>
    <n v="273.33"/>
    <m/>
    <s v="62955505359360273,33"/>
    <s v="09/00013026951-5"/>
    <x v="2"/>
    <m/>
    <n v="0"/>
    <m/>
    <s v="Cobrança Regular"/>
    <m/>
    <m/>
    <m/>
    <m/>
    <m/>
    <m/>
    <m/>
    <m/>
    <m/>
  </r>
  <r>
    <s v="TRIFÁSICO"/>
    <s v="10/480529-7"/>
    <n v="0"/>
    <n v="62955505182257"/>
    <s v="energisa_ms"/>
    <s v="Igreja do Evangelho Quadrangular"/>
    <x v="2"/>
    <s v="10/908866-745778"/>
    <s v="SIM"/>
    <n v="206"/>
    <n v="362.82848484848489"/>
    <n v="315.64138469632741"/>
    <s v="Aprovado"/>
    <n v="208.82848484848483"/>
    <n v="161.63999999999999"/>
    <d v="2025-09-10T00:00:00"/>
    <d v="2025-09-20T00:00:00"/>
    <n v="161.63999999999999"/>
    <m/>
    <s v="62955505182257161,64"/>
    <s v="09/00012749679-0"/>
    <x v="1"/>
    <n v="161.63999999999999"/>
    <n v="0"/>
    <m/>
    <m/>
    <m/>
    <m/>
    <m/>
    <m/>
    <m/>
    <m/>
    <m/>
    <m/>
    <m/>
  </r>
  <r>
    <s v="BIFÁSICO"/>
    <s v="10/341308-5"/>
    <n v="67993249456"/>
    <n v="62955505239119"/>
    <s v="energisa_ms"/>
    <s v="Igreja do Evangelho Quadrangular"/>
    <x v="1"/>
    <s v="10/76927-345839"/>
    <s v="SIM"/>
    <n v="207"/>
    <n v="264.59200000000004"/>
    <n v="216.82357920000004"/>
    <s v="Aprovado"/>
    <n v="209.33200000000005"/>
    <n v="161.56"/>
    <d v="2025-09-10T00:00:00"/>
    <d v="2025-09-20T00:00:00"/>
    <n v="161.56"/>
    <m/>
    <s v="62955505239119161,56"/>
    <s v="09/00012683513-9"/>
    <x v="4"/>
    <m/>
    <n v="0"/>
    <m/>
    <m/>
    <m/>
    <m/>
    <m/>
    <m/>
    <m/>
    <m/>
    <m/>
    <m/>
    <m/>
  </r>
  <r>
    <s v="TRIFÁSICO"/>
    <s v="10/8777-5"/>
    <s v="67 992319530"/>
    <n v="62955505122432"/>
    <s v="energisa_ms"/>
    <s v="Igreja do Evangelho Quadrangular"/>
    <x v="1"/>
    <s v="10/24514-245748"/>
    <s v="SIM"/>
    <n v="208"/>
    <n v="373.73000000000008"/>
    <n v="325.72346200000004"/>
    <s v="Aprovado"/>
    <n v="209.27"/>
    <n v="161.26"/>
    <d v="2025-09-10T00:00:00"/>
    <d v="2025-09-20T00:00:00"/>
    <n v="161.26"/>
    <m/>
    <s v="62955505122432161,26"/>
    <s v="09/00012683501-4"/>
    <x v="1"/>
    <n v="161.26"/>
    <n v="0"/>
    <m/>
    <m/>
    <m/>
    <m/>
    <m/>
    <m/>
    <m/>
    <m/>
    <m/>
    <m/>
    <m/>
  </r>
  <r>
    <s v="BIFÁSICO"/>
    <s v="10/1130988-7"/>
    <n v="0"/>
    <n v="62955505040894"/>
    <s v="energisa_ms"/>
    <s v="Igreja do Evangelho Quadrangular"/>
    <x v="0"/>
    <s v="10/395471-645689"/>
    <s v="SIM"/>
    <n v="209"/>
    <n v="289.76"/>
    <n v="230.7262865161444"/>
    <s v="Aprovado"/>
    <n v="219.80000000000004"/>
    <n v="160.77000000000001"/>
    <d v="2025-10-03T00:00:00"/>
    <d v="2025-10-13T00:00:00"/>
    <n v="160.77000000000001"/>
    <m/>
    <s v="62955505040894160,77"/>
    <s v="09/00012851535-8"/>
    <x v="1"/>
    <n v="160.77000000000001"/>
    <n v="0"/>
    <m/>
    <m/>
    <m/>
    <m/>
    <m/>
    <m/>
    <m/>
    <m/>
    <m/>
    <m/>
    <m/>
  </r>
  <r>
    <s v="TRIFÁSICO"/>
    <s v="10/1672452-8"/>
    <n v="67992637973"/>
    <n v="62955505017213"/>
    <s v="energisa_ms"/>
    <s v="Igreja do Evangelho Quadrangular"/>
    <x v="3"/>
    <s v="10/52987-545658"/>
    <s v="SIM"/>
    <n v="183"/>
    <n v="356.33439999999996"/>
    <n v="305.83141511847236"/>
    <s v="Aprovado"/>
    <n v="212.86439999999996"/>
    <n v="159.65"/>
    <d v="2025-07-22T00:00:00"/>
    <d v="2025-08-02T00:00:00"/>
    <n v="159.65"/>
    <m/>
    <s v="62955505017213159,65"/>
    <s v="09/00012472739-5"/>
    <x v="1"/>
    <n v="159.65"/>
    <n v="0"/>
    <s v="05/08/2025"/>
    <m/>
    <m/>
    <m/>
    <m/>
    <m/>
    <m/>
    <m/>
    <m/>
    <m/>
    <m/>
  </r>
  <r>
    <s v="BIFÁSICO"/>
    <s v="10/1939035-0"/>
    <n v="0"/>
    <n v="62955505419443"/>
    <s v="energisa_ms"/>
    <s v="Igreja do Evangelho Quadrangular"/>
    <x v="2"/>
    <s v="10/226667-445778"/>
    <s v="SIM"/>
    <n v="175"/>
    <n v="267.01500000000004"/>
    <n v="220.4591185698221"/>
    <s v="Aprovado"/>
    <n v="206.03500000000003"/>
    <n v="159.47999999999999"/>
    <d v="2025-09-10T00:00:00"/>
    <d v="2025-09-20T00:00:00"/>
    <n v="159.47999999999999"/>
    <m/>
    <s v="62955505419443159,48"/>
    <s v="09/00012749655-0"/>
    <x v="1"/>
    <n v="159.47999999999999"/>
    <n v="0"/>
    <m/>
    <m/>
    <m/>
    <m/>
    <m/>
    <m/>
    <m/>
    <m/>
    <m/>
    <m/>
    <m/>
  </r>
  <r>
    <s v="TRIFÁSICO"/>
    <s v="10/510330-4"/>
    <n v="0"/>
    <n v="62955505367117"/>
    <s v="energisa_ms"/>
    <s v="Igreja do Evangelho Quadrangular"/>
    <x v="2"/>
    <s v="10/218777-145901"/>
    <s v="SIM"/>
    <n v="175"/>
    <n v="380.77"/>
    <n v="334.26721941257256"/>
    <s v="Aprovado"/>
    <n v="205.80000000000004"/>
    <n v="159.30000000000001"/>
    <d v="2025-09-10T00:00:00"/>
    <d v="2025-09-20T00:00:00"/>
    <n v="159.30000000000001"/>
    <m/>
    <s v="62955505367117159,3"/>
    <s v="09/00012749639-4"/>
    <x v="1"/>
    <n v="159.30000000000001"/>
    <n v="0"/>
    <m/>
    <m/>
    <m/>
    <m/>
    <m/>
    <m/>
    <m/>
    <m/>
    <m/>
    <m/>
    <m/>
  </r>
  <r>
    <s v="TRIFÁSICO"/>
    <s v="10/276283-9"/>
    <s v="46 999066691"/>
    <n v="62955505177504"/>
    <s v="energisa_ms"/>
    <s v="Igreja do Evangelho Quadrangular"/>
    <x v="8"/>
    <s v="10/399338-345870"/>
    <s v="SIM"/>
    <n v="186"/>
    <n v="369.52699999999999"/>
    <n v="316.46524999999997"/>
    <s v="Aprovado"/>
    <n v="212.24700000000001"/>
    <n v="159.19"/>
    <m/>
    <m/>
    <n v="159.19"/>
    <m/>
    <s v="62955505177504159,19"/>
    <m/>
    <x v="1"/>
    <n v="159.19"/>
    <n v="0"/>
    <m/>
    <m/>
    <m/>
    <m/>
    <m/>
    <m/>
    <m/>
    <m/>
    <m/>
    <m/>
    <m/>
  </r>
  <r>
    <s v="TRIFÁSICO"/>
    <s v="10/162736-3"/>
    <n v="67996150274"/>
    <n v="62955505197360"/>
    <s v="energisa_ms"/>
    <s v="Igreja do Evangelho Quadrangular"/>
    <x v="8"/>
    <s v="10/1548741-645901"/>
    <s v="SIM"/>
    <n v="186"/>
    <n v="433.51499999999999"/>
    <n v="380.78125"/>
    <s v="Aprovado"/>
    <n v="210.935"/>
    <n v="158.19999999999999"/>
    <m/>
    <m/>
    <n v="158.19999999999999"/>
    <m/>
    <s v="62955505197360158,2"/>
    <m/>
    <x v="2"/>
    <n v="0"/>
    <n v="-158.19999999999999"/>
    <m/>
    <s v="Cobrança Regular"/>
    <m/>
    <m/>
    <m/>
    <m/>
    <m/>
    <m/>
    <m/>
    <m/>
    <m/>
  </r>
  <r>
    <s v="TRIFÁSICO"/>
    <s v="10/1698130-0"/>
    <n v="67991767866"/>
    <n v="62955505461210"/>
    <s v="energisa_ms"/>
    <s v="Igreja do Evangelho Quadrangular"/>
    <x v="5"/>
    <s v="10/341308-545870"/>
    <s v="SIM"/>
    <n v="192"/>
    <n v="460.03000000000003"/>
    <n v="407.77000000000004"/>
    <s v="Aprovado"/>
    <n v="209.04000000000002"/>
    <n v="156.78"/>
    <m/>
    <m/>
    <n v="156.78"/>
    <m/>
    <s v="62955505461210156,78"/>
    <m/>
    <x v="1"/>
    <n v="156.78"/>
    <n v="0"/>
    <m/>
    <m/>
    <m/>
    <m/>
    <m/>
    <m/>
    <m/>
    <m/>
    <m/>
    <m/>
    <m/>
  </r>
  <r>
    <s v="BIFÁSICO"/>
    <s v="10/129490-9"/>
    <s v=","/>
    <n v="62955505405140"/>
    <s v="energisa_ms"/>
    <s v="Igreja do Evangelho Quadrangular"/>
    <x v="1"/>
    <s v="10/530195-745931"/>
    <s v="SIM"/>
    <n v="202"/>
    <n v="276.86249999999995"/>
    <n v="230.23637649999995"/>
    <s v="Aprovado"/>
    <n v="203.2525"/>
    <n v="156.63"/>
    <d v="2025-09-10T00:00:00"/>
    <d v="2025-09-20T00:00:00"/>
    <n v="156.63"/>
    <m/>
    <s v="62955505405140156,63"/>
    <s v="09/00012683508-9"/>
    <x v="1"/>
    <n v="203.25"/>
    <n v="46.620000000000005"/>
    <d v="2025-10-01T00:00:00"/>
    <m/>
    <m/>
    <m/>
    <m/>
    <m/>
    <m/>
    <m/>
    <m/>
    <m/>
    <m/>
  </r>
  <r>
    <s v="TRIFÁSICO"/>
    <s v="10/931327-1"/>
    <s v="67 992158055"/>
    <n v="62955505402710"/>
    <s v="energisa_ms"/>
    <s v="Igreja do Evangelho Quadrangular"/>
    <x v="1"/>
    <s v="10/987178-145901"/>
    <s v="SIM"/>
    <n v="174"/>
    <n v="373.93562499999996"/>
    <n v="328.51542862499991"/>
    <s v="Aprovado"/>
    <n v="201.77562499999999"/>
    <n v="156.36000000000001"/>
    <d v="2025-09-10T00:00:00"/>
    <d v="2025-09-20T00:00:00"/>
    <n v="156.36000000000001"/>
    <m/>
    <s v="62955505402710156,36"/>
    <s v="09/00012683533-7"/>
    <x v="1"/>
    <n v="156.36000000000001"/>
    <n v="0"/>
    <m/>
    <m/>
    <m/>
    <m/>
    <m/>
    <m/>
    <m/>
    <m/>
    <m/>
    <m/>
    <m/>
  </r>
  <r>
    <s v="TRIFÁSICO"/>
    <s v="10/1035655-8"/>
    <n v="67996135721"/>
    <n v="62955505182257"/>
    <s v="energisa_ms"/>
    <s v="Igreja do Evangelho Quadrangular"/>
    <x v="3"/>
    <s v="10/3123706-845658"/>
    <s v="SIM"/>
    <n v="198"/>
    <n v="382.78945945945941"/>
    <n v="333.3339380117975"/>
    <s v="Aprovado"/>
    <n v="208.44945945945943"/>
    <n v="156.34"/>
    <d v="2025-07-22T00:00:00"/>
    <d v="2025-08-02T00:00:00"/>
    <n v="156.34"/>
    <m/>
    <s v="62955505182257156,34"/>
    <s v="09/00012472747-8"/>
    <x v="1"/>
    <n v="156.34"/>
    <n v="0"/>
    <s v="06/08/2025"/>
    <m/>
    <m/>
    <m/>
    <m/>
    <m/>
    <m/>
    <m/>
    <m/>
    <m/>
    <m/>
  </r>
  <r>
    <s v="BIFÁSICO"/>
    <s v="10/239312-2"/>
    <n v="0"/>
    <n v="62955505016594"/>
    <s v="energisa_ms"/>
    <s v="Igreja do Evangelho Quadrangular"/>
    <x v="0"/>
    <s v="10/239312-245689"/>
    <s v="SIM"/>
    <n v="202"/>
    <n v="323.49266666666665"/>
    <n v="266.45378060751119"/>
    <s v="Aprovado"/>
    <n v="212.37266666666665"/>
    <n v="155.33000000000001"/>
    <d v="2025-10-03T00:00:00"/>
    <d v="2025-10-13T00:00:00"/>
    <n v="155.33000000000001"/>
    <m/>
    <s v="62955505016594155,33"/>
    <s v="09/00012851530-9"/>
    <x v="1"/>
    <n v="155.33000000000001"/>
    <n v="0"/>
    <m/>
    <m/>
    <m/>
    <m/>
    <m/>
    <m/>
    <m/>
    <m/>
    <m/>
    <m/>
    <m/>
  </r>
  <r>
    <s v="TRIFÁSICO"/>
    <s v="10/1117293-9"/>
    <n v="67999516782"/>
    <n v="62955505892114"/>
    <s v="energisa_ms"/>
    <s v="Igreja do Evangelho Quadrangular"/>
    <x v="7"/>
    <s v="10/29964-445931"/>
    <s v="SIM"/>
    <n v="193"/>
    <n v="359.96999999999997"/>
    <n v="308.52249999999998"/>
    <s v="Aprovado"/>
    <n v="205.79"/>
    <n v="154.34"/>
    <m/>
    <m/>
    <n v="154.34"/>
    <m/>
    <s v="62955505892114154,34"/>
    <m/>
    <x v="1"/>
    <n v="154.34"/>
    <n v="0"/>
    <d v="2025-09-01T00:00:00"/>
    <m/>
    <n v="283032"/>
    <n v="502"/>
    <s v="Igreja do Evangelho Quadrangular"/>
    <s v="'62955505016160'"/>
    <n v="118.89"/>
    <m/>
    <s v="A Unidade Consumidora 10/1674177-9 economizou R$39,63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BIFÁSICO"/>
    <s v="10/10232-7"/>
    <s v="67 996415566"/>
    <n v="62955505393207"/>
    <s v="energisa_ms"/>
    <s v="Igreja do Evangelho Quadrangular"/>
    <x v="4"/>
    <s v="10/3005226-045748"/>
    <s v="SIM"/>
    <n v="184"/>
    <n v="304.09999999999997"/>
    <n v="252.75749999999999"/>
    <s v="Aprovado"/>
    <n v="205.37"/>
    <n v="154.03"/>
    <m/>
    <m/>
    <n v="154.03"/>
    <m/>
    <s v="62955505393207154,03"/>
    <m/>
    <x v="1"/>
    <n v="154.03"/>
    <n v="0"/>
    <m/>
    <m/>
    <m/>
    <m/>
    <m/>
    <m/>
    <m/>
    <m/>
    <m/>
    <m/>
    <s v="DEPÓSITO ÚNICO ITAU 04/06/2025"/>
  </r>
  <r>
    <s v="BIFÁSICO"/>
    <s v="10/952579-1"/>
    <n v="0"/>
    <n v="62955505897930"/>
    <s v="energisa_ms"/>
    <s v="Igreja do Evangelho Quadrangular"/>
    <x v="0"/>
    <s v="10/489076-045717"/>
    <s v="SIM"/>
    <n v="200"/>
    <n v="667.30221556886227"/>
    <n v="610.83821020503888"/>
    <s v="Aprovado"/>
    <n v="210.2322155688623"/>
    <n v="153.77000000000001"/>
    <d v="2025-10-03T00:00:00"/>
    <d v="2025-10-13T00:00:00"/>
    <n v="153.77000000000001"/>
    <m/>
    <s v="62955505897930153,77"/>
    <s v="09/00012851544-0"/>
    <x v="1"/>
    <n v="153.77000000000001"/>
    <n v="0"/>
    <m/>
    <m/>
    <m/>
    <m/>
    <m/>
    <m/>
    <m/>
    <m/>
    <m/>
    <m/>
    <m/>
  </r>
  <r>
    <s v="BIFÁSICO"/>
    <s v="10/466560-0"/>
    <n v="67998302932"/>
    <n v="62955505015512"/>
    <s v="energisa_ms"/>
    <s v="Igreja do Evangelho Quadrangular"/>
    <x v="1"/>
    <s v="10/384823-145658"/>
    <s v="SIM"/>
    <n v="197"/>
    <n v="306.1488235294118"/>
    <n v="260.69348341176476"/>
    <s v="Aprovado"/>
    <n v="199.14882352941174"/>
    <n v="153.69"/>
    <d v="2025-09-10T00:00:00"/>
    <d v="2025-09-20T00:00:00"/>
    <n v="153.69"/>
    <m/>
    <s v="62955505015512153,69"/>
    <s v="09/00012683526-1"/>
    <x v="1"/>
    <n v="153.69"/>
    <n v="0"/>
    <m/>
    <m/>
    <m/>
    <m/>
    <m/>
    <m/>
    <m/>
    <m/>
    <m/>
    <m/>
    <m/>
  </r>
  <r>
    <s v="BIFÁSICO"/>
    <s v="10/13786-9"/>
    <n v="0"/>
    <n v="62955505197521"/>
    <s v="energisa_ms"/>
    <s v="Igreja do Evangelho Quadrangular"/>
    <x v="2"/>
    <s v="10/41548-945839"/>
    <s v="SIM"/>
    <n v="194"/>
    <n v="250.18777777777777"/>
    <n v="205.33049564607865"/>
    <s v="Aprovado"/>
    <n v="198.51777777777778"/>
    <n v="153.66"/>
    <d v="2025-09-10T00:00:00"/>
    <d v="2025-09-20T00:00:00"/>
    <n v="153.66"/>
    <m/>
    <s v="62955505197521153,66"/>
    <s v="09/00012749690-7"/>
    <x v="1"/>
    <n v="153.66"/>
    <n v="0"/>
    <m/>
    <m/>
    <m/>
    <m/>
    <m/>
    <m/>
    <m/>
    <m/>
    <m/>
    <m/>
    <m/>
  </r>
  <r>
    <s v="TRIFÁSICO"/>
    <s v="10/3030784-7"/>
    <n v="67996266684"/>
    <n v="62955505016080"/>
    <s v="energisa_ms"/>
    <s v="Igreja do Evangelho Quadrangular"/>
    <x v="3"/>
    <s v="10/987178-145870"/>
    <s v="SIM"/>
    <n v="176"/>
    <n v="472.0942222222223"/>
    <n v="423.95670445298424"/>
    <s v="Aprovado"/>
    <n v="202.89422222222225"/>
    <n v="152.16999999999999"/>
    <d v="2025-07-22T00:00:00"/>
    <d v="2025-08-02T00:00:00"/>
    <n v="152.16999999999999"/>
    <m/>
    <s v="62955505016080152,17"/>
    <s v="09/00012472743-7"/>
    <x v="1"/>
    <n v="152.16999999999999"/>
    <n v="0"/>
    <s v="05/08/2025"/>
    <m/>
    <m/>
    <m/>
    <m/>
    <m/>
    <m/>
    <m/>
    <m/>
    <m/>
    <m/>
  </r>
  <r>
    <s v="TRIFÁSICO"/>
    <s v="10/156956-5"/>
    <s v="67 998338301"/>
    <n v="62955505015350"/>
    <s v="energisa_ms"/>
    <s v="Igreja do Evangelho Quadrangular"/>
    <x v="8"/>
    <s v="10/2599101-945839"/>
    <s v="SIM"/>
    <n v="192"/>
    <n v="376.30571428571432"/>
    <n v="325.6267857142858"/>
    <s v="Aprovado"/>
    <n v="202.71571428571428"/>
    <n v="152.04"/>
    <m/>
    <m/>
    <n v="152.04"/>
    <m/>
    <s v="62955505015350152,04"/>
    <m/>
    <x v="1"/>
    <n v="202.72"/>
    <n v="50.680000000000007"/>
    <d v="2025-10-07T00:00:00"/>
    <m/>
    <m/>
    <m/>
    <m/>
    <m/>
    <m/>
    <m/>
    <m/>
    <m/>
    <m/>
  </r>
  <r>
    <s v="TRIFÁSICO"/>
    <s v="10/435964-2"/>
    <n v="67992021114"/>
    <n v="62955505357405"/>
    <s v="energisa_ms"/>
    <s v="Igreja do Evangelho Quadrangular"/>
    <x v="4"/>
    <s v="10/239312-245931"/>
    <s v="SIM"/>
    <n v="0"/>
    <m/>
    <m/>
    <s v="Aprovado"/>
    <n v="0"/>
    <n v="151.96"/>
    <m/>
    <m/>
    <m/>
    <s v="não emitido pela EGS"/>
    <s v="62955505357405"/>
    <m/>
    <x v="0"/>
    <n v="0"/>
    <n v="0"/>
    <m/>
    <m/>
    <m/>
    <m/>
    <m/>
    <m/>
    <m/>
    <m/>
    <m/>
    <m/>
    <m/>
  </r>
  <r>
    <s v="TRIFÁSICO"/>
    <s v="10/435964-2"/>
    <n v="67992021114"/>
    <n v="62955505357405"/>
    <s v="energisa_ms"/>
    <s v="Igreja do Evangelho Quadrangular"/>
    <x v="6"/>
    <s v="10/489076-045748"/>
    <s v="SIM"/>
    <n v="208"/>
    <n v="465.47999999999996"/>
    <n v="414.82749999999999"/>
    <s v="Aprovado"/>
    <n v="202.61"/>
    <n v="151.96"/>
    <m/>
    <m/>
    <n v="151.96"/>
    <m/>
    <s v="62955505357405151,96"/>
    <m/>
    <x v="1"/>
    <n v="151.96"/>
    <n v="0"/>
    <m/>
    <m/>
    <m/>
    <m/>
    <m/>
    <m/>
    <m/>
    <m/>
    <m/>
    <m/>
    <m/>
  </r>
  <r>
    <s v="TRIFÁSICO"/>
    <s v="10/78338-1"/>
    <n v="0"/>
    <n v="62955505016837"/>
    <s v="energisa_ms"/>
    <s v="Igreja do Evangelho Quadrangular"/>
    <x v="0"/>
    <s v="10/1130988-745689"/>
    <s v="SIM"/>
    <n v="197"/>
    <n v="365.36308823529407"/>
    <n v="309.73950146321033"/>
    <s v="Aprovado"/>
    <n v="207.10308823529408"/>
    <n v="151.47999999999999"/>
    <d v="2025-10-03T00:00:00"/>
    <d v="2025-10-13T00:00:00"/>
    <n v="151.47999999999999"/>
    <m/>
    <s v="62955505016837151,48"/>
    <s v="09/00012851532-5"/>
    <x v="1"/>
    <n v="151.47999999999999"/>
    <n v="0"/>
    <m/>
    <m/>
    <m/>
    <m/>
    <m/>
    <m/>
    <m/>
    <m/>
    <m/>
    <m/>
    <m/>
  </r>
  <r>
    <s v="BIFÁSICO"/>
    <s v="10/1939035-0"/>
    <s v=" 67 91285460"/>
    <n v="62955505419443"/>
    <s v="energisa_ms"/>
    <s v="Igreja do Evangelho Quadrangular"/>
    <x v="8"/>
    <s v="10/78338-145809"/>
    <s v="SIM"/>
    <n v="180"/>
    <n v="284.34999999999997"/>
    <n v="233.86249999999995"/>
    <s v="Aprovado"/>
    <n v="201.95000000000005"/>
    <n v="151.46"/>
    <m/>
    <m/>
    <n v="151.46"/>
    <m/>
    <s v="62955505419443151,46"/>
    <m/>
    <x v="1"/>
    <n v="151.46"/>
    <n v="0"/>
    <m/>
    <m/>
    <m/>
    <m/>
    <m/>
    <m/>
    <m/>
    <m/>
    <m/>
    <m/>
    <m/>
  </r>
  <r>
    <s v="BIFÁSICO"/>
    <s v="10/511753-6"/>
    <n v="67996266684"/>
    <n v="62955505016080"/>
    <s v="energisa_ms"/>
    <s v="Igreja do Evangelho Quadrangular"/>
    <x v="5"/>
    <s v="10/532723-445839"/>
    <s v="SIM"/>
    <n v="198"/>
    <n v="314.66000000000003"/>
    <n v="264.31250000000006"/>
    <s v="Aprovado"/>
    <n v="201.39"/>
    <n v="151.04"/>
    <m/>
    <m/>
    <n v="151.04"/>
    <m/>
    <s v="62955505016080151,04"/>
    <m/>
    <x v="1"/>
    <n v="151.04"/>
    <n v="0"/>
    <m/>
    <m/>
    <m/>
    <m/>
    <m/>
    <m/>
    <m/>
    <m/>
    <m/>
    <m/>
    <m/>
  </r>
  <r>
    <s v="TRIFÁSICO"/>
    <s v="10/260761-2"/>
    <n v="0"/>
    <n v="62955505000167"/>
    <s v="energisa_ms"/>
    <s v="Igreja do Evangelho Quadrangular"/>
    <x v="0"/>
    <s v="10/40190-145689"/>
    <s v="SIM"/>
    <n v="196"/>
    <n v="376.58470588235298"/>
    <n v="321.25075020603612"/>
    <s v="Aprovado"/>
    <n v="206.02470588235295"/>
    <n v="150.69"/>
    <d v="2025-10-03T00:00:00"/>
    <d v="2025-10-13T00:00:00"/>
    <n v="150.69"/>
    <m/>
    <s v="62955505000167150,69"/>
    <s v="09/00012851446-8"/>
    <x v="1"/>
    <n v="150.69"/>
    <n v="0"/>
    <m/>
    <m/>
    <m/>
    <m/>
    <m/>
    <m/>
    <m/>
    <m/>
    <m/>
    <m/>
    <m/>
  </r>
  <r>
    <s v="TRIFÁSICO"/>
    <s v="10/480529-7"/>
    <n v="6796411024"/>
    <n v="62955505182257"/>
    <s v="energisa_ms"/>
    <s v="Igreja do Evangelho Quadrangular"/>
    <x v="8"/>
    <s v="10/113971-645689"/>
    <s v="SIM"/>
    <n v="206"/>
    <n v="436.06975206611571"/>
    <n v="385.91481404958677"/>
    <s v="Aprovado"/>
    <n v="200.61975206611572"/>
    <n v="150.46"/>
    <m/>
    <m/>
    <n v="150.46"/>
    <m/>
    <s v="62955505182257150,46"/>
    <m/>
    <x v="1"/>
    <n v="150.46"/>
    <n v="0"/>
    <m/>
    <m/>
    <m/>
    <m/>
    <m/>
    <m/>
    <m/>
    <m/>
    <m/>
    <m/>
    <m/>
  </r>
  <r>
    <s v="BIFÁSICO"/>
    <s v="10/239312-2"/>
    <n v="67996711972"/>
    <n v="62955505016594"/>
    <s v="energisa_ms"/>
    <s v="Igreja do Evangelho Quadrangular"/>
    <x v="8"/>
    <s v="10/384823-145778"/>
    <s v="SIM"/>
    <n v="206"/>
    <n v="374.05746835443034"/>
    <n v="323.90560126582272"/>
    <s v="Aprovado"/>
    <n v="200.60746835443038"/>
    <n v="150.46"/>
    <m/>
    <m/>
    <n v="150.46"/>
    <m/>
    <s v="62955505016594150,46"/>
    <m/>
    <x v="1"/>
    <n v="150.46"/>
    <n v="0"/>
    <m/>
    <m/>
    <m/>
    <m/>
    <m/>
    <m/>
    <m/>
    <m/>
    <m/>
    <m/>
    <m/>
  </r>
  <r>
    <s v="TRIFÁSICO"/>
    <s v="10/63920-3"/>
    <n v="67981263396"/>
    <n v="62955505135500"/>
    <s v="energisa_ms"/>
    <s v="Igreja do Evangelho Quadrangular"/>
    <x v="8"/>
    <s v="10/218777-145689"/>
    <s v="SIM"/>
    <n v="206"/>
    <n v="548.31902439024384"/>
    <n v="498.17176829268294"/>
    <s v="Aprovado"/>
    <n v="200.58902439024394"/>
    <n v="150.44"/>
    <m/>
    <m/>
    <n v="150.44"/>
    <m/>
    <s v="62955505135500150,44"/>
    <m/>
    <x v="1"/>
    <n v="200.59"/>
    <n v="50.150000000000006"/>
    <d v="2025-09-17T00:00:00"/>
    <m/>
    <m/>
    <m/>
    <m/>
    <m/>
    <m/>
    <m/>
    <m/>
    <m/>
    <m/>
  </r>
  <r>
    <s v="TRIFÁSICO"/>
    <s v="10/280638-8"/>
    <s v="67 81355403"/>
    <n v="62955505843253"/>
    <s v="energisa_ms"/>
    <s v="Igreja do Evangelho Quadrangular"/>
    <x v="5"/>
    <s v="10/435964-245717"/>
    <s v="SIM"/>
    <n v="206"/>
    <n v="399.84000000000003"/>
    <n v="349.76"/>
    <s v="Aprovado"/>
    <n v="200.32"/>
    <n v="150.24"/>
    <m/>
    <m/>
    <n v="150.24"/>
    <m/>
    <s v="62955505843253150,24"/>
    <m/>
    <x v="1"/>
    <n v="150.24"/>
    <n v="0"/>
    <m/>
    <m/>
    <m/>
    <m/>
    <m/>
    <m/>
    <m/>
    <m/>
    <m/>
    <m/>
    <m/>
  </r>
  <r>
    <s v="BIFÁSICO"/>
    <s v="10/129490-9"/>
    <s v=","/>
    <n v="62955505405140"/>
    <s v="energisa_ms"/>
    <s v="Igreja do Evangelho Quadrangular"/>
    <x v="5"/>
    <s v="10/1674177-945870"/>
    <s v="SIM"/>
    <n v="206"/>
    <n v="351.25"/>
    <n v="301.19499999999994"/>
    <s v="Aprovado"/>
    <n v="200.22"/>
    <n v="150.16999999999999"/>
    <m/>
    <m/>
    <n v="150.16999999999999"/>
    <m/>
    <s v="62955505405140150,17"/>
    <e v="#N/A"/>
    <x v="1"/>
    <n v="200.22"/>
    <n v="50.050000000000011"/>
    <d v="2025-09-30T00:00:00"/>
    <m/>
    <m/>
    <m/>
    <m/>
    <m/>
    <m/>
    <m/>
    <m/>
    <m/>
    <m/>
  </r>
  <r>
    <s v="TRIFÁSICO"/>
    <s v="10/1674177-9"/>
    <s v="67 993047635"/>
    <n v="62955505016160"/>
    <s v="energisa_ms"/>
    <s v="Igreja do Evangelho Quadrangular"/>
    <x v="8"/>
    <s v="10/513413-545870"/>
    <s v="SIM"/>
    <n v="206"/>
    <n v="511.67175438596496"/>
    <n v="461.61881578947373"/>
    <s v="Aprovado"/>
    <n v="200.21175438596492"/>
    <n v="150.16"/>
    <m/>
    <m/>
    <n v="150.16"/>
    <m/>
    <s v="62955505016160150,16"/>
    <m/>
    <x v="1"/>
    <n v="150.16"/>
    <n v="0"/>
    <d v="2025-07-20T00:00:00"/>
    <m/>
    <m/>
    <m/>
    <m/>
    <m/>
    <m/>
    <m/>
    <m/>
    <m/>
    <m/>
  </r>
  <r>
    <s v="TRIFÁSICO"/>
    <s v="10/76927-3"/>
    <s v="67 999373813"/>
    <n v="62955505058599"/>
    <s v="energisa_ms"/>
    <s v="Igreja do Evangelho Quadrangular"/>
    <x v="8"/>
    <s v="10/3092868-345839"/>
    <s v="SIM"/>
    <n v="206"/>
    <n v="383.51142857142855"/>
    <n v="333.46107142857147"/>
    <s v="Aprovado"/>
    <n v="200.20142857142858"/>
    <n v="150.15"/>
    <m/>
    <m/>
    <n v="150.15"/>
    <m/>
    <s v="62955505058599150,15"/>
    <m/>
    <x v="1"/>
    <n v="150.15"/>
    <n v="0"/>
    <m/>
    <m/>
    <m/>
    <m/>
    <m/>
    <m/>
    <m/>
    <m/>
    <m/>
    <m/>
    <m/>
  </r>
  <r>
    <s v="BIFÁSICO"/>
    <s v="10/3040565-8"/>
    <n v="67996135721"/>
    <n v="62955505015431"/>
    <s v="energisa_ms"/>
    <s v="Igreja do Evangelho Quadrangular"/>
    <x v="5"/>
    <s v="10/150263-245717"/>
    <s v="SIM"/>
    <n v="206"/>
    <n v="459.94000000000005"/>
    <n v="409.90250000000003"/>
    <s v="Aprovado"/>
    <n v="200.14999999999998"/>
    <n v="150.11000000000001"/>
    <m/>
    <m/>
    <n v="150.11000000000001"/>
    <m/>
    <s v="62955505015431150,11"/>
    <m/>
    <x v="1"/>
    <n v="150.11000000000001"/>
    <n v="0"/>
    <m/>
    <m/>
    <m/>
    <m/>
    <m/>
    <m/>
    <m/>
    <m/>
    <m/>
    <m/>
    <m/>
  </r>
  <r>
    <s v="TRIFÁSICO"/>
    <s v="10/3123706-8"/>
    <n v="67999516782"/>
    <n v="62955505375721"/>
    <s v="energisa_ms"/>
    <s v="Igreja do Evangelho Quadrangular"/>
    <x v="5"/>
    <s v="10/41548-945778"/>
    <s v="SIM"/>
    <n v="206"/>
    <n v="423.61"/>
    <n v="373.58000000000004"/>
    <s v="Aprovado"/>
    <n v="200.12"/>
    <n v="150.09"/>
    <m/>
    <m/>
    <n v="150.09"/>
    <m/>
    <s v="62955505375721150,09"/>
    <s v="Pix"/>
    <x v="1"/>
    <n v="150.09"/>
    <n v="0"/>
    <d v="2025-08-28T00:00:00"/>
    <m/>
    <m/>
    <m/>
    <m/>
    <m/>
    <m/>
    <m/>
    <m/>
    <m/>
    <m/>
  </r>
  <r>
    <s v="BIFÁSICO"/>
    <s v="10/1939035-0"/>
    <s v=" 67 91285460"/>
    <n v="62955505419443"/>
    <s v="energisa_ms"/>
    <s v="Igreja do Evangelho Quadrangular"/>
    <x v="1"/>
    <s v="10/191945-545778"/>
    <s v="SIM"/>
    <n v="164"/>
    <n v="274.92680000000001"/>
    <n v="231.17177808000002"/>
    <s v="Aprovado"/>
    <n v="193.80680000000001"/>
    <n v="150.05000000000001"/>
    <d v="2025-09-10T00:00:00"/>
    <d v="2025-09-20T00:00:00"/>
    <n v="150.05000000000001"/>
    <m/>
    <s v="62955505419443150,05"/>
    <s v="09/00012683482-7"/>
    <x v="1"/>
    <n v="150.05000000000001"/>
    <n v="0"/>
    <m/>
    <m/>
    <m/>
    <m/>
    <m/>
    <m/>
    <m/>
    <m/>
    <m/>
    <m/>
    <m/>
  </r>
  <r>
    <s v="BIFÁSICO"/>
    <s v="10/109074-5"/>
    <s v="67 91751433"/>
    <n v="62955505000167"/>
    <s v="energisa_ms"/>
    <s v="Igreja do Evangelho Quadrangular"/>
    <x v="8"/>
    <s v="10/1548741-645717"/>
    <s v="SIM"/>
    <n v="206"/>
    <n v="373.24105263157901"/>
    <n v="323.23328947368429"/>
    <s v="Aprovado"/>
    <n v="200.03105263157897"/>
    <n v="150.02000000000001"/>
    <m/>
    <m/>
    <n v="150.02000000000001"/>
    <m/>
    <s v="62955505000167150,02"/>
    <m/>
    <x v="2"/>
    <n v="0"/>
    <n v="0"/>
    <m/>
    <s v="Cobrança Regular"/>
    <m/>
    <m/>
    <m/>
    <m/>
    <m/>
    <m/>
    <m/>
    <m/>
    <m/>
  </r>
  <r>
    <s v="TRIFÁSICO"/>
    <s v="10/1433087-2"/>
    <s v=" 67 91285460"/>
    <n v="62955505419443"/>
    <s v="energisa_ms"/>
    <s v="Igreja do Evangelho Quadrangular"/>
    <x v="6"/>
    <s v="10/3139326-745870"/>
    <s v="SIM"/>
    <n v="179"/>
    <n v="347.44"/>
    <n v="297.49"/>
    <s v="Aprovado"/>
    <n v="199.79999999999998"/>
    <n v="149.85"/>
    <m/>
    <m/>
    <n v="149.85"/>
    <m/>
    <s v="62955505419443149,85"/>
    <m/>
    <x v="1"/>
    <n v="149.85"/>
    <n v="0"/>
    <m/>
    <m/>
    <m/>
    <m/>
    <m/>
    <m/>
    <m/>
    <m/>
    <m/>
    <m/>
    <m/>
  </r>
  <r>
    <s v="BIFÁSICO"/>
    <s v="10/40190-1"/>
    <n v="67996859014"/>
    <n v="62955505177504"/>
    <s v="energisa_ms"/>
    <s v="Igreja do Evangelho Quadrangular"/>
    <x v="8"/>
    <s v="10/276283-945809"/>
    <s v="SIM"/>
    <n v="206"/>
    <n v="468.22920863309355"/>
    <n v="418.29690647482016"/>
    <s v="Aprovado"/>
    <n v="199.72920863309349"/>
    <n v="149.80000000000001"/>
    <m/>
    <m/>
    <n v="149.80000000000001"/>
    <m/>
    <s v="62955505177504149,8"/>
    <m/>
    <x v="2"/>
    <n v="0"/>
    <n v="-149.80000000000001"/>
    <m/>
    <s v="Cobrança Regular"/>
    <m/>
    <m/>
    <m/>
    <m/>
    <m/>
    <m/>
    <m/>
    <m/>
    <m/>
  </r>
  <r>
    <s v="TRIFÁSICO"/>
    <s v="10/113971-6"/>
    <n v="67996575782"/>
    <n v="62955505015601"/>
    <s v="energisa_ms"/>
    <s v="Igreja do Evangelho Quadrangular"/>
    <x v="9"/>
    <s v="10/1130988-745809"/>
    <s v="SIM"/>
    <n v="169"/>
    <n v="358.4776"/>
    <n v="300.41406592202549"/>
    <s v="Aprovado"/>
    <n v="207.60759999999999"/>
    <n v="149.54"/>
    <d v="2025-11-06T00:00:00"/>
    <d v="2025-11-13T00:00:00"/>
    <n v="149.54"/>
    <m/>
    <s v="62955505015601149,54"/>
    <s v="09/00013026960-6"/>
    <x v="1"/>
    <n v="149.54"/>
    <n v="0"/>
    <m/>
    <m/>
    <m/>
    <m/>
    <m/>
    <m/>
    <m/>
    <m/>
    <m/>
    <m/>
    <m/>
  </r>
  <r>
    <s v="BIFÁSICO"/>
    <s v="10/41548-9"/>
    <n v="67996687077"/>
    <n v="62955505269026"/>
    <s v="energisa_ms"/>
    <s v="Igreja do Evangelho Quadrangular"/>
    <x v="8"/>
    <s v="10/113971-645717"/>
    <s v="SIM"/>
    <n v="206"/>
    <n v="380.13900000000001"/>
    <n v="330.33425"/>
    <s v="Aprovado"/>
    <n v="199.21899999999999"/>
    <n v="149.41"/>
    <m/>
    <m/>
    <n v="149.41"/>
    <m/>
    <s v="62955505269026149,41"/>
    <m/>
    <x v="1"/>
    <n v="199.21899999999999"/>
    <n v="49.808999999999997"/>
    <d v="2025-11-12T00:00:00"/>
    <m/>
    <m/>
    <m/>
    <m/>
    <m/>
    <m/>
    <m/>
    <m/>
    <m/>
    <m/>
  </r>
  <r>
    <s v="TRIFÁSICO"/>
    <s v="10/1674177-9"/>
    <n v="0"/>
    <n v="62955505016160"/>
    <s v="energisa_ms"/>
    <s v="Igreja do Evangelho Quadrangular"/>
    <x v="2"/>
    <s v="10/987178-145689"/>
    <s v="SIM"/>
    <n v="191"/>
    <n v="353.70823529411774"/>
    <n v="310.12752961789477"/>
    <s v="Aprovado"/>
    <n v="192.86823529411765"/>
    <n v="149.29"/>
    <d v="2025-09-10T00:00:00"/>
    <d v="2025-09-20T00:00:00"/>
    <n v="149.29"/>
    <m/>
    <s v="62955505016160149,29"/>
    <s v="09/00012749681-6"/>
    <x v="1"/>
    <n v="149.29"/>
    <n v="0"/>
    <m/>
    <m/>
    <m/>
    <m/>
    <m/>
    <m/>
    <m/>
    <m/>
    <m/>
    <m/>
    <m/>
  </r>
  <r>
    <s v="TRIFÁSICO"/>
    <s v="10/69319-2"/>
    <n v="0"/>
    <n v="62955505182257"/>
    <s v="energisa_ms"/>
    <s v="Igreja do Evangelho Quadrangular"/>
    <x v="0"/>
    <s v="10/52987-545689"/>
    <s v="SIM"/>
    <n v="194"/>
    <n v="379.98753623188401"/>
    <n v="325.21683675335066"/>
    <s v="Aprovado"/>
    <n v="203.92753623188406"/>
    <n v="149.16"/>
    <d v="2025-10-03T00:00:00"/>
    <d v="2025-10-13T00:00:00"/>
    <n v="149.16"/>
    <m/>
    <s v="62955505182257149,16"/>
    <s v="09/00012851456-7"/>
    <x v="1"/>
    <n v="149.16"/>
    <n v="0"/>
    <m/>
    <m/>
    <m/>
    <m/>
    <m/>
    <m/>
    <m/>
    <m/>
    <m/>
    <m/>
    <m/>
  </r>
  <r>
    <s v="TRIFÁSICO"/>
    <s v="10/280638-8"/>
    <n v="0"/>
    <n v="62955505843253"/>
    <s v="energisa_ms"/>
    <s v="Igreja do Evangelho Quadrangular"/>
    <x v="0"/>
    <s v="10/3125732-245689"/>
    <s v="SIM"/>
    <n v="194"/>
    <n v="363.57753623188404"/>
    <n v="308.80952254559293"/>
    <s v="Aprovado"/>
    <n v="203.91753623188407"/>
    <n v="149.15"/>
    <d v="2025-10-03T00:00:00"/>
    <d v="2025-10-13T00:00:00"/>
    <n v="149.15"/>
    <m/>
    <s v="62955505843253149,15"/>
    <s v="09/00012851536-6"/>
    <x v="1"/>
    <n v="149.15"/>
    <n v="0"/>
    <m/>
    <m/>
    <m/>
    <m/>
    <m/>
    <m/>
    <m/>
    <m/>
    <m/>
    <m/>
    <m/>
  </r>
  <r>
    <s v="TRIFÁSICO"/>
    <s v="10/72605-9"/>
    <n v="67996071169"/>
    <n v="62955505136492"/>
    <s v="energisa_ms"/>
    <s v="Igreja do Evangelho Quadrangular"/>
    <x v="8"/>
    <s v="10/513413-545901"/>
    <s v="SIM"/>
    <n v="204"/>
    <n v="362.73812499999997"/>
    <n v="313.03359374999997"/>
    <s v="Aprovado"/>
    <n v="198.81812499999998"/>
    <n v="149.11000000000001"/>
    <m/>
    <m/>
    <n v="149.11000000000001"/>
    <m/>
    <s v="62955505136492149,11"/>
    <m/>
    <x v="1"/>
    <n v="149.11000000000001"/>
    <n v="0"/>
    <m/>
    <m/>
    <m/>
    <m/>
    <m/>
    <m/>
    <m/>
    <m/>
    <m/>
    <m/>
    <m/>
  </r>
  <r>
    <s v="TRIFÁSICO"/>
    <s v="10/78338-1"/>
    <s v="67 984742936"/>
    <n v="62955505016837"/>
    <s v="energisa_ms"/>
    <s v="Igreja do Evangelho Quadrangular"/>
    <x v="5"/>
    <s v="10/41548-945901"/>
    <s v="SIM"/>
    <n v="204"/>
    <n v="356.2"/>
    <n v="306.54999999999995"/>
    <s v="Aprovado"/>
    <n v="198.6"/>
    <n v="148.94999999999999"/>
    <m/>
    <m/>
    <n v="148.94999999999999"/>
    <m/>
    <s v="62955505016837148,95"/>
    <m/>
    <x v="1"/>
    <n v="148.94999999999999"/>
    <n v="0"/>
    <m/>
    <m/>
    <m/>
    <m/>
    <m/>
    <m/>
    <m/>
    <m/>
    <m/>
    <m/>
    <m/>
  </r>
  <r>
    <s v="BIFÁSICO"/>
    <s v="10/109074-5"/>
    <s v="67 91751433"/>
    <n v="62955505000167"/>
    <s v="energisa_ms"/>
    <s v="Igreja do Evangelho Quadrangular"/>
    <x v="9"/>
    <s v="10/239312-245717"/>
    <s v="SIM"/>
    <n v="315"/>
    <n v="431.48999999999995"/>
    <n v="337.14021116180379"/>
    <s v="Aprovado"/>
    <n v="337.34999999999997"/>
    <n v="243"/>
    <d v="2025-11-06T00:00:00"/>
    <d v="2025-11-13T00:00:00"/>
    <n v="243"/>
    <m/>
    <s v="62955505000167243"/>
    <s v="09/00013026885-5"/>
    <x v="2"/>
    <m/>
    <n v="0"/>
    <m/>
    <s v="Cobrança Regular"/>
    <m/>
    <m/>
    <m/>
    <m/>
    <m/>
    <m/>
    <m/>
    <m/>
    <m/>
  </r>
  <r>
    <s v="TRIFÁSICO"/>
    <s v="10/480529-7"/>
    <n v="6796411024"/>
    <n v="62955505182257"/>
    <s v="energisa_ms"/>
    <s v="Igreja do Evangelho Quadrangular"/>
    <x v="1"/>
    <s v="10/1695011-545778"/>
    <s v="SIM"/>
    <n v="189"/>
    <n v="361.50735294117646"/>
    <n v="317.88525617647059"/>
    <s v="Aprovado"/>
    <n v="192.17735294117642"/>
    <n v="148.56"/>
    <d v="2025-09-10T00:00:00"/>
    <d v="2025-09-20T00:00:00"/>
    <n v="148.56"/>
    <m/>
    <s v="62955505182257148,56"/>
    <s v="09/00012683510-5"/>
    <x v="1"/>
    <n v="148.56"/>
    <n v="0"/>
    <m/>
    <m/>
    <m/>
    <m/>
    <m/>
    <m/>
    <m/>
    <m/>
    <m/>
    <m/>
    <m/>
  </r>
  <r>
    <s v="BIFÁSICO"/>
    <s v="10/10232-7"/>
    <s v="67 996415566"/>
    <n v="62955505393207"/>
    <s v="energisa_ms"/>
    <s v="Igreja do Evangelho Quadrangular"/>
    <x v="9"/>
    <s v="10/3054052-045839"/>
    <s v="SIM"/>
    <n v="171"/>
    <n v="308.6357142857143"/>
    <n v="251.19639228971351"/>
    <s v="Aprovado"/>
    <n v="205.37571428571425"/>
    <n v="147.94"/>
    <d v="2025-11-06T00:00:00"/>
    <d v="2025-11-13T00:00:00"/>
    <n v="147.94"/>
    <m/>
    <s v="62955505393207147,94"/>
    <s v="09/00013026982-0"/>
    <x v="1"/>
    <n v="147.94"/>
    <n v="0"/>
    <m/>
    <m/>
    <m/>
    <m/>
    <m/>
    <m/>
    <m/>
    <m/>
    <m/>
    <m/>
    <m/>
  </r>
  <r>
    <e v="#N/A"/>
    <s v="10/2247256-7"/>
    <e v="#N/A"/>
    <n v="62955505015199"/>
    <s v="energisa_ms"/>
    <s v="Igreja do Evangelho Quadrangular"/>
    <x v="5"/>
    <s v="10/129490-945839"/>
    <s v="SIM"/>
    <n v="193"/>
    <n v="871.15000000000009"/>
    <n v="821.89143990000002"/>
    <s v="Aprovado"/>
    <n v="197.03424039999999"/>
    <n v="147.78"/>
    <m/>
    <m/>
    <n v="147.78"/>
    <m/>
    <s v="62955505015199147,78"/>
    <e v="#N/A"/>
    <x v="2"/>
    <n v="0"/>
    <n v="-147.78"/>
    <m/>
    <s v="Cobrança Regular"/>
    <m/>
    <m/>
    <m/>
    <m/>
    <m/>
    <m/>
    <m/>
    <m/>
    <m/>
  </r>
  <r>
    <s v="TRIFÁSICO"/>
    <s v="10/1266128-6"/>
    <n v="0"/>
    <n v="62955505379395"/>
    <s v="energisa_ms"/>
    <s v="Igreja do Evangelho Quadrangular"/>
    <x v="0"/>
    <s v="10/1266128-645689"/>
    <s v="SIM"/>
    <n v="191"/>
    <n v="314.0892753623188"/>
    <n v="260.16413334577976"/>
    <s v="Aprovado"/>
    <n v="200.77927536231883"/>
    <n v="146.85"/>
    <d v="2025-10-03T00:00:00"/>
    <d v="2025-10-13T00:00:00"/>
    <n v="146.85"/>
    <m/>
    <s v="62955505379395146,85"/>
    <s v="09/00012851447-6"/>
    <x v="1"/>
    <n v="146.85"/>
    <n v="0"/>
    <m/>
    <m/>
    <m/>
    <m/>
    <m/>
    <m/>
    <m/>
    <m/>
    <m/>
    <m/>
    <m/>
  </r>
  <r>
    <s v="TRIFÁSICO"/>
    <s v="10/72605-9"/>
    <n v="67996071169"/>
    <n v="62955505136492"/>
    <s v="energisa_ms"/>
    <s v="Igreja do Evangelho Quadrangular"/>
    <x v="5"/>
    <s v="10/129490-945748"/>
    <s v="SIM"/>
    <n v="201"/>
    <n v="359.02"/>
    <n v="310.10749999999996"/>
    <s v="Aprovado"/>
    <n v="195.65"/>
    <n v="146.74"/>
    <m/>
    <m/>
    <n v="146.74"/>
    <m/>
    <s v="62955505136492146,74"/>
    <m/>
    <x v="1"/>
    <n v="146.74"/>
    <n v="0"/>
    <m/>
    <m/>
    <m/>
    <m/>
    <m/>
    <m/>
    <m/>
    <m/>
    <m/>
    <m/>
    <m/>
  </r>
  <r>
    <s v="BIFÁSICO"/>
    <s v="10/41548-9"/>
    <s v="Solicitação de distrato"/>
    <n v="62955505269026"/>
    <s v="energisa_ms"/>
    <s v="Igreja do Evangelho Quadrangular"/>
    <x v="0"/>
    <s v="10/341308-545689"/>
    <s v="SIM"/>
    <n v="189"/>
    <n v="301.79052631578946"/>
    <n v="248.42906469000263"/>
    <s v="Aprovado"/>
    <n v="198.68052631578951"/>
    <n v="145.32"/>
    <d v="2025-10-03T00:00:00"/>
    <d v="2025-10-13T00:00:00"/>
    <n v="145.32"/>
    <m/>
    <s v="62955505269026145,32"/>
    <s v="09/00012851528-3"/>
    <x v="1"/>
    <n v="198.68052631578951"/>
    <n v="0"/>
    <d v="2025-11-12T00:00:00"/>
    <m/>
    <m/>
    <m/>
    <m/>
    <m/>
    <m/>
    <m/>
    <m/>
    <m/>
    <m/>
  </r>
  <r>
    <s v="TRIFÁSICO"/>
    <s v="10/504844-2"/>
    <n v="67992637973"/>
    <n v="62955505354481"/>
    <s v="energisa_ms"/>
    <s v="Igreja do Evangelho Quadrangular"/>
    <x v="1"/>
    <s v="10/435964-245809"/>
    <s v="SIM"/>
    <n v="186"/>
    <n v="332.61913043478262"/>
    <n v="289.68711991304349"/>
    <s v="Aprovado"/>
    <n v="187.14913043478259"/>
    <n v="144.22"/>
    <d v="2025-09-10T00:00:00"/>
    <d v="2025-09-20T00:00:00"/>
    <n v="144.22"/>
    <m/>
    <s v="62955505354481144,22"/>
    <s v="09/00012683503-0"/>
    <x v="1"/>
    <n v="144.22"/>
    <n v="0"/>
    <m/>
    <m/>
    <m/>
    <m/>
    <m/>
    <m/>
    <m/>
    <m/>
    <m/>
    <m/>
    <m/>
  </r>
  <r>
    <s v="MONOFÁSICO"/>
    <s v="10/150263-2"/>
    <n v="67992337953"/>
    <n v="62955505091456"/>
    <s v="energisa_ms"/>
    <s v="Igreja do Evangelho Quadrangular"/>
    <x v="4"/>
    <s v="10/931327-145689"/>
    <s v="SIM"/>
    <n v="172"/>
    <n v="279.75"/>
    <n v="231.75250000000003"/>
    <s v="Aprovado"/>
    <n v="326.54999999999995"/>
    <n v="143.99"/>
    <m/>
    <m/>
    <n v="143.99"/>
    <m/>
    <s v="62955505091456143,99"/>
    <m/>
    <x v="3"/>
    <n v="0"/>
    <n v="-143.99"/>
    <m/>
    <m/>
    <m/>
    <m/>
    <m/>
    <m/>
    <m/>
    <m/>
    <m/>
    <m/>
    <m/>
  </r>
  <r>
    <e v="#N/A"/>
    <s v="10/2247256-7"/>
    <e v="#N/A"/>
    <s v="#ND"/>
    <s v="energisa_ms"/>
    <s v="Igreja do Evangelho Quadrangular"/>
    <x v="2"/>
    <s v="10/191945-545627"/>
    <s v="SIM"/>
    <n v="0"/>
    <m/>
    <m/>
    <s v="Não emitido"/>
    <n v="142.66999999999999"/>
    <n v="142.66999999999999"/>
    <m/>
    <m/>
    <m/>
    <s v="Pendente dado cadastral"/>
    <s v="#ND142,67"/>
    <e v="#N/A"/>
    <x v="0"/>
    <m/>
    <n v="0"/>
    <m/>
    <m/>
    <m/>
    <m/>
    <m/>
    <m/>
    <m/>
    <m/>
    <m/>
    <m/>
    <m/>
  </r>
  <r>
    <s v="TRIFÁSICO"/>
    <s v="10/501586-2"/>
    <s v="67 92480766"/>
    <n v="62955505273058"/>
    <s v="energisa_ms"/>
    <s v="Igreja do Evangelho Quadrangular"/>
    <x v="4"/>
    <s v="10/513413-545717"/>
    <s v="SIM"/>
    <n v="170"/>
    <n v="301.39"/>
    <n v="253.95249999999999"/>
    <s v="Aprovado"/>
    <n v="189.75"/>
    <n v="142.31"/>
    <m/>
    <m/>
    <n v="142.31"/>
    <m/>
    <s v="62955505273058142,31"/>
    <m/>
    <x v="1"/>
    <n v="142.31"/>
    <n v="0"/>
    <m/>
    <m/>
    <m/>
    <m/>
    <m/>
    <m/>
    <m/>
    <m/>
    <m/>
    <m/>
    <m/>
  </r>
  <r>
    <s v="TRIFÁSICO"/>
    <s v="10/931327-1"/>
    <n v="0"/>
    <n v="62955505402710"/>
    <s v="energisa_ms"/>
    <s v="Igreja do Evangelho Quadrangular"/>
    <x v="0"/>
    <s v="10/931327-145627"/>
    <s v="SIM"/>
    <n v="161"/>
    <n v="375.17340000000002"/>
    <n v="322.93651351182484"/>
    <s v="Aprovado"/>
    <n v="194.49339999999998"/>
    <n v="142.26"/>
    <d v="2025-10-03T00:00:00"/>
    <d v="2025-10-13T00:00:00"/>
    <n v="142.26"/>
    <m/>
    <s v="62955505402710142,26"/>
    <s v="09/00012851414-6"/>
    <x v="1"/>
    <n v="142.26"/>
    <n v="0"/>
    <m/>
    <m/>
    <m/>
    <m/>
    <m/>
    <m/>
    <m/>
    <m/>
    <m/>
    <m/>
    <m/>
  </r>
  <r>
    <s v="TRIFÁSICO"/>
    <s v="10/237441-1"/>
    <n v="67992637973"/>
    <n v="62955505017213"/>
    <s v="energisa_ms"/>
    <s v="Igreja do Evangelho Quadrangular"/>
    <x v="7"/>
    <s v="10/2247256-745931"/>
    <s v="SIM"/>
    <n v="169"/>
    <n v="330.03999999999996"/>
    <n v="282.88"/>
    <s v="Aprovado"/>
    <n v="188.64000000000001"/>
    <n v="141.47999999999999"/>
    <m/>
    <m/>
    <n v="141.47999999999999"/>
    <m/>
    <s v="62955505017213141,48"/>
    <m/>
    <x v="1"/>
    <n v="141.47999999999999"/>
    <n v="0"/>
    <m/>
    <m/>
    <n v="283032"/>
    <n v="502"/>
    <s v="Igreja do Evangelho Quadrangular"/>
    <s v="'62955505248886'"/>
    <n v="120.62"/>
    <m/>
    <s v="A Unidade Consumidora 10/395471-6 economizou R$40,21 na fatura referente à jun/2025  consumindo 159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BIFÁSICO"/>
    <s v="10/239312-2"/>
    <n v="67996711972"/>
    <n v="62955505016594"/>
    <s v="energisa_ms"/>
    <s v="Igreja do Evangelho Quadrangular"/>
    <x v="1"/>
    <s v="10/237441-145689"/>
    <s v="SIM"/>
    <n v="178"/>
    <n v="260.45800000000003"/>
    <n v="219.3820948"/>
    <s v="Aprovado"/>
    <n v="181.08799999999999"/>
    <n v="140.01"/>
    <d v="2025-09-10T00:00:00"/>
    <d v="2025-09-20T00:00:00"/>
    <n v="140.01"/>
    <m/>
    <s v="62955505016594140,01"/>
    <s v="09/00012683520-4"/>
    <x v="1"/>
    <n v="140.01"/>
    <n v="0"/>
    <m/>
    <m/>
    <m/>
    <m/>
    <m/>
    <m/>
    <m/>
    <m/>
    <m/>
    <m/>
    <m/>
  </r>
  <r>
    <s v="TRIFÁSICO"/>
    <s v="10/395471-6"/>
    <n v="0"/>
    <n v="62955505248886"/>
    <s v="energisa_ms"/>
    <s v="Igreja do Evangelho Quadrangular"/>
    <x v="0"/>
    <s v="10/78338-145689"/>
    <s v="SIM"/>
    <n v="178"/>
    <n v="300.80971830985919"/>
    <n v="250.55593532191946"/>
    <s v="Aprovado"/>
    <n v="187.1097183098592"/>
    <n v="136.86000000000001"/>
    <d v="2025-10-03T00:00:00"/>
    <d v="2025-10-13T00:00:00"/>
    <n v="136.86000000000001"/>
    <m/>
    <s v="62955505248886136,86"/>
    <s v="09/00012851533-3"/>
    <x v="1"/>
    <n v="136.86000000000001"/>
    <n v="0"/>
    <m/>
    <m/>
    <m/>
    <m/>
    <m/>
    <m/>
    <m/>
    <m/>
    <m/>
    <m/>
    <m/>
  </r>
  <r>
    <s v="TRIFÁSICO"/>
    <s v="10/276283-9"/>
    <n v="0"/>
    <n v="62955505088404"/>
    <s v="energisa_ms"/>
    <s v="Igreja do Evangelho Quadrangular"/>
    <x v="2"/>
    <s v="10/1117293-945901"/>
    <s v="SIM"/>
    <n v="148"/>
    <n v="337.79320000000001"/>
    <n v="298.06400810602833"/>
    <s v="Aprovado"/>
    <n v="175.82320000000001"/>
    <n v="136.09"/>
    <d v="2025-09-10T00:00:00"/>
    <d v="2025-09-20T00:00:00"/>
    <n v="136.09"/>
    <m/>
    <s v="62955505088404136,09"/>
    <s v="09/00012749641-0"/>
    <x v="1"/>
    <n v="136.09"/>
    <n v="0"/>
    <m/>
    <m/>
    <m/>
    <m/>
    <m/>
    <m/>
    <m/>
    <m/>
    <m/>
    <m/>
    <m/>
  </r>
  <r>
    <s v="TRIFÁSICO"/>
    <s v="10/1035655-8"/>
    <n v="67996135721"/>
    <n v="62955505182257"/>
    <s v="energisa_ms"/>
    <s v="Igreja do Evangelho Quadrangular"/>
    <x v="8"/>
    <s v="10/10232-745689"/>
    <s v="SIM"/>
    <n v="159"/>
    <n v="354.82740000000001"/>
    <n v="309.50554999999997"/>
    <s v="Aprovado"/>
    <n v="181.28739999999999"/>
    <n v="135.97"/>
    <m/>
    <m/>
    <n v="135.97"/>
    <m/>
    <s v="62955505182257135,97"/>
    <m/>
    <x v="1"/>
    <n v="181.29"/>
    <n v="45.319999999999993"/>
    <d v="2025-11-07T00:00:00"/>
    <m/>
    <m/>
    <m/>
    <m/>
    <m/>
    <m/>
    <m/>
    <m/>
    <m/>
    <m/>
  </r>
  <r>
    <s v="TRIFÁSICO"/>
    <s v="10/162736-3"/>
    <n v="67996150274"/>
    <n v="62955505197360"/>
    <s v="energisa_ms"/>
    <s v="Igreja do Evangelho Quadrangular"/>
    <x v="5"/>
    <s v="10/257864-945658"/>
    <s v="SIM"/>
    <n v="165"/>
    <n v="457.84999999999997"/>
    <n v="412.57"/>
    <s v="Aprovado"/>
    <n v="181.11999999999998"/>
    <n v="135.84"/>
    <m/>
    <m/>
    <n v="135.84"/>
    <m/>
    <s v="62955505197360135,84"/>
    <e v="#N/A"/>
    <x v="2"/>
    <n v="0"/>
    <n v="-135.84"/>
    <m/>
    <s v="Cobrança Regular"/>
    <m/>
    <m/>
    <m/>
    <m/>
    <m/>
    <m/>
    <m/>
    <m/>
    <m/>
  </r>
  <r>
    <s v="BIFÁSICO"/>
    <s v="10/13786-9"/>
    <n v="67996266684"/>
    <n v="62955505197521"/>
    <s v="energisa_ms"/>
    <s v="Igreja do Evangelho Quadrangular"/>
    <x v="1"/>
    <s v="10/530195-745809"/>
    <s v="SIM"/>
    <n v="174"/>
    <n v="226.78714285714284"/>
    <n v="186.62674028571428"/>
    <s v="Aprovado"/>
    <n v="175.97714285714284"/>
    <n v="135.82"/>
    <d v="2025-09-10T00:00:00"/>
    <d v="2025-09-20T00:00:00"/>
    <n v="135.82"/>
    <m/>
    <s v="62955505197521135,82"/>
    <s v="09/00012683521-2"/>
    <x v="1"/>
    <n v="135.82"/>
    <n v="0"/>
    <m/>
    <m/>
    <m/>
    <m/>
    <m/>
    <m/>
    <m/>
    <m/>
    <m/>
    <m/>
    <m/>
  </r>
  <r>
    <s v="BIFÁSICO"/>
    <s v="10/3125732-2"/>
    <n v="65999839279"/>
    <n v="62955505015512"/>
    <s v="energisa_ms"/>
    <s v="Igreja do Evangelho Quadrangular"/>
    <x v="9"/>
    <s v="10/3054052-045748"/>
    <s v="SIM"/>
    <n v="176"/>
    <n v="323.32434782608692"/>
    <n v="270.74343625634009"/>
    <s v="Aprovado"/>
    <n v="188.00434782608693"/>
    <n v="135.41999999999999"/>
    <d v="2025-11-06T00:00:00"/>
    <d v="2025-11-13T00:00:00"/>
    <n v="135.41999999999999"/>
    <m/>
    <s v="62955505015512135,42"/>
    <s v="09/00013026908-5"/>
    <x v="1"/>
    <n v="135.41999999999999"/>
    <n v="0"/>
    <m/>
    <m/>
    <m/>
    <m/>
    <m/>
    <m/>
    <m/>
    <m/>
    <m/>
    <m/>
    <m/>
  </r>
  <r>
    <s v="TRIFÁSICO"/>
    <s v="10/399338-3"/>
    <n v="67991060202"/>
    <n v="62955505213233"/>
    <s v="energisa_ms"/>
    <s v="Igreja do Evangelho Quadrangular"/>
    <x v="1"/>
    <s v="10/530195-745658"/>
    <s v="SIM"/>
    <n v="169"/>
    <n v="282.51624999999996"/>
    <n v="243.50764024999995"/>
    <s v="Aprovado"/>
    <n v="173.34625"/>
    <n v="134.34"/>
    <d v="2025-09-10T00:00:00"/>
    <d v="2025-09-20T00:00:00"/>
    <n v="134.34"/>
    <m/>
    <s v="62955505213233134,34"/>
    <s v="09/00012683495-9"/>
    <x v="1"/>
    <n v="134.34"/>
    <n v="0"/>
    <m/>
    <m/>
    <m/>
    <m/>
    <m/>
    <m/>
    <m/>
    <m/>
    <m/>
    <m/>
    <m/>
  </r>
  <r>
    <s v="BIFÁSICO"/>
    <s v="10/1017804-4"/>
    <n v="6792157907"/>
    <n v="62955505878987"/>
    <s v="energisa_ms"/>
    <s v="Igreja do Evangelho Quadrangular"/>
    <x v="9"/>
    <s v="10/504844-245809"/>
    <s v="SIM"/>
    <n v="254"/>
    <n v="505.87439999999998"/>
    <n v="418.37552175159158"/>
    <s v="Aprovado"/>
    <n v="312.8544"/>
    <n v="225.36"/>
    <d v="2025-11-06T00:00:00"/>
    <d v="2025-11-13T00:00:00"/>
    <n v="225.36"/>
    <m/>
    <s v="62955505878987225,36"/>
    <s v="09/00013026948-1"/>
    <x v="2"/>
    <m/>
    <n v="0"/>
    <m/>
    <s v="Cobrança Regular"/>
    <m/>
    <m/>
    <m/>
    <m/>
    <m/>
    <m/>
    <m/>
    <m/>
    <m/>
  </r>
  <r>
    <s v="TRIFÁSICO"/>
    <s v="10/18015-8"/>
    <n v="67996266684"/>
    <n v="62955505016080"/>
    <s v="energisa_ms"/>
    <s v="Igreja do Evangelho Quadrangular"/>
    <x v="8"/>
    <s v="10/3125732-245931"/>
    <s v="SIM"/>
    <n v="155"/>
    <n v="1060.2699999999998"/>
    <n v="1016.0924999999997"/>
    <s v="Aprovado"/>
    <n v="176.70999999999998"/>
    <n v="132.53"/>
    <m/>
    <m/>
    <n v="132.53"/>
    <m/>
    <s v="62955505016080132,53"/>
    <m/>
    <x v="2"/>
    <n v="0"/>
    <n v="-132.53"/>
    <m/>
    <s v="Cobrança Regular"/>
    <m/>
    <m/>
    <m/>
    <m/>
    <m/>
    <m/>
    <m/>
    <m/>
    <m/>
  </r>
  <r>
    <s v="TRIFÁSICO"/>
    <s v="10/532081-7"/>
    <s v="67 992321318"/>
    <n v="62955505193534"/>
    <s v="energisa_ms"/>
    <s v="Igreja do Evangelho Quadrangular"/>
    <x v="5"/>
    <s v="10/8777-545748"/>
    <s v="SIM"/>
    <n v="160"/>
    <n v="453.76000000000005"/>
    <n v="409.62250000000006"/>
    <s v="Aprovado"/>
    <n v="176.55"/>
    <n v="132.41"/>
    <m/>
    <m/>
    <n v="132.41"/>
    <m/>
    <s v="62955505193534132,41"/>
    <e v="#N/A"/>
    <x v="1"/>
    <n v="176.55"/>
    <n v="44.140000000000015"/>
    <d v="2025-10-08T00:00:00"/>
    <m/>
    <m/>
    <m/>
    <m/>
    <m/>
    <m/>
    <m/>
    <m/>
    <m/>
    <m/>
  </r>
  <r>
    <s v="MONOFÁSICO"/>
    <s v="10/150263-2"/>
    <n v="67992337953"/>
    <n v="62955505091456"/>
    <s v="energisa_ms"/>
    <s v="Igreja do Evangelho Quadrangular"/>
    <x v="9"/>
    <s v="10/2794432-145839"/>
    <s v="SIM"/>
    <n v="101"/>
    <n v="195.59631578947366"/>
    <n v="164.51659315984998"/>
    <s v="Aprovado"/>
    <n v="193.31631577947368"/>
    <n v="162.24"/>
    <d v="2025-11-06T00:00:00"/>
    <d v="2025-11-13T00:00:00"/>
    <n v="162.24"/>
    <m/>
    <s v="62955505091456162,24"/>
    <s v="09/00013026966-3"/>
    <x v="2"/>
    <m/>
    <n v="0"/>
    <m/>
    <s v="Cobrança Regular"/>
    <m/>
    <m/>
    <m/>
    <m/>
    <m/>
    <m/>
    <m/>
    <m/>
    <m/>
  </r>
  <r>
    <s v="TRIFÁSICO"/>
    <s v="10/931327-1"/>
    <s v="67 992158055"/>
    <n v="62955505402710"/>
    <s v="energisa_ms"/>
    <s v="Igreja do Evangelho Quadrangular"/>
    <x v="9"/>
    <s v="10/3123706-845809"/>
    <s v="SIM"/>
    <n v="149"/>
    <n v="350.25890000000004"/>
    <n v="299.66243782732965"/>
    <s v="Aprovado"/>
    <n v="180.90890000000002"/>
    <n v="130.31"/>
    <d v="2025-11-06T00:00:00"/>
    <d v="2025-11-13T00:00:00"/>
    <n v="130.31"/>
    <m/>
    <s v="62955505402710130,31"/>
    <s v="09/00013026955-6"/>
    <x v="1"/>
    <n v="130.31"/>
    <n v="0"/>
    <m/>
    <m/>
    <m/>
    <m/>
    <m/>
    <m/>
    <m/>
    <m/>
    <m/>
    <m/>
    <m/>
  </r>
  <r>
    <s v="TRIFÁSICO"/>
    <s v="10/399338-3"/>
    <n v="0"/>
    <n v="62955505213233"/>
    <s v="energisa_ms"/>
    <s v="Igreja do Evangelho Quadrangular"/>
    <x v="2"/>
    <s v="10/72605-945839"/>
    <s v="SIM"/>
    <n v="165"/>
    <n v="281.86589041095891"/>
    <n v="243.9392596321338"/>
    <s v="Aprovado"/>
    <n v="167.84589041095893"/>
    <n v="129.91999999999999"/>
    <d v="2025-09-10T00:00:00"/>
    <d v="2025-09-20T00:00:00"/>
    <n v="129.91999999999999"/>
    <m/>
    <s v="62955505213233129,92"/>
    <s v="09/00012749673-3"/>
    <x v="1"/>
    <n v="129.91999999999999"/>
    <n v="0"/>
    <m/>
    <m/>
    <m/>
    <m/>
    <m/>
    <m/>
    <m/>
    <m/>
    <m/>
    <m/>
    <m/>
  </r>
  <r>
    <s v="BIFÁSICO"/>
    <s v="10/952579-1"/>
    <n v="67996150274"/>
    <n v="62955505897930"/>
    <s v="energisa_ms"/>
    <s v="Igreja do Evangelho Quadrangular"/>
    <x v="9"/>
    <s v="10/3170252-545778"/>
    <s v="SIM"/>
    <n v="170"/>
    <n v="654.87552706552697"/>
    <n v="604.59604576448089"/>
    <s v="Aprovado"/>
    <n v="179.77552706552706"/>
    <n v="129.5"/>
    <d v="2025-11-06T00:00:00"/>
    <d v="2025-11-13T00:00:00"/>
    <n v="129.5"/>
    <m/>
    <s v="62955505897930129,5"/>
    <s v="09/00013026917-6"/>
    <x v="1"/>
    <n v="129.5"/>
    <n v="0"/>
    <m/>
    <m/>
    <m/>
    <m/>
    <m/>
    <m/>
    <m/>
    <m/>
    <m/>
    <m/>
    <m/>
  </r>
  <r>
    <s v="BIFÁSICO"/>
    <s v="10/10232-7"/>
    <s v="67 996415566"/>
    <n v="62955505393207"/>
    <s v="energisa_ms"/>
    <s v="Igreja do Evangelho Quadrangular"/>
    <x v="6"/>
    <s v="10/142353-245658"/>
    <s v="SIM"/>
    <n v="162"/>
    <n v="269.5"/>
    <n v="226.39250000000001"/>
    <s v="Aprovado"/>
    <n v="172.42999999999998"/>
    <n v="129.32"/>
    <m/>
    <m/>
    <n v="129.32"/>
    <m/>
    <s v="62955505393207129,32"/>
    <m/>
    <x v="1"/>
    <n v="129.32"/>
    <n v="0"/>
    <m/>
    <m/>
    <m/>
    <m/>
    <m/>
    <m/>
    <m/>
    <m/>
    <m/>
    <m/>
    <m/>
  </r>
  <r>
    <s v="TRIFÁSICO"/>
    <s v="10/395471-6"/>
    <n v="67992876000"/>
    <n v="62955505248886"/>
    <s v="energisa_ms"/>
    <s v="Igreja do Evangelho Quadrangular"/>
    <x v="8"/>
    <s v="10/3125732-245658"/>
    <s v="SIM"/>
    <n v="176"/>
    <n v="294.14913043478259"/>
    <n v="251.14934782608697"/>
    <s v="Aprovado"/>
    <n v="171.99913043478261"/>
    <n v="129"/>
    <m/>
    <m/>
    <n v="129"/>
    <m/>
    <s v="62955505248886129"/>
    <m/>
    <x v="1"/>
    <n v="172"/>
    <n v="43"/>
    <d v="2025-09-29T00:00:00"/>
    <m/>
    <m/>
    <m/>
    <m/>
    <m/>
    <m/>
    <m/>
    <m/>
    <m/>
    <m/>
  </r>
  <r>
    <s v="TRIFÁSICO"/>
    <s v="10/2599101-9"/>
    <n v="67991120875"/>
    <n v="62955505379395"/>
    <s v="energisa_ms"/>
    <s v="Igreja do Evangelho Quadrangular"/>
    <x v="1"/>
    <s v="10/1288241-145839"/>
    <s v="SIM"/>
    <n v="137"/>
    <n v="275.66310000000004"/>
    <n v="239.10979286000003"/>
    <s v="Aprovado"/>
    <n v="164.67310000000006"/>
    <n v="128.12"/>
    <d v="2025-09-10T00:00:00"/>
    <d v="2025-09-20T00:00:00"/>
    <n v="128.12"/>
    <m/>
    <s v="62955505379395128,12"/>
    <s v="09/00012683473-6"/>
    <x v="1"/>
    <n v="128.12"/>
    <n v="0"/>
    <m/>
    <m/>
    <m/>
    <m/>
    <m/>
    <m/>
    <m/>
    <m/>
    <m/>
    <m/>
    <m/>
  </r>
  <r>
    <s v="TRIFÁSICO"/>
    <s v="10/162736-3"/>
    <n v="67996150274"/>
    <n v="62955505197360"/>
    <s v="energisa_ms"/>
    <s v="Igreja do Evangelho Quadrangular"/>
    <x v="9"/>
    <s v="10/3054052-045809"/>
    <s v="SIM"/>
    <n v="170"/>
    <n v="393.18600000000004"/>
    <n v="335.3774215097086"/>
    <s v="Aprovado"/>
    <n v="206.69600000000003"/>
    <n v="148.88999999999999"/>
    <d v="2025-11-06T00:00:00"/>
    <d v="2025-11-13T00:00:00"/>
    <n v="148.88999999999999"/>
    <m/>
    <s v="62955505197360148,89"/>
    <s v="09/00013026959-8"/>
    <x v="2"/>
    <m/>
    <n v="0"/>
    <m/>
    <s v="Cobrança Regular"/>
    <m/>
    <m/>
    <m/>
    <m/>
    <m/>
    <m/>
    <m/>
    <m/>
    <m/>
  </r>
  <r>
    <s v="BIFÁSICO"/>
    <s v="10/10232-7"/>
    <n v="0"/>
    <n v="62955505393207"/>
    <s v="energisa_ms"/>
    <s v="Igreja do Evangelho Quadrangular"/>
    <x v="0"/>
    <s v="10/150263-245689"/>
    <s v="SIM"/>
    <n v="144"/>
    <n v="264.65120000000002"/>
    <n v="217.92077848265603"/>
    <s v="Aprovado"/>
    <n v="173.99120000000002"/>
    <n v="127.26"/>
    <d v="2025-10-03T00:00:00"/>
    <d v="2025-10-13T00:00:00"/>
    <n v="127.26"/>
    <m/>
    <s v="62955505393207127,26"/>
    <s v="09/00012851427-8"/>
    <x v="1"/>
    <n v="127.26"/>
    <n v="0"/>
    <m/>
    <m/>
    <m/>
    <m/>
    <m/>
    <m/>
    <m/>
    <m/>
    <m/>
    <m/>
    <m/>
  </r>
  <r>
    <s v="BIFÁSICO"/>
    <s v="10/452884-0"/>
    <s v="67 996469842"/>
    <n v="62955505000167"/>
    <s v="energisa_ms"/>
    <s v="Igreja do Evangelho Quadrangular"/>
    <x v="7"/>
    <s v="10/1672452-845931"/>
    <s v="SIM"/>
    <n v="159"/>
    <n v="223.25"/>
    <n v="180.88749999999999"/>
    <s v="Aprovado"/>
    <n v="169.45"/>
    <n v="127.09"/>
    <m/>
    <m/>
    <n v="127.09"/>
    <m/>
    <s v="62955505000167127,09"/>
    <m/>
    <x v="1"/>
    <n v="127.09"/>
    <n v="0"/>
    <m/>
    <m/>
    <m/>
    <m/>
    <m/>
    <m/>
    <m/>
    <m/>
    <m/>
    <m/>
    <m/>
  </r>
  <r>
    <s v="BIFÁSICO"/>
    <s v="10/341308-5"/>
    <n v="0"/>
    <n v="62955505239119"/>
    <s v="energisa_ms"/>
    <s v="Igreja do Evangelho Quadrangular"/>
    <x v="0"/>
    <s v="10/129490-945689"/>
    <s v="SIM"/>
    <n v="165"/>
    <n v="228.21826086956526"/>
    <n v="181.6282899381884"/>
    <s v="Aprovado"/>
    <n v="173.46826086956523"/>
    <n v="126.88"/>
    <d v="2025-10-03T00:00:00"/>
    <d v="2025-10-13T00:00:00"/>
    <n v="126.88"/>
    <m/>
    <s v="62955505239119126,88"/>
    <s v="09/00012851453-4"/>
    <x v="1"/>
    <n v="126.88"/>
    <n v="0"/>
    <m/>
    <m/>
    <m/>
    <m/>
    <m/>
    <m/>
    <m/>
    <m/>
    <m/>
    <m/>
    <m/>
  </r>
  <r>
    <s v="TRIFÁSICO"/>
    <s v="10/76927-3"/>
    <n v="0"/>
    <n v="62955505058599"/>
    <s v="energisa_ms"/>
    <s v="Igreja do Evangelho Quadrangular"/>
    <x v="0"/>
    <s v="10/13786-945689"/>
    <s v="SIM"/>
    <n v="165"/>
    <n v="325.72958904109589"/>
    <n v="279.14463297492421"/>
    <s v="Aprovado"/>
    <n v="173.44958904109589"/>
    <n v="126.86"/>
    <d v="2025-10-03T00:00:00"/>
    <d v="2025-10-13T00:00:00"/>
    <n v="126.86"/>
    <m/>
    <s v="62955505058599126,86"/>
    <s v="09/00012851450-0"/>
    <x v="1"/>
    <n v="126.86"/>
    <n v="0"/>
    <m/>
    <m/>
    <m/>
    <m/>
    <m/>
    <m/>
    <m/>
    <m/>
    <m/>
    <m/>
    <m/>
  </r>
  <r>
    <s v="BIFÁSICO"/>
    <s v="10/3556072-1"/>
    <e v="#N/A"/>
    <s v="#ND"/>
    <s v="energisa_ms"/>
    <s v="Igreja do Evangelho Quadrangular"/>
    <x v="1"/>
    <s v="10/72605-945901"/>
    <s v="SIM"/>
    <n v="141"/>
    <m/>
    <m/>
    <s v="Aprovado"/>
    <n v="163.98917647058826"/>
    <n v="126.37"/>
    <d v="2025-09-10T00:00:00"/>
    <d v="2025-09-20T00:00:00"/>
    <n v="0"/>
    <s v="sem informação de CNPJ"/>
    <s v="#ND0"/>
    <m/>
    <x v="0"/>
    <m/>
    <n v="0"/>
    <m/>
    <m/>
    <m/>
    <m/>
    <m/>
    <m/>
    <m/>
    <m/>
    <m/>
    <m/>
    <m/>
  </r>
  <r>
    <s v="TRIFÁSICO"/>
    <s v="10/3030784-7"/>
    <n v="0"/>
    <n v="62955505016080"/>
    <s v="energisa_ms"/>
    <s v="Igreja do Evangelho Quadrangular"/>
    <x v="2"/>
    <s v="10/31292-645717"/>
    <s v="SIM"/>
    <n v="141"/>
    <n v="340.43110000000001"/>
    <n v="303.57886657404185"/>
    <s v="Aprovado"/>
    <n v="163.09109999999998"/>
    <n v="126.24"/>
    <d v="2025-09-10T00:00:00"/>
    <d v="2025-09-20T00:00:00"/>
    <n v="126.24"/>
    <m/>
    <s v="62955505016080126,24"/>
    <s v="09/00012749643-6"/>
    <x v="1"/>
    <n v="126.24"/>
    <n v="0"/>
    <d v="2025-09-24T00:00:00"/>
    <m/>
    <m/>
    <m/>
    <m/>
    <m/>
    <m/>
    <m/>
    <m/>
    <m/>
    <m/>
  </r>
  <r>
    <s v="TRIFÁSICO"/>
    <s v="10/276283-9"/>
    <s v="46 999066691"/>
    <n v="62955505088404"/>
    <s v="energisa_ms"/>
    <s v="Igreja do Evangelho Quadrangular"/>
    <x v="1"/>
    <s v="10/532081-745870"/>
    <s v="SIM"/>
    <n v="138"/>
    <n v="319.99940000000004"/>
    <n v="283.18083763999999"/>
    <s v="Aprovado"/>
    <n v="162.39940000000001"/>
    <n v="125.58"/>
    <d v="2025-09-10T00:00:00"/>
    <d v="2025-09-20T00:00:00"/>
    <n v="125.58"/>
    <m/>
    <s v="62955505088404125,58"/>
    <s v="09/00012683491-8"/>
    <x v="1"/>
    <n v="125.58"/>
    <n v="0"/>
    <m/>
    <m/>
    <m/>
    <m/>
    <m/>
    <m/>
    <m/>
    <m/>
    <m/>
    <m/>
    <m/>
  </r>
  <r>
    <s v="TRIFÁSICO"/>
    <s v="10/1672452-8"/>
    <n v="0"/>
    <n v="62955505017213"/>
    <s v="energisa_ms"/>
    <s v="Igreja do Evangelho Quadrangular"/>
    <x v="0"/>
    <s v="10/532723-445627"/>
    <s v="SIM"/>
    <n v="142"/>
    <n v="313.60479999999995"/>
    <n v="267.53411648903329"/>
    <s v="Aprovado"/>
    <n v="171.53479999999996"/>
    <n v="125.46"/>
    <d v="2025-10-03T00:00:00"/>
    <d v="2025-10-13T00:00:00"/>
    <n v="125.46"/>
    <m/>
    <s v="62955505017213125,46"/>
    <s v="09/00012851413-8"/>
    <x v="1"/>
    <n v="125.46"/>
    <n v="0"/>
    <m/>
    <m/>
    <m/>
    <m/>
    <m/>
    <m/>
    <m/>
    <m/>
    <m/>
    <m/>
    <m/>
  </r>
  <r>
    <s v="BIFÁSICO"/>
    <s v="10/10232-7"/>
    <s v="67 996415566"/>
    <n v="62955505393207"/>
    <s v="energisa_ms"/>
    <s v="Igreja do Evangelho Quadrangular"/>
    <x v="5"/>
    <s v="10/341308-545839"/>
    <s v="SIM"/>
    <n v="149"/>
    <n v="253.47999999999996"/>
    <n v="211.69249999999994"/>
    <s v="Aprovado"/>
    <n v="167.14999999999998"/>
    <n v="125.36"/>
    <m/>
    <m/>
    <n v="125.36"/>
    <m/>
    <s v="62955505393207125,36"/>
    <m/>
    <x v="1"/>
    <n v="125.36"/>
    <n v="0"/>
    <m/>
    <m/>
    <m/>
    <m/>
    <m/>
    <m/>
    <m/>
    <m/>
    <m/>
    <m/>
    <m/>
  </r>
  <r>
    <s v="MONOFÁSICO"/>
    <s v="10/1548741-6"/>
    <s v="67 81355403"/>
    <n v="62955505084751"/>
    <s v="energisa_ms"/>
    <s v="Igreja do Evangelho Quadrangular"/>
    <x v="5"/>
    <s v="10/452884-045689"/>
    <s v="SIM"/>
    <n v="149"/>
    <n v="263.01"/>
    <n v="221.4075"/>
    <s v="Aprovado"/>
    <n v="166.41"/>
    <n v="124.81"/>
    <m/>
    <m/>
    <n v="124.81"/>
    <m/>
    <s v="62955505084751124,81"/>
    <m/>
    <x v="1"/>
    <n v="124.81"/>
    <n v="0"/>
    <m/>
    <m/>
    <m/>
    <m/>
    <m/>
    <m/>
    <m/>
    <m/>
    <m/>
    <m/>
    <m/>
  </r>
  <r>
    <s v="BIFÁSICO"/>
    <s v="10/511753-6"/>
    <n v="67996266684"/>
    <n v="62955505016080"/>
    <s v="energisa_ms"/>
    <s v="Igreja do Evangelho Quadrangular"/>
    <x v="8"/>
    <s v="10/10232-745901"/>
    <s v="SIM"/>
    <n v="163"/>
    <n v="267.45633333333336"/>
    <n v="226.04725000000002"/>
    <s v="Aprovado"/>
    <n v="165.63633333333334"/>
    <n v="124.23"/>
    <m/>
    <m/>
    <n v="124.23"/>
    <m/>
    <s v="62955505016080124,23"/>
    <m/>
    <x v="1"/>
    <n v="165.64"/>
    <n v="41.409999999999982"/>
    <d v="2025-10-03T00:00:00"/>
    <m/>
    <m/>
    <m/>
    <m/>
    <m/>
    <m/>
    <m/>
    <m/>
    <m/>
    <m/>
  </r>
  <r>
    <s v="TRIFÁSICO"/>
    <s v="10/69319-2"/>
    <n v="67998363594"/>
    <n v="62955505182257"/>
    <s v="energisa_ms"/>
    <s v="Igreja do Evangelho Quadrangular"/>
    <x v="8"/>
    <s v="10/435964-245870"/>
    <s v="SIM"/>
    <n v="166"/>
    <n v="320.51718309859154"/>
    <n v="280.0028873239437"/>
    <s v="Aprovado"/>
    <n v="162.05718309859157"/>
    <n v="121.54"/>
    <m/>
    <m/>
    <n v="121.54"/>
    <m/>
    <s v="62955505182257121,54"/>
    <m/>
    <x v="1"/>
    <n v="121.54"/>
    <n v="0"/>
    <m/>
    <m/>
    <m/>
    <m/>
    <m/>
    <m/>
    <m/>
    <m/>
    <m/>
    <m/>
    <m/>
  </r>
  <r>
    <s v="MONOFÁSICO"/>
    <s v="10/1548741-6"/>
    <n v="0"/>
    <n v="62955505084751"/>
    <s v="energisa_ms"/>
    <s v="Igreja do Evangelho Quadrangular"/>
    <x v="0"/>
    <s v="10/925970-645689"/>
    <s v="SIM"/>
    <n v="140"/>
    <n v="264.51"/>
    <n v="220.03865205342674"/>
    <s v="Aprovado"/>
    <n v="165.58000000000004"/>
    <n v="121.11"/>
    <d v="2025-10-03T00:00:00"/>
    <d v="2025-10-13T00:00:00"/>
    <n v="121.11"/>
    <m/>
    <s v="62955505084751121,11"/>
    <s v="09/00012851428-6"/>
    <x v="1"/>
    <n v="121.11"/>
    <n v="0"/>
    <d v="2025-10-23T00:00:00"/>
    <m/>
    <m/>
    <m/>
    <m/>
    <m/>
    <m/>
    <m/>
    <m/>
    <m/>
    <m/>
  </r>
  <r>
    <s v="MONOFÁSICO"/>
    <s v="10/1548741-6"/>
    <s v="67 81355403"/>
    <n v="62955505084751"/>
    <s v="energisa_ms"/>
    <s v="Igreja do Evangelho Quadrangular"/>
    <x v="6"/>
    <s v="10/1672452-845778"/>
    <s v="SIM"/>
    <n v="155"/>
    <n v="254.02999999999997"/>
    <n v="213.72499999999999"/>
    <s v="Aprovado"/>
    <n v="161.22"/>
    <n v="120.92"/>
    <m/>
    <m/>
    <n v="120.92"/>
    <m/>
    <s v="62955505084751120,92"/>
    <m/>
    <x v="1"/>
    <n v="120.92"/>
    <n v="0"/>
    <m/>
    <m/>
    <m/>
    <m/>
    <m/>
    <m/>
    <m/>
    <m/>
    <m/>
    <m/>
    <m/>
  </r>
  <r>
    <s v="TRIFÁSICO"/>
    <s v="10/2794432-1"/>
    <n v="67991162146"/>
    <n v="62955505015199"/>
    <s v="energisa_ms"/>
    <s v="Igreja do Evangelho Quadrangular"/>
    <x v="7"/>
    <s v="10/191945-545658"/>
    <s v="SIM"/>
    <n v="164"/>
    <n v="552.54999999999995"/>
    <n v="512.27749999999992"/>
    <s v="Aprovado"/>
    <n v="161.09"/>
    <n v="120.82"/>
    <m/>
    <m/>
    <n v="120.82"/>
    <m/>
    <s v="62955505015199120,82"/>
    <m/>
    <x v="1"/>
    <n v="120.82"/>
    <n v="0"/>
    <m/>
    <m/>
    <n v="283032"/>
    <n v="502"/>
    <s v="Igreja do Evangelho Quadrangular"/>
    <s v="'62955505287601'"/>
    <n v="16.72"/>
    <m/>
    <s v="A Unidade Consumidora 10/283183-2 economizou R$5,57 na fatura referente à jun/2025  consumindo 22 kWh em créditos de energia renovável conforme fatura de energia. A economia foi de 25% em relação ao que seria pago para a Energisa considerando os créditos consumidos. Atenção: Mantenha as contas da Energisa em dia para evitar cortes."/>
    <s v="prmarcelo.quadrangular@gmail.com"/>
    <m/>
  </r>
  <r>
    <s v="TRIFÁSICO"/>
    <s v="10/395471-6"/>
    <n v="67992876000"/>
    <n v="62955505248886"/>
    <s v="energisa_ms"/>
    <s v="Igreja do Evangelho Quadrangular"/>
    <x v="3"/>
    <s v="10/150263-245901"/>
    <s v="SIM"/>
    <n v="159"/>
    <n v="271.0549315068493"/>
    <n v="232.8985320127905"/>
    <s v="Aprovado"/>
    <n v="160.82493150684928"/>
    <n v="120.62"/>
    <d v="2025-07-22T00:00:00"/>
    <d v="2025-08-02T00:00:00"/>
    <n v="120.62"/>
    <m/>
    <s v="62955505248886120,62"/>
    <s v="09/00012472800-5"/>
    <x v="1"/>
    <n v="120.62"/>
    <n v="0"/>
    <m/>
    <m/>
    <m/>
    <m/>
    <m/>
    <m/>
    <m/>
    <m/>
    <m/>
    <m/>
    <m/>
  </r>
  <r>
    <s v="TRIFÁSICO"/>
    <s v="10/501586-2"/>
    <s v="67 92480766"/>
    <n v="62955505273058"/>
    <s v="energisa_ms"/>
    <s v="Igreja do Evangelho Quadrangular"/>
    <x v="8"/>
    <s v="10/69319-245778"/>
    <s v="SIM"/>
    <n v="151"/>
    <n v="270.70011235955059"/>
    <n v="230.59258426966295"/>
    <s v="Aprovado"/>
    <n v="160.43011235955055"/>
    <n v="120.32"/>
    <m/>
    <m/>
    <n v="120.32"/>
    <m/>
    <s v="62955505273058120,32"/>
    <m/>
    <x v="1"/>
    <n v="120.32"/>
    <n v="0"/>
    <m/>
    <m/>
    <m/>
    <m/>
    <m/>
    <m/>
    <m/>
    <m/>
    <m/>
    <m/>
    <m/>
  </r>
  <r>
    <s v="TRIFÁSICO"/>
    <s v="10/532081-7"/>
    <n v="0"/>
    <n v="62955505193534"/>
    <s v="energisa_ms"/>
    <s v="Igreja do Evangelho Quadrangular"/>
    <x v="0"/>
    <s v="10/135237-645658"/>
    <s v="SIM"/>
    <n v="136"/>
    <n v="338.12199999999996"/>
    <n v="293.99389630198164"/>
    <s v="Aprovado"/>
    <n v="164.30199999999999"/>
    <n v="120.17"/>
    <d v="2025-10-03T00:00:00"/>
    <d v="2025-10-13T00:00:00"/>
    <n v="120.17"/>
    <m/>
    <s v="62955505193534120,17"/>
    <s v="09/00012851418-7"/>
    <x v="1"/>
    <n v="120.17"/>
    <n v="0"/>
    <m/>
    <m/>
    <m/>
    <m/>
    <m/>
    <m/>
    <m/>
    <m/>
    <m/>
    <m/>
    <m/>
  </r>
  <r>
    <s v="TRIFÁSICO"/>
    <s v="10/1288241-1"/>
    <n v="0"/>
    <n v="62955505335851"/>
    <s v="energisa_ms"/>
    <s v="Igreja do Evangelho Quadrangular"/>
    <x v="2"/>
    <s v="10/2794432-145627"/>
    <s v="SIM"/>
    <n v="154"/>
    <n v="266.97236842105264"/>
    <n v="232.04051716169911"/>
    <s v="Aprovado"/>
    <n v="154.59236842105261"/>
    <n v="119.66"/>
    <d v="2025-09-10T00:00:00"/>
    <d v="2025-09-20T00:00:00"/>
    <n v="119.66"/>
    <m/>
    <s v="62955505335851119,66"/>
    <s v="09/00012749704-6"/>
    <x v="1"/>
    <n v="119.66"/>
    <n v="0"/>
    <m/>
    <m/>
    <m/>
    <m/>
    <m/>
    <m/>
    <m/>
    <m/>
    <m/>
    <m/>
    <m/>
  </r>
  <r>
    <s v="MONOFÁSICO"/>
    <s v="10/1548741-6"/>
    <s v="67 81355403"/>
    <n v="62955505084751"/>
    <s v="energisa_ms"/>
    <s v="Igreja do Evangelho Quadrangular"/>
    <x v="7"/>
    <s v="10/202838-945778"/>
    <s v="SIM"/>
    <n v="152"/>
    <n v="263.95"/>
    <n v="224.13249999999999"/>
    <s v="Aprovado"/>
    <n v="159.27000000000004"/>
    <n v="119.45"/>
    <m/>
    <m/>
    <n v="119.45"/>
    <m/>
    <s v="62955505084751119,45"/>
    <m/>
    <x v="1"/>
    <n v="119.45"/>
    <n v="0"/>
    <m/>
    <m/>
    <n v="283032"/>
    <n v="502"/>
    <s v="Igreja do Evangelho Quadrangular"/>
    <s v="'62955505331198'"/>
    <n v="237.65"/>
    <m/>
    <s v="A Unidade Consumidora 10/127464-6 economizou R$79,22 na fatura referente à jun/2025  consumindo 317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480529-7"/>
    <n v="6796411024"/>
    <n v="62955505182257"/>
    <s v="energisa_ms"/>
    <s v="Igreja do Evangelho Quadrangular"/>
    <x v="3"/>
    <s v="10/156956-545870"/>
    <s v="SIM"/>
    <n v="158"/>
    <n v="370.63433962264151"/>
    <n v="332.95496161047947"/>
    <s v="Aprovado"/>
    <n v="158.81433962264151"/>
    <n v="119.11"/>
    <d v="2025-07-22T00:00:00"/>
    <d v="2025-08-02T00:00:00"/>
    <n v="119.11"/>
    <m/>
    <s v="62955505182257119,11"/>
    <s v="09/00012472776-7"/>
    <x v="1"/>
    <n v="119.11"/>
    <n v="0"/>
    <s v="04/08/2025"/>
    <m/>
    <m/>
    <m/>
    <m/>
    <m/>
    <m/>
    <m/>
    <m/>
    <m/>
    <m/>
  </r>
  <r>
    <s v="TRIFÁSICO"/>
    <s v="10/63920-3"/>
    <n v="67981263396"/>
    <n v="62955505135500"/>
    <s v="energisa_ms"/>
    <s v="Igreja do Evangelho Quadrangular"/>
    <x v="3"/>
    <s v="10/52987-545901"/>
    <s v="SIM"/>
    <n v="158"/>
    <n v="404.61525179856119"/>
    <n v="366.94040245390278"/>
    <s v="Aprovado"/>
    <n v="158.79525179856117"/>
    <n v="119.1"/>
    <d v="2025-07-22T00:00:00"/>
    <d v="2025-08-02T00:00:00"/>
    <n v="119.1"/>
    <m/>
    <s v="62955505135500119,1"/>
    <s v="09/00012472790-8"/>
    <x v="1"/>
    <n v="119.1"/>
    <n v="0"/>
    <s v="04/08/2025"/>
    <m/>
    <m/>
    <m/>
    <m/>
    <m/>
    <m/>
    <m/>
    <m/>
    <m/>
    <m/>
  </r>
  <r>
    <s v="BIFÁSICO"/>
    <s v="10/239312-2"/>
    <n v="67996711972"/>
    <n v="62955505016594"/>
    <s v="energisa_ms"/>
    <s v="Igreja do Evangelho Quadrangular"/>
    <x v="3"/>
    <s v="10/466560-045778"/>
    <s v="SIM"/>
    <n v="158"/>
    <n v="317.38102564102564"/>
    <n v="279.70717897022962"/>
    <s v="Aprovado"/>
    <n v="158.7910256410257"/>
    <n v="119.09"/>
    <d v="2025-07-22T00:00:00"/>
    <d v="2025-08-02T00:00:00"/>
    <n v="119.09"/>
    <m/>
    <s v="62955505016594119,09"/>
    <s v="09/00012472795-7"/>
    <x v="1"/>
    <n v="119.09"/>
    <n v="0"/>
    <s v="02/08/2025"/>
    <m/>
    <m/>
    <m/>
    <m/>
    <m/>
    <m/>
    <m/>
    <m/>
    <m/>
    <m/>
  </r>
  <r>
    <s v="TRIFÁSICO"/>
    <s v="10/78338-1"/>
    <s v="67 984742936"/>
    <n v="62955505016837"/>
    <s v="energisa_ms"/>
    <s v="Igreja do Evangelho Quadrangular"/>
    <x v="3"/>
    <s v="10/226667-445689"/>
    <s v="SIM"/>
    <n v="158"/>
    <n v="322.46172413793107"/>
    <n v="284.78771174577133"/>
    <s v="Aprovado"/>
    <n v="158.79172413793108"/>
    <n v="119.09"/>
    <d v="2025-07-22T00:00:00"/>
    <d v="2025-08-02T00:00:00"/>
    <n v="119.09"/>
    <m/>
    <s v="62955505016837119,09"/>
    <s v="09/00012472797-3"/>
    <x v="1"/>
    <n v="119.09"/>
    <n v="0"/>
    <s v="02/08/2025"/>
    <m/>
    <m/>
    <m/>
    <m/>
    <m/>
    <m/>
    <m/>
    <m/>
    <m/>
    <m/>
  </r>
  <r>
    <s v="TRIFÁSICO"/>
    <s v="10/76927-3"/>
    <s v="67 999373813"/>
    <n v="62955505058599"/>
    <s v="energisa_ms"/>
    <s v="Igreja do Evangelho Quadrangular"/>
    <x v="3"/>
    <s v="10/1698130-045778"/>
    <s v="SIM"/>
    <n v="158"/>
    <n v="363.26655172413791"/>
    <n v="325.65070753063969"/>
    <s v="Aprovado"/>
    <n v="158.54655172413794"/>
    <n v="118.91"/>
    <d v="2025-07-22T00:00:00"/>
    <d v="2025-08-02T00:00:00"/>
    <n v="118.91"/>
    <m/>
    <s v="62955505058599118,91"/>
    <s v="09/00012472769-2"/>
    <x v="1"/>
    <n v="118.91"/>
    <n v="0"/>
    <s v="01/08/2025"/>
    <m/>
    <m/>
    <m/>
    <m/>
    <m/>
    <m/>
    <m/>
    <m/>
    <m/>
    <m/>
  </r>
  <r>
    <s v="TRIFÁSICO"/>
    <s v="10/1674177-9"/>
    <s v="67 993047635"/>
    <n v="62955505016160"/>
    <s v="energisa_ms"/>
    <s v="Igreja do Evangelho Quadrangular"/>
    <x v="3"/>
    <s v="10/1288241-145748"/>
    <s v="SIM"/>
    <n v="158"/>
    <n v="499.89433179723505"/>
    <n v="462.28375937596576"/>
    <s v="Aprovado"/>
    <n v="158.52433179723505"/>
    <n v="118.89"/>
    <d v="2025-07-22T00:00:00"/>
    <d v="2025-08-02T00:00:00"/>
    <n v="118.89"/>
    <m/>
    <s v="62955505016160118,89"/>
    <s v="09/00012472782-5"/>
    <x v="1"/>
    <n v="118.89"/>
    <n v="0"/>
    <s v="02/08/2025"/>
    <m/>
    <m/>
    <m/>
    <m/>
    <m/>
    <m/>
    <m/>
    <m/>
    <m/>
    <m/>
  </r>
  <r>
    <s v="BIFÁSICO"/>
    <s v="10/109074-5"/>
    <s v="67 91751433"/>
    <n v="62955505000167"/>
    <s v="energisa_ms"/>
    <s v="Igreja do Evangelho Quadrangular"/>
    <x v="3"/>
    <s v="10/150263-245809"/>
    <s v="SIM"/>
    <n v="158"/>
    <n v="320.38982300884959"/>
    <n v="282.88945727464102"/>
    <s v="Aprovado"/>
    <n v="158.05982300884955"/>
    <n v="118.54"/>
    <d v="2025-07-22T00:00:00"/>
    <d v="2025-08-02T00:00:00"/>
    <n v="118.54"/>
    <m/>
    <s v="62955505000167118,54"/>
    <s v="09/00012472796-5"/>
    <x v="2"/>
    <n v="0"/>
    <n v="-118.54"/>
    <m/>
    <s v="Cobrança Regular"/>
    <m/>
    <m/>
    <m/>
    <m/>
    <m/>
    <m/>
    <m/>
    <m/>
    <m/>
  </r>
  <r>
    <s v="BIFÁSICO"/>
    <s v="10/40190-1"/>
    <n v="67996859014"/>
    <n v="62955505177504"/>
    <s v="energisa_ms"/>
    <s v="Igreja do Evangelho Quadrangular"/>
    <x v="3"/>
    <s v="10/530195-745748"/>
    <s v="SIM"/>
    <n v="158"/>
    <n v="390.94936507936507"/>
    <n v="353.52977443796465"/>
    <s v="Aprovado"/>
    <n v="157.7193650793651"/>
    <n v="118.29"/>
    <d v="2025-07-22T00:00:00"/>
    <d v="2025-08-02T00:00:00"/>
    <n v="118.29"/>
    <m/>
    <s v="62955505177504118,29"/>
    <s v="09/00012472784-1"/>
    <x v="2"/>
    <n v="0"/>
    <n v="-118.29"/>
    <m/>
    <s v="Cobrança Regular"/>
    <m/>
    <m/>
    <m/>
    <m/>
    <m/>
    <m/>
    <m/>
    <m/>
    <m/>
  </r>
  <r>
    <s v="BIFÁSICO"/>
    <s v="10/257864-9"/>
    <n v="67981311823"/>
    <n v="62955505182176"/>
    <s v="energisa_ms"/>
    <s v="Igreja do Evangelho Quadrangular"/>
    <x v="5"/>
    <s v="10/480529-745870"/>
    <s v="SIM"/>
    <n v="145"/>
    <n v="271.08"/>
    <n v="231.69750000000002"/>
    <s v="Aprovado"/>
    <n v="157.53"/>
    <n v="118.15"/>
    <m/>
    <m/>
    <n v="118.15"/>
    <m/>
    <s v="62955505182176118,15"/>
    <e v="#N/A"/>
    <x v="2"/>
    <n v="0"/>
    <n v="-118.15"/>
    <m/>
    <s v="Cobrança Regular"/>
    <m/>
    <m/>
    <m/>
    <m/>
    <m/>
    <m/>
    <m/>
    <m/>
    <m/>
  </r>
  <r>
    <s v="BIFÁSICO"/>
    <s v="10/41548-9"/>
    <n v="67996687077"/>
    <n v="62955505269026"/>
    <s v="energisa_ms"/>
    <s v="Igreja do Evangelho Quadrangular"/>
    <x v="3"/>
    <s v="10/1266128-645870"/>
    <s v="SIM"/>
    <n v="158"/>
    <n v="266.93333333333334"/>
    <n v="229.591095111317"/>
    <s v="Aprovado"/>
    <n v="157.39333333333335"/>
    <n v="118.05"/>
    <d v="2025-07-22T00:00:00"/>
    <d v="2025-08-02T00:00:00"/>
    <n v="118.05"/>
    <m/>
    <s v="62955505269026118,05"/>
    <s v="09/00012472791-6"/>
    <x v="1"/>
    <n v="157.39333333333335"/>
    <n v="39.343333333333348"/>
    <d v="2025-11-12T00:00:00"/>
    <m/>
    <m/>
    <m/>
    <m/>
    <m/>
    <m/>
    <m/>
    <m/>
    <m/>
    <m/>
  </r>
  <r>
    <s v="MONOFÁSICO"/>
    <s v="10/384823-1"/>
    <n v="67999159477"/>
    <n v="62955505000167"/>
    <s v="energisa_ms"/>
    <s v="Igreja do Evangelho Quadrangular"/>
    <x v="4"/>
    <s v="10/3123706-845870"/>
    <s v="SIM"/>
    <n v="141"/>
    <n v="191.59"/>
    <n v="152.24250000000001"/>
    <s v="Aprovado"/>
    <n v="157.38999999999999"/>
    <n v="118.04"/>
    <m/>
    <m/>
    <n v="118.04"/>
    <m/>
    <s v="62955505000167118,04"/>
    <m/>
    <x v="1"/>
    <n v="118.04"/>
    <n v="0"/>
    <m/>
    <m/>
    <m/>
    <m/>
    <m/>
    <m/>
    <m/>
    <m/>
    <m/>
    <m/>
    <m/>
  </r>
  <r>
    <s v="TRIFÁSICO"/>
    <s v="10/3092868-3"/>
    <s v=" 67 91285460"/>
    <n v="62955505419443"/>
    <s v="energisa_ms"/>
    <s v="Igreja do Evangelho Quadrangular"/>
    <x v="1"/>
    <s v="10/69319-245870"/>
    <s v="SIM"/>
    <n v="130"/>
    <n v="267.49599999999998"/>
    <n v="232.81163759999998"/>
    <s v="Aprovado"/>
    <n v="152.14600000000002"/>
    <n v="117.46"/>
    <d v="2025-09-10T00:00:00"/>
    <d v="2025-09-20T00:00:00"/>
    <n v="117.46"/>
    <m/>
    <s v="62955505419443117,46"/>
    <s v="09/00012683480-1"/>
    <x v="1"/>
    <n v="117.46"/>
    <n v="0"/>
    <m/>
    <m/>
    <m/>
    <m/>
    <m/>
    <m/>
    <m/>
    <m/>
    <m/>
    <m/>
    <m/>
  </r>
  <r>
    <s v="TRIFÁSICO"/>
    <s v="10/1288241-1"/>
    <n v="67991133770"/>
    <n v="62955505335851"/>
    <s v="energisa_ms"/>
    <s v="Igreja do Evangelho Quadrangular"/>
    <x v="9"/>
    <s v="10/113971-645778"/>
    <s v="SIM"/>
    <n v="151"/>
    <n v="334.66572649572646"/>
    <n v="289.10997164282008"/>
    <s v="Aprovado"/>
    <n v="162.88572649572649"/>
    <n v="117.33"/>
    <d v="2025-11-06T00:00:00"/>
    <d v="2025-11-13T00:00:00"/>
    <n v="117.33"/>
    <m/>
    <s v="62955505335851117,33"/>
    <s v="09/00013026914-3"/>
    <x v="1"/>
    <n v="117.33"/>
    <n v="0"/>
    <m/>
    <m/>
    <m/>
    <m/>
    <m/>
    <m/>
    <m/>
    <m/>
    <m/>
    <m/>
    <m/>
  </r>
  <r>
    <s v="TRIFÁSICO"/>
    <s v="10/501586-2"/>
    <s v="67 92480766"/>
    <n v="62955505273058"/>
    <s v="energisa_ms"/>
    <s v="Igreja do Evangelho Quadrangular"/>
    <x v="5"/>
    <s v="10/1184751-445778"/>
    <s v="SIM"/>
    <n v="142"/>
    <n v="267.89999999999998"/>
    <n v="228.84249999999997"/>
    <s v="Aprovado"/>
    <n v="156.22999999999999"/>
    <n v="117.17"/>
    <m/>
    <m/>
    <n v="117.17"/>
    <m/>
    <s v="62955505273058117,17"/>
    <m/>
    <x v="1"/>
    <n v="117.17"/>
    <n v="0"/>
    <m/>
    <m/>
    <m/>
    <m/>
    <m/>
    <m/>
    <m/>
    <m/>
    <m/>
    <m/>
    <m/>
  </r>
  <r>
    <s v="TRIFÁSICO"/>
    <s v="10/260761-2"/>
    <n v="67996150274"/>
    <n v="62955505000167"/>
    <s v="energisa_ms"/>
    <s v="Igreja do Evangelho Quadrangular"/>
    <x v="9"/>
    <s v="10/1674177-945717"/>
    <s v="SIM"/>
    <n v="153"/>
    <n v="616.46570909090906"/>
    <n v="571.02462759079503"/>
    <s v="Aprovado"/>
    <n v="162.47570909090911"/>
    <n v="117.03"/>
    <d v="2025-11-06T00:00:00"/>
    <d v="2025-11-13T00:00:00"/>
    <n v="117.03"/>
    <m/>
    <s v="62955505000167117,03"/>
    <s v="09/00013026866-5"/>
    <x v="1"/>
    <n v="117.03"/>
    <n v="0"/>
    <m/>
    <m/>
    <m/>
    <m/>
    <m/>
    <m/>
    <m/>
    <m/>
    <m/>
    <m/>
    <m/>
  </r>
  <r>
    <s v="TRIFÁSICO"/>
    <s v="10/3123706-8"/>
    <n v="67999516782"/>
    <n v="62955505375721"/>
    <s v="energisa_ms"/>
    <s v="Igreja do Evangelho Quadrangular"/>
    <x v="8"/>
    <s v="10/29964-445839"/>
    <s v="SIM"/>
    <n v="158"/>
    <n v="465.41781725888325"/>
    <n v="426.54086294416243"/>
    <s v="Aprovado"/>
    <n v="155.50781725888328"/>
    <n v="116.63"/>
    <m/>
    <m/>
    <n v="116.63"/>
    <m/>
    <s v="62955505375721116,63"/>
    <m/>
    <x v="1"/>
    <n v="116.63"/>
    <n v="0"/>
    <d v="2025-08-28T00:00:00"/>
    <m/>
    <m/>
    <m/>
    <m/>
    <m/>
    <m/>
    <m/>
    <m/>
    <m/>
    <m/>
  </r>
  <r>
    <s v="BIFÁSICO"/>
    <s v="10/3040565-8"/>
    <n v="67996135721"/>
    <n v="62955505015431"/>
    <s v="energisa_ms"/>
    <s v="Igreja do Evangelho Quadrangular"/>
    <x v="8"/>
    <s v="10/24514-245658"/>
    <s v="SIM"/>
    <n v="158"/>
    <n v="414.06215686274504"/>
    <n v="375.22911764705879"/>
    <s v="Aprovado"/>
    <n v="155.33215686274511"/>
    <n v="116.5"/>
    <m/>
    <m/>
    <n v="116.5"/>
    <m/>
    <s v="62955505015431116,5"/>
    <m/>
    <x v="1"/>
    <n v="155.33000000000001"/>
    <n v="0"/>
    <d v="2025-11-07T00:00:00"/>
    <m/>
    <m/>
    <m/>
    <m/>
    <m/>
    <m/>
    <m/>
    <m/>
    <m/>
    <m/>
  </r>
  <r>
    <s v="BIFÁSICO"/>
    <s v="10/129490-9"/>
    <s v=","/>
    <n v="62955505405140"/>
    <s v="energisa_ms"/>
    <s v="Igreja do Evangelho Quadrangular"/>
    <x v="8"/>
    <s v="10/280638-845658"/>
    <s v="SIM"/>
    <n v="158"/>
    <n v="316.41021276595745"/>
    <n v="277.60765957446807"/>
    <s v="Aprovado"/>
    <n v="155.21021276595749"/>
    <n v="116.41"/>
    <m/>
    <m/>
    <n v="116.41"/>
    <m/>
    <s v="62955505405140116,41"/>
    <m/>
    <x v="1"/>
    <n v="116.41"/>
    <n v="0"/>
    <m/>
    <m/>
    <m/>
    <m/>
    <m/>
    <m/>
    <m/>
    <m/>
    <m/>
    <m/>
    <m/>
  </r>
  <r>
    <s v="TRIFÁSICO"/>
    <s v="10/280638-8"/>
    <s v="67 81355403"/>
    <n v="62955505843253"/>
    <s v="energisa_ms"/>
    <s v="Igreja do Evangelho Quadrangular"/>
    <x v="8"/>
    <s v="10/3092868-345870"/>
    <s v="SIM"/>
    <n v="158"/>
    <n v="411.62679999999995"/>
    <n v="372.94509999999991"/>
    <s v="Aprovado"/>
    <n v="154.72680000000003"/>
    <n v="116.05"/>
    <m/>
    <m/>
    <n v="116.05"/>
    <m/>
    <s v="62955505843253116,05"/>
    <m/>
    <x v="1"/>
    <n v="116.05"/>
    <n v="0"/>
    <m/>
    <m/>
    <m/>
    <m/>
    <m/>
    <m/>
    <m/>
    <m/>
    <m/>
    <m/>
    <m/>
  </r>
  <r>
    <s v="TRIFÁSICO"/>
    <s v="10/3092868-3"/>
    <n v="0"/>
    <n v="62955505419443"/>
    <s v="energisa_ms"/>
    <s v="Igreja do Evangelho Quadrangular"/>
    <x v="2"/>
    <s v="10/987178-145717"/>
    <s v="SIM"/>
    <n v="127"/>
    <n v="267.9289"/>
    <n v="234.05984932365962"/>
    <s v="Aprovado"/>
    <n v="149.88889999999998"/>
    <n v="116.02"/>
    <d v="2025-09-10T00:00:00"/>
    <d v="2025-09-20T00:00:00"/>
    <n v="116.02"/>
    <m/>
    <s v="62955505419443116,02"/>
    <s v="09/00012749646-9"/>
    <x v="1"/>
    <n v="116.02"/>
    <n v="0"/>
    <m/>
    <m/>
    <m/>
    <m/>
    <m/>
    <m/>
    <m/>
    <m/>
    <m/>
    <m/>
    <m/>
  </r>
  <r>
    <s v="TRIFÁSICO"/>
    <s v="10/435964-2"/>
    <n v="0"/>
    <n v="62955505357405"/>
    <s v="energisa_ms"/>
    <s v="Igreja do Evangelho Quadrangular"/>
    <x v="2"/>
    <s v="10/1266128-645809"/>
    <s v="SIM"/>
    <n v="147"/>
    <n v="261.81763157894733"/>
    <n v="228.0302134882113"/>
    <s v="Aprovado"/>
    <n v="149.52763157894734"/>
    <n v="115.74"/>
    <d v="2025-09-10T00:00:00"/>
    <d v="2025-09-20T00:00:00"/>
    <n v="115.74"/>
    <m/>
    <s v="62955505357405115,74"/>
    <s v="09/00012749685-7"/>
    <x v="1"/>
    <n v="115.74"/>
    <n v="0"/>
    <m/>
    <m/>
    <m/>
    <m/>
    <m/>
    <m/>
    <m/>
    <m/>
    <m/>
    <m/>
    <m/>
  </r>
  <r>
    <s v="TRIFÁSICO"/>
    <s v="10/113971-6"/>
    <n v="67996575782"/>
    <n v="62955505015601"/>
    <s v="energisa_ms"/>
    <s v="Igreja do Evangelho Quadrangular"/>
    <x v="6"/>
    <s v="10/61344-845870"/>
    <s v="SIM"/>
    <n v="138"/>
    <n v="394.65000000000003"/>
    <n v="356.14000000000004"/>
    <s v="Aprovado"/>
    <n v="154.04"/>
    <n v="115.53"/>
    <m/>
    <m/>
    <n v="115.53"/>
    <m/>
    <s v="62955505015601115,53"/>
    <m/>
    <x v="1"/>
    <n v="115.53"/>
    <n v="0"/>
    <m/>
    <m/>
    <m/>
    <m/>
    <m/>
    <m/>
    <m/>
    <m/>
    <m/>
    <m/>
    <m/>
  </r>
  <r>
    <s v="TRIFÁSICO"/>
    <s v="10/252817-2"/>
    <n v="0"/>
    <n v="62955505274020"/>
    <s v="energisa_ms"/>
    <s v="Igreja do Evangelho Quadrangular"/>
    <x v="0"/>
    <s v="10/3040565-845689"/>
    <s v="SIM"/>
    <n v="149"/>
    <n v="317.80157894736845"/>
    <n v="275.73359098511708"/>
    <s v="Aprovado"/>
    <n v="156.63157894736841"/>
    <n v="114.56"/>
    <d v="2025-10-03T00:00:00"/>
    <d v="2025-10-13T00:00:00"/>
    <n v="114.56"/>
    <m/>
    <s v="62955505274020114,56"/>
    <s v="09/00012851534-1"/>
    <x v="1"/>
    <n v="114.56"/>
    <n v="0"/>
    <m/>
    <m/>
    <m/>
    <m/>
    <m/>
    <m/>
    <m/>
    <m/>
    <m/>
    <m/>
    <m/>
  </r>
  <r>
    <s v="TRIFÁSICO"/>
    <s v="10/1184751-4"/>
    <s v="67 96034976"/>
    <n v="62955505149047"/>
    <s v="energisa_ms"/>
    <s v="Igreja do Evangelho Quadrangular"/>
    <x v="1"/>
    <s v="10/162736-345901"/>
    <s v="SIM"/>
    <n v="124"/>
    <n v="399.12499999999994"/>
    <n v="366.04207899999994"/>
    <s v="Aprovado"/>
    <n v="147.51500000000001"/>
    <n v="114.43"/>
    <d v="2025-09-10T00:00:00"/>
    <d v="2025-09-20T00:00:00"/>
    <n v="114.43"/>
    <m/>
    <s v="62955505149047114,43"/>
    <s v="09/00012683489-2"/>
    <x v="1"/>
    <n v="114.43"/>
    <n v="0"/>
    <m/>
    <m/>
    <m/>
    <m/>
    <m/>
    <m/>
    <m/>
    <m/>
    <m/>
    <m/>
    <m/>
  </r>
  <r>
    <s v="BIFÁSICO"/>
    <s v="10/109074-5"/>
    <s v="67 91751433"/>
    <n v="62955505000167"/>
    <s v="energisa_ms"/>
    <s v="Igreja do Evangelho Quadrangular"/>
    <x v="7"/>
    <s v="10/2605731-545778"/>
    <s v="SIM"/>
    <n v="136"/>
    <n v="261.89999999999998"/>
    <n v="223.94749999999996"/>
    <s v="Aprovado"/>
    <n v="151.81"/>
    <n v="113.86"/>
    <m/>
    <m/>
    <n v="113.86"/>
    <m/>
    <s v="62955505000167113,86"/>
    <m/>
    <x v="1"/>
    <n v="113.86"/>
    <n v="0"/>
    <m/>
    <m/>
    <m/>
    <m/>
    <m/>
    <m/>
    <m/>
    <m/>
    <m/>
    <m/>
    <m/>
  </r>
  <r>
    <s v="BIFÁSICO"/>
    <s v="10/41548-9"/>
    <n v="67996687077"/>
    <n v="62955505269026"/>
    <s v="energisa_ms"/>
    <s v="Igreja do Evangelho Quadrangular"/>
    <x v="7"/>
    <s v="10/489076-045931"/>
    <s v="SIM"/>
    <n v="136"/>
    <n v="429.28"/>
    <n v="391.32749999999999"/>
    <s v="Aprovado"/>
    <n v="151.81"/>
    <n v="113.86"/>
    <m/>
    <m/>
    <n v="113.86"/>
    <m/>
    <s v="62955505269026113,86"/>
    <m/>
    <x v="1"/>
    <n v="113.86"/>
    <n v="0"/>
    <m/>
    <m/>
    <m/>
    <m/>
    <m/>
    <m/>
    <m/>
    <m/>
    <m/>
    <m/>
    <m/>
  </r>
  <r>
    <s v="TRIFÁSICO"/>
    <s v="10/395471-6"/>
    <n v="67992876000"/>
    <n v="62955505248886"/>
    <s v="energisa_ms"/>
    <s v="Igreja do Evangelho Quadrangular"/>
    <x v="1"/>
    <s v="10/1266128-645839"/>
    <s v="SIM"/>
    <n v="144"/>
    <n v="261.27947368421059"/>
    <n v="228.04182842105266"/>
    <s v="Aprovado"/>
    <n v="146.93947368421055"/>
    <n v="113.7"/>
    <d v="2025-09-10T00:00:00"/>
    <d v="2025-09-20T00:00:00"/>
    <n v="113.7"/>
    <m/>
    <s v="62955505248886113,7"/>
    <s v="09/00012683525-3"/>
    <x v="1"/>
    <n v="113.7"/>
    <n v="0"/>
    <m/>
    <m/>
    <m/>
    <m/>
    <m/>
    <m/>
    <m/>
    <m/>
    <m/>
    <m/>
    <m/>
  </r>
  <r>
    <s v="BIFÁSICO"/>
    <s v="10/226667-4"/>
    <n v="67992637973"/>
    <n v="62955505040894"/>
    <s v="energisa_ms"/>
    <s v="Igreja do Evangelho Quadrangular"/>
    <x v="7"/>
    <s v="10/61344-845717"/>
    <s v="SIM"/>
    <n v="135"/>
    <n v="249.4"/>
    <n v="211.72750000000002"/>
    <s v="Aprovado"/>
    <n v="150.69"/>
    <n v="113.02"/>
    <m/>
    <m/>
    <n v="113.02"/>
    <m/>
    <s v="62955505040894113,02"/>
    <m/>
    <x v="1"/>
    <n v="113.02"/>
    <n v="0"/>
    <m/>
    <m/>
    <n v="283032"/>
    <n v="502"/>
    <s v="Igreja do Evangelho Quadrangular"/>
    <s v="'62955505367117'"/>
    <n v="48.78"/>
    <m/>
    <s v="A Unidade Consumidora 10/530195-7 economizou R$16,26 na fatura referente à jun/2025  consumindo 65 kWh em créditos de energia renovável conforme fatura de energia. A economia foi de 25% em relação ao que seria pago para a Energisa considerando os créditos consumidos. Atenção: Mantenha as contas da Energisa em dia para evitar cortes."/>
    <s v="igrejaquadrangularmaracaju1@hotmail.com"/>
    <m/>
  </r>
  <r>
    <s v="TRIFÁSICO"/>
    <s v="10/513413-5"/>
    <s v="Solicitação de distrato"/>
    <n v="62955505321630"/>
    <s v="energisa_ms"/>
    <s v="Igreja do Evangelho Quadrangular"/>
    <x v="2"/>
    <s v="10/31292-645689"/>
    <s v="SIM"/>
    <n v="124"/>
    <n v="303.54720000000003"/>
    <n v="270.97780939705473"/>
    <s v="Aprovado"/>
    <n v="144.13720000000001"/>
    <n v="111.57"/>
    <d v="2025-09-10T00:00:00"/>
    <d v="2025-09-20T00:00:00"/>
    <n v="111.57"/>
    <m/>
    <s v="62955505321630111,57"/>
    <s v="09/00012749644-4"/>
    <x v="1"/>
    <n v="111.57"/>
    <n v="0"/>
    <m/>
    <m/>
    <m/>
    <m/>
    <m/>
    <m/>
    <m/>
    <m/>
    <m/>
    <m/>
    <m/>
  </r>
  <r>
    <s v="TRIFÁSICO"/>
    <s v="10/513413-5"/>
    <s v="Solicitação de distrato"/>
    <n v="62955505321630"/>
    <s v="energisa_ms"/>
    <s v="Igreja do Evangelho Quadrangular"/>
    <x v="0"/>
    <s v="10/452884-045627"/>
    <s v="SIM"/>
    <n v="126"/>
    <n v="316.18440000000004"/>
    <n v="275.30546032492202"/>
    <s v="Aprovado"/>
    <n v="152.20439999999999"/>
    <n v="111.33"/>
    <d v="2025-10-03T00:00:00"/>
    <d v="2025-10-13T00:00:00"/>
    <n v="111.33"/>
    <m/>
    <s v="62955505321630111,33"/>
    <s v="09/00012851406-2"/>
    <x v="1"/>
    <n v="111.33"/>
    <n v="0"/>
    <m/>
    <m/>
    <m/>
    <m/>
    <m/>
    <m/>
    <m/>
    <m/>
    <m/>
    <m/>
    <m/>
  </r>
  <r>
    <s v="TRIFÁSICO"/>
    <s v="10/276283-9"/>
    <s v="46 999066691"/>
    <n v="62955505088404"/>
    <s v="energisa_ms"/>
    <s v="Igreja do Evangelho Quadrangular"/>
    <x v="3"/>
    <s v="10/191945-545717"/>
    <s v="SIM"/>
    <n v="126"/>
    <n v="309.40160000000003"/>
    <n v="274.18557115374409"/>
    <s v="Aprovado"/>
    <n v="148.43160000000003"/>
    <n v="111.32"/>
    <d v="2025-07-22T00:00:00"/>
    <d v="2025-08-02T00:00:00"/>
    <n v="111.32"/>
    <m/>
    <s v="62955505088404111,32"/>
    <s v="09/00012472745-2"/>
    <x v="1"/>
    <n v="148.43"/>
    <n v="37.110000000000014"/>
    <d v="2025-10-07T00:00:00"/>
    <m/>
    <m/>
    <m/>
    <m/>
    <m/>
    <m/>
    <m/>
    <m/>
    <m/>
    <m/>
  </r>
  <r>
    <s v="TRIFÁSICO"/>
    <s v="10/435964-2"/>
    <n v="67992021114"/>
    <n v="62955505357405"/>
    <s v="energisa_ms"/>
    <s v="Igreja do Evangelho Quadrangular"/>
    <x v="1"/>
    <s v="10/13786-945809"/>
    <s v="SIM"/>
    <n v="142"/>
    <n v="253.56684210526316"/>
    <n v="220.7863065263158"/>
    <s v="Aprovado"/>
    <n v="143.89684210526315"/>
    <n v="111.12"/>
    <d v="2025-09-10T00:00:00"/>
    <d v="2025-09-20T00:00:00"/>
    <n v="111.12"/>
    <m/>
    <s v="62955505357405111,12"/>
    <s v="09/00012683512-1"/>
    <x v="1"/>
    <n v="143.9"/>
    <n v="0"/>
    <d v="2025-11-06T00:00:00"/>
    <m/>
    <m/>
    <m/>
    <m/>
    <m/>
    <m/>
    <m/>
    <m/>
    <m/>
    <m/>
  </r>
  <r>
    <s v="MONOFÁSICO"/>
    <s v="10/384823-1"/>
    <n v="67999159477"/>
    <n v="62955505000167"/>
    <s v="energisa_ms"/>
    <s v="Igreja do Evangelho Quadrangular"/>
    <x v="3"/>
    <s v="10/513413-545839"/>
    <s v="SIM"/>
    <n v="135"/>
    <n v="180.72499999999999"/>
    <n v="145.79998722433024"/>
    <s v="Aprovado"/>
    <n v="147.20499999999998"/>
    <n v="110.4"/>
    <d v="2025-07-22T00:00:00"/>
    <d v="2025-08-02T00:00:00"/>
    <n v="110.4"/>
    <m/>
    <s v="62955505000167110,4"/>
    <s v="09/00012472763-5"/>
    <x v="1"/>
    <n v="110.4"/>
    <n v="0"/>
    <s v="04/08/2025"/>
    <m/>
    <m/>
    <m/>
    <m/>
    <m/>
    <m/>
    <m/>
    <m/>
    <m/>
    <m/>
  </r>
  <r>
    <s v="TRIFÁSICO"/>
    <s v="10/532081-7"/>
    <s v="67 992321318"/>
    <n v="62955505193534"/>
    <s v="energisa_ms"/>
    <s v="Igreja do Evangelho Quadrangular"/>
    <x v="9"/>
    <s v="10/3040565-845809"/>
    <s v="SIM"/>
    <n v="153"/>
    <n v="372.65989999999999"/>
    <n v="320.18091691827402"/>
    <s v="Aprovado"/>
    <n v="187.63990000000001"/>
    <n v="134.26"/>
    <d v="2025-11-06T00:00:00"/>
    <d v="2025-11-13T00:00:00"/>
    <n v="134.26"/>
    <m/>
    <s v="62955505193534134,26"/>
    <s v="09/00013026962-2"/>
    <x v="2"/>
    <m/>
    <n v="0"/>
    <m/>
    <s v="Cobrança Regular"/>
    <m/>
    <m/>
    <m/>
    <m/>
    <m/>
    <m/>
    <m/>
    <m/>
    <m/>
  </r>
  <r>
    <s v="TRIFÁSICO"/>
    <s v="10/532081-7"/>
    <s v="67 992321318"/>
    <n v="62955505193534"/>
    <s v="energisa_ms"/>
    <s v="Igreja do Evangelho Quadrangular"/>
    <x v="3"/>
    <s v="10/466560-045748"/>
    <s v="SIM"/>
    <n v="125"/>
    <n v="308.94250000000005"/>
    <n v="274.53766718092584"/>
    <s v="Aprovado"/>
    <n v="145.01250000000002"/>
    <n v="108.76"/>
    <d v="2025-07-22T00:00:00"/>
    <d v="2025-08-02T00:00:00"/>
    <n v="108.76"/>
    <m/>
    <s v="62955505193534108,76"/>
    <s v="09/00012472748-6"/>
    <x v="1"/>
    <n v="108.76"/>
    <n v="0"/>
    <s v="31/07/2025"/>
    <m/>
    <m/>
    <m/>
    <m/>
    <m/>
    <m/>
    <m/>
    <m/>
    <m/>
    <m/>
  </r>
  <r>
    <s v="TRIFÁSICO"/>
    <s v="10/1433087-2"/>
    <s v=" 67 91285460"/>
    <n v="62955505419443"/>
    <s v="energisa_ms"/>
    <s v="Igreja do Evangelho Quadrangular"/>
    <x v="5"/>
    <s v="10/511753-645658"/>
    <s v="SIM"/>
    <n v="129"/>
    <n v="354.24"/>
    <n v="318.15250000000003"/>
    <s v="Aprovado"/>
    <n v="144.35"/>
    <n v="108.26"/>
    <m/>
    <m/>
    <n v="108.26"/>
    <m/>
    <s v="62955505419443108,26"/>
    <m/>
    <x v="1"/>
    <n v="108.26"/>
    <n v="0"/>
    <m/>
    <m/>
    <m/>
    <m/>
    <m/>
    <m/>
    <m/>
    <m/>
    <m/>
    <m/>
    <m/>
  </r>
  <r>
    <s v="BIFÁSICO"/>
    <s v="10/466560-0"/>
    <n v="67998302932"/>
    <n v="62955505015512"/>
    <s v="energisa_ms"/>
    <s v="Igreja do Evangelho Quadrangular"/>
    <x v="7"/>
    <s v="10/18015-845717"/>
    <s v="SIM"/>
    <n v="129"/>
    <n v="251.48999999999998"/>
    <n v="215.49250000000001"/>
    <s v="Aprovado"/>
    <n v="143.99"/>
    <n v="107.99"/>
    <m/>
    <m/>
    <n v="107.99"/>
    <m/>
    <s v="62955505015512107,99"/>
    <m/>
    <x v="1"/>
    <n v="107.99"/>
    <n v="0"/>
    <m/>
    <m/>
    <m/>
    <m/>
    <m/>
    <m/>
    <m/>
    <m/>
    <m/>
    <m/>
    <m/>
  </r>
  <r>
    <s v="BIFÁSICO"/>
    <s v="10/466560-0"/>
    <n v="67998302932"/>
    <n v="62955505015512"/>
    <s v="energisa_ms"/>
    <s v="Igreja do Evangelho Quadrangular"/>
    <x v="9"/>
    <s v="10/2344751-945748"/>
    <s v="SIM"/>
    <n v="171"/>
    <n v="329.94940000000003"/>
    <n v="278.65080311596671"/>
    <s v="Aprovado"/>
    <n v="183.41939999999997"/>
    <n v="132.12"/>
    <d v="2025-11-06T00:00:00"/>
    <d v="2025-11-13T00:00:00"/>
    <n v="132.12"/>
    <m/>
    <s v="62955505015512132,12"/>
    <s v="09/00013026910-1"/>
    <x v="1"/>
    <n v="183.42"/>
    <n v="0"/>
    <d v="2025-12-08T00:00:00"/>
    <s v="Cobrança Regular"/>
    <m/>
    <m/>
    <m/>
    <m/>
    <m/>
    <m/>
    <m/>
    <m/>
    <m/>
  </r>
  <r>
    <s v="BIFÁSICO"/>
    <s v="10/218777-1"/>
    <n v="67999031330"/>
    <n v="62955505017051"/>
    <s v="energisa_ms"/>
    <s v="Igreja do Evangelho Quadrangular"/>
    <x v="6"/>
    <s v="10/191945-545809"/>
    <s v="SIM"/>
    <n v="129"/>
    <n v="221.25999999999996"/>
    <n v="185.43973790322579"/>
    <s v="Aprovado"/>
    <n v="143.28104838709677"/>
    <n v="107.46"/>
    <m/>
    <m/>
    <n v="107.46"/>
    <m/>
    <s v="62955505017051107,46"/>
    <m/>
    <x v="1"/>
    <n v="107.46"/>
    <n v="0"/>
    <m/>
    <m/>
    <m/>
    <m/>
    <m/>
    <m/>
    <m/>
    <m/>
    <m/>
    <m/>
    <m/>
  </r>
  <r>
    <s v="TRIFÁSICO"/>
    <s v="10/29964-4"/>
    <n v="67996266684"/>
    <n v="62955505067660"/>
    <s v="energisa_ms"/>
    <s v="Igreja do Evangelho Quadrangular"/>
    <x v="1"/>
    <s v="10/1698130-045870"/>
    <s v="SIM"/>
    <n v="115"/>
    <n v="252.67449999999999"/>
    <n v="221.99121769999999"/>
    <s v="Aprovado"/>
    <n v="138.02450000000002"/>
    <n v="107.34"/>
    <d v="2025-09-10T00:00:00"/>
    <d v="2025-09-20T00:00:00"/>
    <n v="107.34"/>
    <m/>
    <s v="62955505067660107,34"/>
    <s v="09/00012683477-7"/>
    <x v="1"/>
    <n v="107.34"/>
    <n v="0"/>
    <m/>
    <m/>
    <m/>
    <m/>
    <m/>
    <m/>
    <m/>
    <m/>
    <m/>
    <m/>
    <m/>
  </r>
  <r>
    <s v="TRIFÁSICO"/>
    <s v="10/280638-8"/>
    <s v="67 81355403"/>
    <n v="62955505843253"/>
    <s v="energisa_ms"/>
    <s v="Igreja do Evangelho Quadrangular"/>
    <x v="7"/>
    <s v="10/2605731-545809"/>
    <s v="SIM"/>
    <n v="143"/>
    <n v="468.79999999999995"/>
    <n v="433.27749999999992"/>
    <s v="Aprovado"/>
    <n v="142.09000000000003"/>
    <n v="106.57"/>
    <m/>
    <m/>
    <n v="106.57"/>
    <m/>
    <s v="62955505843253106,57"/>
    <m/>
    <x v="1"/>
    <n v="106.57"/>
    <n v="0"/>
    <m/>
    <m/>
    <m/>
    <m/>
    <m/>
    <m/>
    <m/>
    <m/>
    <m/>
    <m/>
    <m/>
  </r>
  <r>
    <s v="MONOFÁSICO"/>
    <s v="10/150263-2"/>
    <n v="67992337953"/>
    <n v="62955505091456"/>
    <s v="energisa_ms"/>
    <s v="Igreja do Evangelho Quadrangular"/>
    <x v="5"/>
    <s v="10/931327-145870"/>
    <s v="SIM"/>
    <n v="126"/>
    <n v="228.12"/>
    <n v="192.79250000000002"/>
    <s v="Aprovado"/>
    <n v="141.31"/>
    <n v="105.98"/>
    <m/>
    <m/>
    <n v="105.98"/>
    <m/>
    <s v="62955505091456105,98"/>
    <m/>
    <x v="3"/>
    <n v="0"/>
    <n v="-105.98"/>
    <m/>
    <m/>
    <m/>
    <m/>
    <m/>
    <m/>
    <m/>
    <m/>
    <m/>
    <m/>
    <m/>
  </r>
  <r>
    <s v="TRIFÁSICO"/>
    <s v="10/113971-6"/>
    <n v="67996575782"/>
    <n v="62955505015601"/>
    <s v="energisa_ms"/>
    <s v="Igreja do Evangelho Quadrangular"/>
    <x v="4"/>
    <s v="10/142353-245839"/>
    <s v="SIM"/>
    <n v="126"/>
    <n v="472.24"/>
    <n v="437.08000000000004"/>
    <s v="Aprovado"/>
    <n v="140.63999999999999"/>
    <n v="105.48"/>
    <m/>
    <m/>
    <n v="105.48"/>
    <m/>
    <s v="62955505015601105,48"/>
    <m/>
    <x v="1"/>
    <n v="105.48"/>
    <n v="0"/>
    <m/>
    <m/>
    <m/>
    <m/>
    <m/>
    <m/>
    <m/>
    <m/>
    <m/>
    <m/>
    <m/>
  </r>
  <r>
    <s v="TRIFÁSICO"/>
    <s v="10/81222-2"/>
    <s v="67 992491551"/>
    <n v="62955505015946"/>
    <s v="energisa_ms"/>
    <s v="Igreja do Evangelho Quadrangular"/>
    <x v="1"/>
    <s v="10/1117293-945689"/>
    <s v="SIM"/>
    <n v="132"/>
    <n v="271.99923076923073"/>
    <n v="241.53049923076924"/>
    <s v="Aprovado"/>
    <n v="135.92923076923077"/>
    <n v="105.46"/>
    <d v="2025-09-10T00:00:00"/>
    <d v="2025-09-20T00:00:00"/>
    <n v="105.46"/>
    <m/>
    <s v="62955505015946105,46"/>
    <s v="09/00012683498-3"/>
    <x v="1"/>
    <n v="105.46"/>
    <n v="0"/>
    <m/>
    <m/>
    <m/>
    <m/>
    <m/>
    <m/>
    <m/>
    <m/>
    <m/>
    <m/>
    <m/>
  </r>
  <r>
    <s v="MONOFÁSICO"/>
    <s v="10/1548741-6"/>
    <s v="67 81355403"/>
    <n v="62955505084751"/>
    <s v="energisa_ms"/>
    <s v="Igreja do Evangelho Quadrangular"/>
    <x v="8"/>
    <s v="10/501586-245778"/>
    <s v="SIM"/>
    <n v="127"/>
    <n v="236.03576923076923"/>
    <n v="200.91182692307694"/>
    <s v="Aprovado"/>
    <n v="140.49576923076924"/>
    <n v="105.37"/>
    <m/>
    <m/>
    <n v="105.37"/>
    <m/>
    <s v="62955505084751105,37"/>
    <m/>
    <x v="1"/>
    <n v="105.37"/>
    <n v="0"/>
    <m/>
    <m/>
    <m/>
    <m/>
    <m/>
    <m/>
    <m/>
    <m/>
    <m/>
    <m/>
    <m/>
  </r>
  <r>
    <s v="TRIFÁSICO"/>
    <s v="10/2794432-1"/>
    <n v="67991162146"/>
    <n v="62955505015199"/>
    <s v="energisa_ms"/>
    <s v="Igreja do Evangelho Quadrangular"/>
    <x v="6"/>
    <s v="10/1081489-545870"/>
    <s v="SIM"/>
    <n v="144"/>
    <n v="542.72"/>
    <n v="507.65250000000003"/>
    <s v="Aprovado"/>
    <n v="140.26999999999998"/>
    <n v="105.2"/>
    <m/>
    <m/>
    <n v="105.2"/>
    <m/>
    <s v="62955505015199105,2"/>
    <m/>
    <x v="1"/>
    <n v="105.2"/>
    <n v="0"/>
    <m/>
    <m/>
    <m/>
    <m/>
    <m/>
    <m/>
    <m/>
    <m/>
    <m/>
    <m/>
    <m/>
  </r>
  <r>
    <s v="TRIFÁSICO"/>
    <s v="10/113971-6"/>
    <s v="Solicitação de distrato"/>
    <n v="62955505015601"/>
    <s v="energisa_ms"/>
    <s v="Igreja do Evangelho Quadrangular"/>
    <x v="0"/>
    <s v="10/150263-245627"/>
    <s v="SIM"/>
    <n v="117"/>
    <n v="290.17149999999998"/>
    <n v="252.21010957971623"/>
    <s v="Aprovado"/>
    <n v="141.34149999999997"/>
    <n v="103.38"/>
    <d v="2025-10-03T00:00:00"/>
    <d v="2025-10-13T00:00:00"/>
    <n v="103.38"/>
    <m/>
    <s v="62955505015601103,38"/>
    <s v="09/00012851417-9"/>
    <x v="1"/>
    <n v="103.38"/>
    <n v="0"/>
    <m/>
    <m/>
    <m/>
    <m/>
    <m/>
    <m/>
    <m/>
    <m/>
    <m/>
    <m/>
    <m/>
  </r>
  <r>
    <s v="MONOFÁSICO"/>
    <s v="10/384823-1"/>
    <n v="67999159477"/>
    <n v="62955505000167"/>
    <s v="energisa_ms"/>
    <s v="Igreja do Evangelho Quadrangular"/>
    <x v="8"/>
    <s v="10/480529-745809"/>
    <s v="SIM"/>
    <n v="130"/>
    <n v="169.36500000000004"/>
    <n v="134.98375000000004"/>
    <s v="Aprovado"/>
    <n v="137.52500000000001"/>
    <n v="103.14"/>
    <m/>
    <m/>
    <n v="103.14"/>
    <m/>
    <s v="62955505000167103,14"/>
    <m/>
    <x v="1"/>
    <n v="137.53"/>
    <n v="34.39"/>
    <d v="2025-09-17T00:00:00"/>
    <m/>
    <m/>
    <m/>
    <m/>
    <m/>
    <m/>
    <m/>
    <m/>
    <m/>
    <m/>
  </r>
  <r>
    <s v="TRIFÁSICO"/>
    <s v="10/113971-6"/>
    <n v="67996575782"/>
    <n v="62955505015601"/>
    <s v="energisa_ms"/>
    <s v="Igreja do Evangelho Quadrangular"/>
    <x v="7"/>
    <s v="10/202838-945931"/>
    <s v="SIM"/>
    <n v="123"/>
    <n v="310.16000000000003"/>
    <n v="275.83500000000004"/>
    <s v="Aprovado"/>
    <n v="137.30000000000001"/>
    <n v="102.98"/>
    <m/>
    <m/>
    <n v="102.98"/>
    <m/>
    <s v="62955505015601102,98"/>
    <m/>
    <x v="1"/>
    <n v="102.98"/>
    <n v="0"/>
    <m/>
    <m/>
    <n v="283032"/>
    <n v="502"/>
    <s v="Igreja do Evangelho Quadrangular"/>
    <s v="'62955505136492'"/>
    <n v="75.459999999999994"/>
    <m/>
    <s v="A Unidade Consumidora 10/72605-9 economizou R$25,15 na fatura referente à jun/2025  consumindo 100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MONOFÁSICO"/>
    <s v="10/1548741-6"/>
    <s v="67 81355403"/>
    <n v="62955505084751"/>
    <s v="energisa_ms"/>
    <s v="Igreja do Evangelho Quadrangular"/>
    <x v="4"/>
    <s v="10/931327-145748"/>
    <s v="SIM"/>
    <n v="123"/>
    <n v="233.75"/>
    <n v="199.42750000000001"/>
    <s v="Aprovado"/>
    <n v="137.29"/>
    <n v="102.97"/>
    <m/>
    <m/>
    <n v="102.97"/>
    <m/>
    <s v="62955505084751102,97"/>
    <m/>
    <x v="1"/>
    <n v="102.97"/>
    <n v="0"/>
    <m/>
    <m/>
    <m/>
    <m/>
    <m/>
    <m/>
    <m/>
    <m/>
    <m/>
    <m/>
    <m/>
  </r>
  <r>
    <s v="BIFÁSICO"/>
    <s v="10/218777-1"/>
    <n v="67999031330"/>
    <n v="62955505017051"/>
    <s v="energisa_ms"/>
    <s v="Igreja do Evangelho Quadrangular"/>
    <x v="5"/>
    <s v="10/1698130-045931"/>
    <s v="SIM"/>
    <n v="132"/>
    <n v="212.32999999999998"/>
    <n v="178.01749999999998"/>
    <s v="Aprovado"/>
    <n v="137.25"/>
    <n v="102.94"/>
    <m/>
    <m/>
    <n v="102.94"/>
    <m/>
    <s v="62955505017051102,94"/>
    <m/>
    <x v="1"/>
    <n v="102.94"/>
    <n v="0"/>
    <m/>
    <m/>
    <m/>
    <m/>
    <m/>
    <m/>
    <m/>
    <m/>
    <m/>
    <m/>
    <m/>
  </r>
  <r>
    <s v="TRIFÁSICO"/>
    <s v="10/1674177-9"/>
    <s v="67 993047635"/>
    <n v="62955505016160"/>
    <s v="energisa_ms"/>
    <s v="Igreja do Evangelho Quadrangular"/>
    <x v="7"/>
    <s v="10/925970-645748"/>
    <s v="SIM"/>
    <n v="136"/>
    <n v="622.14"/>
    <n v="587.85249999999996"/>
    <s v="Aprovado"/>
    <n v="137.14999999999998"/>
    <n v="102.86"/>
    <m/>
    <m/>
    <n v="102.86"/>
    <m/>
    <s v="62955505016160102,86"/>
    <m/>
    <x v="1"/>
    <n v="102.86"/>
    <n v="0"/>
    <m/>
    <m/>
    <m/>
    <m/>
    <m/>
    <m/>
    <m/>
    <m/>
    <m/>
    <m/>
    <m/>
  </r>
  <r>
    <s v="BIFÁSICO"/>
    <s v="10/239312-2"/>
    <n v="67996711972"/>
    <n v="62955505016594"/>
    <s v="energisa_ms"/>
    <s v="Igreja do Evangelho Quadrangular"/>
    <x v="7"/>
    <s v="10/3030784-745658"/>
    <s v="SIM"/>
    <n v="136"/>
    <n v="375.19"/>
    <n v="340.96"/>
    <s v="Aprovado"/>
    <n v="136.92000000000002"/>
    <n v="102.69"/>
    <m/>
    <m/>
    <n v="102.69"/>
    <m/>
    <s v="62955505016594102,69"/>
    <m/>
    <x v="1"/>
    <n v="102.69"/>
    <n v="0"/>
    <m/>
    <m/>
    <m/>
    <m/>
    <m/>
    <m/>
    <m/>
    <m/>
    <m/>
    <m/>
    <m/>
  </r>
  <r>
    <s v="TRIFÁSICO"/>
    <s v="10/24514-2"/>
    <n v="67996266684"/>
    <n v="62955505157066"/>
    <s v="energisa_ms"/>
    <s v="Igreja do Evangelho Quadrangular"/>
    <x v="7"/>
    <s v="10/1081489-545931"/>
    <s v="SIM"/>
    <n v="136"/>
    <n v="344.10999999999996"/>
    <n v="309.88"/>
    <s v="Aprovado"/>
    <n v="136.92000000000002"/>
    <n v="102.69"/>
    <m/>
    <m/>
    <n v="102.69"/>
    <m/>
    <s v="62955505157066102,69"/>
    <m/>
    <x v="1"/>
    <n v="102.69"/>
    <n v="0"/>
    <m/>
    <m/>
    <m/>
    <m/>
    <m/>
    <m/>
    <m/>
    <m/>
    <m/>
    <m/>
    <m/>
  </r>
  <r>
    <s v="BIFÁSICO"/>
    <s v="10/3125732-2"/>
    <n v="65999839279"/>
    <n v="62955505015512"/>
    <s v="energisa_ms"/>
    <s v="Igreja do Evangelho Quadrangular"/>
    <x v="7"/>
    <s v="10/399338-345931"/>
    <s v="SIM"/>
    <n v="136"/>
    <n v="338.53000000000003"/>
    <n v="304.3"/>
    <s v="Aprovado"/>
    <n v="136.92000000000002"/>
    <n v="102.69"/>
    <m/>
    <m/>
    <n v="102.69"/>
    <m/>
    <s v="62955505015512102,69"/>
    <m/>
    <x v="1"/>
    <n v="102.69"/>
    <n v="0"/>
    <m/>
    <m/>
    <m/>
    <m/>
    <m/>
    <m/>
    <m/>
    <m/>
    <m/>
    <m/>
    <m/>
  </r>
  <r>
    <s v="TRIFÁSICO"/>
    <s v="10/480529-7"/>
    <n v="6796411024"/>
    <n v="62955505182257"/>
    <s v="energisa_ms"/>
    <s v="Igreja do Evangelho Quadrangular"/>
    <x v="7"/>
    <s v="10/29964-445870"/>
    <s v="SIM"/>
    <n v="136"/>
    <n v="469.84"/>
    <n v="435.60999999999996"/>
    <s v="Aprovado"/>
    <n v="136.92000000000002"/>
    <n v="102.69"/>
    <m/>
    <m/>
    <n v="102.69"/>
    <m/>
    <s v="62955505182257102,69"/>
    <m/>
    <x v="1"/>
    <n v="102.69"/>
    <n v="0"/>
    <m/>
    <m/>
    <m/>
    <m/>
    <m/>
    <m/>
    <m/>
    <m/>
    <m/>
    <m/>
    <m/>
  </r>
  <r>
    <s v="TRIFÁSICO"/>
    <s v="10/63920-3"/>
    <n v="67981263396"/>
    <n v="62955505135500"/>
    <s v="energisa_ms"/>
    <s v="Igreja do Evangelho Quadrangular"/>
    <x v="7"/>
    <s v="10/18015-845839"/>
    <s v="SIM"/>
    <n v="136"/>
    <n v="497.87000000000006"/>
    <n v="463.64000000000004"/>
    <s v="Aprovado"/>
    <n v="136.92000000000002"/>
    <n v="102.69"/>
    <m/>
    <m/>
    <n v="102.69"/>
    <m/>
    <s v="62955505135500102,69"/>
    <m/>
    <x v="1"/>
    <n v="102.69"/>
    <n v="0"/>
    <m/>
    <m/>
    <m/>
    <m/>
    <m/>
    <m/>
    <m/>
    <m/>
    <m/>
    <m/>
    <m/>
  </r>
  <r>
    <s v="TRIFÁSICO"/>
    <s v="10/78338-1"/>
    <s v="67 984742936"/>
    <n v="62955505016837"/>
    <s v="energisa_ms"/>
    <s v="Igreja do Evangelho Quadrangular"/>
    <x v="7"/>
    <s v="10/2599101-945809"/>
    <s v="SIM"/>
    <n v="136"/>
    <n v="434.29"/>
    <n v="400.06"/>
    <s v="Aprovado"/>
    <n v="136.92000000000002"/>
    <n v="102.69"/>
    <m/>
    <m/>
    <n v="102.69"/>
    <m/>
    <s v="62955505016837102,69"/>
    <m/>
    <x v="1"/>
    <n v="102.69"/>
    <n v="0"/>
    <m/>
    <m/>
    <m/>
    <m/>
    <m/>
    <m/>
    <m/>
    <m/>
    <m/>
    <m/>
    <m/>
  </r>
  <r>
    <s v="BIFÁSICO"/>
    <s v="10/341308-5"/>
    <n v="67993249456"/>
    <n v="62955505239119"/>
    <s v="energisa_ms"/>
    <s v="Igreja do Evangelho Quadrangular"/>
    <x v="7"/>
    <s v="10/276283-945717"/>
    <s v="SIM"/>
    <n v="136"/>
    <n v="310.32"/>
    <n v="276.14499999999998"/>
    <s v="Aprovado"/>
    <n v="136.69999999999999"/>
    <n v="102.53"/>
    <m/>
    <m/>
    <n v="102.53"/>
    <m/>
    <s v="62955505239119102,53"/>
    <m/>
    <x v="1"/>
    <n v="102.53"/>
    <n v="0"/>
    <m/>
    <m/>
    <m/>
    <m/>
    <m/>
    <m/>
    <m/>
    <m/>
    <m/>
    <m/>
    <m/>
  </r>
  <r>
    <s v="TRIFÁSICO"/>
    <s v="10/72605-9"/>
    <n v="67996071169"/>
    <n v="62955505136492"/>
    <s v="energisa_ms"/>
    <s v="Igreja do Evangelho Quadrangular"/>
    <x v="7"/>
    <s v="10/191945-545870"/>
    <s v="SIM"/>
    <n v="136"/>
    <n v="411.92"/>
    <n v="377.745"/>
    <s v="Aprovado"/>
    <n v="136.69999999999999"/>
    <n v="102.53"/>
    <m/>
    <m/>
    <n v="102.53"/>
    <m/>
    <s v="62955505136492102,53"/>
    <m/>
    <x v="1"/>
    <n v="102.53"/>
    <n v="0"/>
    <m/>
    <m/>
    <m/>
    <m/>
    <m/>
    <m/>
    <m/>
    <m/>
    <m/>
    <m/>
    <m/>
  </r>
  <r>
    <s v="BIFÁSICO"/>
    <s v="10/13786-9"/>
    <n v="67996266684"/>
    <n v="62955505197521"/>
    <s v="energisa_ms"/>
    <s v="Igreja do Evangelho Quadrangular"/>
    <x v="7"/>
    <s v="10/1695011-545870"/>
    <s v="SIM"/>
    <n v="136"/>
    <n v="351.62"/>
    <n v="317.72249999999997"/>
    <s v="Aprovado"/>
    <n v="135.59"/>
    <n v="101.69"/>
    <m/>
    <m/>
    <n v="101.69"/>
    <m/>
    <s v="62955505197521101,69"/>
    <m/>
    <x v="1"/>
    <n v="101.69"/>
    <n v="0"/>
    <m/>
    <m/>
    <m/>
    <m/>
    <m/>
    <m/>
    <m/>
    <m/>
    <m/>
    <m/>
    <m/>
  </r>
  <r>
    <s v="TRIFÁSICO"/>
    <s v="10/395471-6"/>
    <n v="67992876000"/>
    <n v="62955505248886"/>
    <s v="energisa_ms"/>
    <s v="Igreja do Evangelho Quadrangular"/>
    <x v="7"/>
    <s v="10/399338-345748"/>
    <s v="SIM"/>
    <n v="136"/>
    <n v="504.55"/>
    <n v="470.65250000000003"/>
    <s v="Aprovado"/>
    <n v="135.59"/>
    <n v="101.69"/>
    <m/>
    <m/>
    <n v="101.69"/>
    <m/>
    <s v="62955505248886101,69"/>
    <m/>
    <x v="1"/>
    <n v="135.59"/>
    <n v="33.900000000000006"/>
    <d v="2025-09-29T00:00:00"/>
    <m/>
    <m/>
    <m/>
    <m/>
    <m/>
    <m/>
    <m/>
    <m/>
    <m/>
    <m/>
  </r>
  <r>
    <s v="TRIFÁSICO"/>
    <s v="10/156956-5"/>
    <n v="0"/>
    <n v="62955505015350"/>
    <s v="energisa_ms"/>
    <s v="Igreja do Evangelho Quadrangular"/>
    <x v="0"/>
    <s v="10/3054052-045658"/>
    <s v="SIM"/>
    <n v="115"/>
    <n v="310.14249999999998"/>
    <n v="272.82811693086552"/>
    <s v="Aprovado"/>
    <n v="138.93249999999998"/>
    <n v="101.62"/>
    <d v="2025-10-03T00:00:00"/>
    <d v="2025-10-13T00:00:00"/>
    <n v="101.62"/>
    <m/>
    <s v="62955505015350101,62"/>
    <s v="09/00012851421-1"/>
    <x v="1"/>
    <n v="101.62"/>
    <n v="0"/>
    <m/>
    <m/>
    <m/>
    <m/>
    <m/>
    <m/>
    <m/>
    <m/>
    <m/>
    <m/>
    <m/>
  </r>
  <r>
    <s v="TRIFÁSICO"/>
    <s v="10/52987-5"/>
    <n v="67996983476"/>
    <n v="62955505182257"/>
    <s v="energisa_ms"/>
    <s v="Igreja do Evangelho Quadrangular"/>
    <x v="7"/>
    <s v="10/532723-445717"/>
    <s v="SIM"/>
    <n v="136"/>
    <n v="469.41999999999996"/>
    <n v="435.57749999999999"/>
    <s v="Aprovado"/>
    <n v="135.37"/>
    <n v="101.53"/>
    <m/>
    <m/>
    <n v="101.53"/>
    <m/>
    <s v="62955505182257101,53"/>
    <m/>
    <x v="1"/>
    <n v="101.53"/>
    <n v="0"/>
    <m/>
    <m/>
    <m/>
    <m/>
    <m/>
    <m/>
    <m/>
    <m/>
    <m/>
    <m/>
    <m/>
  </r>
  <r>
    <s v="TRIFÁSICO"/>
    <s v="10/395471-6"/>
    <n v="0"/>
    <n v="62955505248886"/>
    <s v="energisa_ms"/>
    <s v="Igreja do Evangelho Quadrangular"/>
    <x v="2"/>
    <s v="10/1672452-845627"/>
    <s v="SIM"/>
    <n v="128"/>
    <n v="246.12696202531649"/>
    <n v="216.6035799199563"/>
    <s v="Aprovado"/>
    <n v="130.65696202531649"/>
    <n v="101.13"/>
    <d v="2025-09-10T00:00:00"/>
    <d v="2025-09-20T00:00:00"/>
    <n v="101.13"/>
    <m/>
    <s v="62955505248886101,13"/>
    <s v="09/00012749706-1"/>
    <x v="1"/>
    <n v="130.66"/>
    <n v="29.53"/>
    <d v="2025-10-16T00:00:00"/>
    <m/>
    <m/>
    <m/>
    <m/>
    <m/>
    <m/>
    <m/>
    <m/>
    <m/>
    <m/>
  </r>
  <r>
    <s v="BIFÁSICO"/>
    <s v="10/129490-9"/>
    <s v=","/>
    <n v="62955505405140"/>
    <s v="energisa_ms"/>
    <s v="Igreja do Evangelho Quadrangular"/>
    <x v="7"/>
    <s v="10/202838-945870"/>
    <s v="SIM"/>
    <n v="136"/>
    <n v="345.72"/>
    <n v="312.02749999999997"/>
    <s v="Aprovado"/>
    <n v="134.77000000000001"/>
    <n v="101.08"/>
    <m/>
    <m/>
    <n v="101.08"/>
    <m/>
    <s v="62955505405140101,08"/>
    <m/>
    <x v="1"/>
    <n v="101.08"/>
    <n v="0"/>
    <m/>
    <m/>
    <m/>
    <m/>
    <m/>
    <m/>
    <m/>
    <m/>
    <m/>
    <m/>
    <m/>
  </r>
  <r>
    <s v="BIFÁSICO"/>
    <s v="10/3040565-8"/>
    <n v="67996135721"/>
    <n v="62955505015431"/>
    <s v="energisa_ms"/>
    <s v="Igreja do Evangelho Quadrangular"/>
    <x v="7"/>
    <s v="10/532081-745717"/>
    <s v="SIM"/>
    <n v="136"/>
    <n v="227.61999999999998"/>
    <n v="194.07"/>
    <s v="Aprovado"/>
    <n v="134.19999999999999"/>
    <n v="100.65"/>
    <m/>
    <m/>
    <n v="100.65"/>
    <m/>
    <s v="62955505015431100,65"/>
    <m/>
    <x v="1"/>
    <n v="100.65"/>
    <n v="0"/>
    <m/>
    <m/>
    <m/>
    <m/>
    <m/>
    <m/>
    <m/>
    <m/>
    <m/>
    <m/>
    <m/>
  </r>
  <r>
    <s v="TRIFÁSICO"/>
    <s v="10/987178-1"/>
    <n v="0"/>
    <n v="62955505015512"/>
    <s v="energisa_ms"/>
    <s v="Igreja do Evangelho Quadrangular"/>
    <x v="2"/>
    <s v="10/1117293-945809"/>
    <s v="SIM"/>
    <n v="112"/>
    <n v="303.19319999999999"/>
    <n v="273.82206185786345"/>
    <s v="Aprovado"/>
    <n v="129.98320000000001"/>
    <n v="100.61"/>
    <d v="2025-09-10T00:00:00"/>
    <d v="2025-09-20T00:00:00"/>
    <n v="100.61"/>
    <m/>
    <s v="62955505015512100,61"/>
    <s v="09/00012749668-3"/>
    <x v="1"/>
    <n v="100.61"/>
    <n v="0"/>
    <m/>
    <m/>
    <m/>
    <m/>
    <m/>
    <m/>
    <m/>
    <m/>
    <m/>
    <m/>
    <m/>
  </r>
  <r>
    <s v="TRIFÁSICO"/>
    <s v="10/52987-5"/>
    <n v="67996983476"/>
    <n v="62955505182257"/>
    <s v="energisa_ms"/>
    <s v="Igreja do Evangelho Quadrangular"/>
    <x v="8"/>
    <s v="10/81222-245839"/>
    <s v="SIM"/>
    <n v="137"/>
    <n v="313.29881578947374"/>
    <n v="279.77661184210535"/>
    <s v="Aprovado"/>
    <n v="134.08881578947364"/>
    <n v="100.57"/>
    <m/>
    <m/>
    <n v="100.57"/>
    <m/>
    <s v="62955505182257100,57"/>
    <m/>
    <x v="1"/>
    <n v="100.57"/>
    <n v="0"/>
    <m/>
    <m/>
    <m/>
    <m/>
    <m/>
    <m/>
    <m/>
    <m/>
    <m/>
    <m/>
    <m/>
  </r>
  <r>
    <s v="TRIFÁSICO"/>
    <s v="10/191945-5"/>
    <s v="67 81355403"/>
    <n v="62955505215791"/>
    <s v="energisa_ms"/>
    <s v="Igreja do Evangelho Quadrangular"/>
    <x v="4"/>
    <s v="10/1266128-645748"/>
    <s v="SIM"/>
    <n v="120"/>
    <n v="1163.95"/>
    <n v="1130.4625000000001"/>
    <s v="Aprovado"/>
    <n v="133.94999999999999"/>
    <n v="100.46"/>
    <m/>
    <m/>
    <n v="100.46"/>
    <m/>
    <s v="62955505215791100,46"/>
    <m/>
    <x v="1"/>
    <n v="100.46"/>
    <n v="0"/>
    <m/>
    <m/>
    <m/>
    <m/>
    <m/>
    <m/>
    <m/>
    <m/>
    <m/>
    <m/>
    <m/>
  </r>
  <r>
    <s v="TRIFÁSICO"/>
    <s v="10/2794432-1"/>
    <n v="67991162146"/>
    <n v="62955505015199"/>
    <s v="energisa_ms"/>
    <s v="Igreja do Evangelho Quadrangular"/>
    <x v="4"/>
    <s v="10/510330-445658"/>
    <s v="SIM"/>
    <n v="120"/>
    <n v="807.35000000000014"/>
    <n v="773.86250000000007"/>
    <s v="Aprovado"/>
    <n v="133.94999999999999"/>
    <n v="100.46"/>
    <m/>
    <m/>
    <n v="100.46"/>
    <m/>
    <s v="62955505015199100,46"/>
    <m/>
    <x v="1"/>
    <n v="100.46"/>
    <n v="0"/>
    <m/>
    <m/>
    <m/>
    <m/>
    <m/>
    <m/>
    <m/>
    <m/>
    <m/>
    <m/>
    <m/>
  </r>
  <r>
    <s v="TRIFÁSICO"/>
    <s v="10/3123706-8"/>
    <n v="67999516782"/>
    <n v="62955505375721"/>
    <s v="energisa_ms"/>
    <s v="Igreja do Evangelho Quadrangular"/>
    <x v="7"/>
    <s v="10/61344-845901"/>
    <s v="SIM"/>
    <n v="136"/>
    <n v="412.54"/>
    <n v="379.14250000000004"/>
    <s v="Aprovado"/>
    <n v="133.58999999999997"/>
    <n v="100.19"/>
    <m/>
    <m/>
    <n v="100.19"/>
    <m/>
    <s v="62955505375721100,19"/>
    <m/>
    <x v="1"/>
    <n v="100.19"/>
    <n v="0"/>
    <m/>
    <m/>
    <m/>
    <m/>
    <m/>
    <m/>
    <m/>
    <m/>
    <m/>
    <m/>
    <m/>
  </r>
  <r>
    <s v="BIFÁSICO"/>
    <s v="10/466560-0"/>
    <n v="67998302932"/>
    <n v="62955505015512"/>
    <s v="energisa_ms"/>
    <s v="Igreja do Evangelho Quadrangular"/>
    <x v="5"/>
    <s v="10/239312-245839"/>
    <s v="SIM"/>
    <n v="137"/>
    <n v="235.86"/>
    <n v="202.5"/>
    <s v="Aprovado"/>
    <n v="133.44"/>
    <n v="100.08"/>
    <m/>
    <m/>
    <n v="100.08"/>
    <m/>
    <s v="62955505015512100,08"/>
    <m/>
    <x v="1"/>
    <n v="100.08"/>
    <n v="0"/>
    <m/>
    <m/>
    <m/>
    <m/>
    <m/>
    <m/>
    <m/>
    <m/>
    <m/>
    <m/>
    <m/>
  </r>
  <r>
    <s v="BIFÁSICO"/>
    <s v="10/1130988-7"/>
    <n v="67992637973"/>
    <n v="62955505040894"/>
    <s v="energisa_ms"/>
    <s v="Igreja do Evangelho Quadrangular"/>
    <x v="7"/>
    <s v="10/81222-245931"/>
    <s v="SIM"/>
    <n v="136"/>
    <n v="426.04"/>
    <n v="392.71249999999998"/>
    <s v="Aprovado"/>
    <n v="133.31"/>
    <n v="99.98"/>
    <m/>
    <m/>
    <n v="99.98"/>
    <m/>
    <s v="6295550504089499,98"/>
    <m/>
    <x v="1"/>
    <n v="99.98"/>
    <n v="0"/>
    <m/>
    <m/>
    <m/>
    <m/>
    <m/>
    <m/>
    <m/>
    <m/>
    <m/>
    <m/>
    <m/>
  </r>
  <r>
    <s v="TRIFÁSICO"/>
    <s v="10/512142-1"/>
    <s v="67 81355403"/>
    <n v="62955505189340"/>
    <s v="energisa_ms"/>
    <s v="Igreja do Evangelho Quadrangular"/>
    <x v="7"/>
    <s v="10/127464-645778"/>
    <s v="SIM"/>
    <n v="136"/>
    <n v="332.09"/>
    <n v="298.76249999999993"/>
    <s v="Aprovado"/>
    <n v="133.31"/>
    <n v="99.98"/>
    <m/>
    <m/>
    <n v="99.98"/>
    <m/>
    <s v="6295550518934099,98"/>
    <m/>
    <x v="1"/>
    <n v="99.98"/>
    <n v="0"/>
    <m/>
    <m/>
    <m/>
    <m/>
    <m/>
    <m/>
    <m/>
    <m/>
    <m/>
    <m/>
    <m/>
  </r>
  <r>
    <s v="TRIFÁSICO"/>
    <s v="10/1035655-8"/>
    <n v="0"/>
    <n v="62955505182257"/>
    <s v="energisa_ms"/>
    <s v="Igreja do Evangelho Quadrangular"/>
    <x v="2"/>
    <s v="10/1184751-445931"/>
    <s v="SIM"/>
    <n v="120"/>
    <n v="292.50058823529412"/>
    <n v="263.6700871190323"/>
    <s v="Aprovado"/>
    <n v="127.59058823529411"/>
    <n v="98.76"/>
    <d v="2025-09-10T00:00:00"/>
    <d v="2025-09-20T00:00:00"/>
    <n v="98.76"/>
    <m/>
    <s v="6295550518225798,76"/>
    <s v="09/00012749660-0"/>
    <x v="1"/>
    <n v="98.76"/>
    <n v="0"/>
    <m/>
    <m/>
    <m/>
    <m/>
    <m/>
    <m/>
    <m/>
    <m/>
    <m/>
    <m/>
    <m/>
  </r>
  <r>
    <s v="BIFÁSICO"/>
    <s v="10/3125732-2"/>
    <s v="Solicitação de distrato"/>
    <n v="62955505015512"/>
    <s v="energisa_ms"/>
    <s v="Igreja do Evangelho Quadrangular"/>
    <x v="2"/>
    <s v="10/1695011-545627"/>
    <s v="SIM"/>
    <n v="125"/>
    <n v="259.80931034482762"/>
    <n v="231.17794369103865"/>
    <s v="Aprovado"/>
    <n v="126.70931034482757"/>
    <n v="98.08"/>
    <d v="2025-09-10T00:00:00"/>
    <d v="2025-09-20T00:00:00"/>
    <n v="98.08"/>
    <m/>
    <s v="6295550501551298,08"/>
    <s v="09/00012749707-9"/>
    <x v="1"/>
    <n v="98.08"/>
    <n v="0"/>
    <d v="2025-09-24T00:00:00"/>
    <m/>
    <m/>
    <m/>
    <m/>
    <m/>
    <m/>
    <m/>
    <m/>
    <m/>
    <m/>
  </r>
  <r>
    <s v="MONOFÁSICO"/>
    <s v="10/384823-1"/>
    <n v="0"/>
    <n v="62955505000167"/>
    <s v="energisa_ms"/>
    <s v="Igreja do Evangelho Quadrangular"/>
    <x v="2"/>
    <s v="10/505854-045717"/>
    <s v="SIM"/>
    <n v="113"/>
    <n v="159.00086956521741"/>
    <n v="130.67419798290248"/>
    <s v="Aprovado"/>
    <n v="125.36086956521741"/>
    <n v="97.03"/>
    <d v="2025-09-10T00:00:00"/>
    <d v="2025-09-20T00:00:00"/>
    <n v="97.03"/>
    <m/>
    <s v="6295550500016797,03"/>
    <s v="09/00012749665-9"/>
    <x v="1"/>
    <n v="97.03"/>
    <n v="0"/>
    <m/>
    <m/>
    <m/>
    <m/>
    <m/>
    <m/>
    <m/>
    <m/>
    <m/>
    <m/>
    <m/>
  </r>
  <r>
    <s v="TRIFÁSICO"/>
    <s v="10/1674177-9"/>
    <s v="67 993047635"/>
    <n v="62955505016160"/>
    <s v="energisa_ms"/>
    <s v="Igreja do Evangelho Quadrangular"/>
    <x v="1"/>
    <s v="10/1184751-445658"/>
    <s v="SIM"/>
    <n v="122"/>
    <n v="277.6825"/>
    <n v="249.5230765"/>
    <s v="Aprovado"/>
    <n v="124.77250000000001"/>
    <n v="96.61"/>
    <d v="2025-09-10T00:00:00"/>
    <d v="2025-09-20T00:00:00"/>
    <n v="96.61"/>
    <m/>
    <s v="6295550501616096,61"/>
    <s v="09/00012683505-5"/>
    <x v="1"/>
    <n v="96.61"/>
    <n v="0"/>
    <m/>
    <m/>
    <m/>
    <m/>
    <m/>
    <m/>
    <m/>
    <m/>
    <m/>
    <m/>
    <m/>
  </r>
  <r>
    <s v="MONOFÁSICO"/>
    <s v="10/384823-1"/>
    <n v="0"/>
    <n v="62955505000167"/>
    <s v="energisa_ms"/>
    <s v="Igreja do Evangelho Quadrangular"/>
    <x v="0"/>
    <s v="10/69319-245658"/>
    <s v="SIM"/>
    <n v="109"/>
    <n v="167.95366666666663"/>
    <n v="132.58348383846655"/>
    <s v="Aprovado"/>
    <n v="131.69366666666664"/>
    <n v="96.32"/>
    <d v="2025-10-03T00:00:00"/>
    <d v="2025-10-13T00:00:00"/>
    <n v="96.32"/>
    <m/>
    <s v="6295550500016796,32"/>
    <s v="09/00012851423-7"/>
    <x v="1"/>
    <n v="96.32"/>
    <n v="0"/>
    <m/>
    <m/>
    <m/>
    <m/>
    <m/>
    <m/>
    <m/>
    <m/>
    <m/>
    <m/>
    <m/>
  </r>
  <r>
    <s v="TRIFÁSICO"/>
    <s v="10/252817-2"/>
    <n v="67992637973"/>
    <n v="62955505274020"/>
    <s v="energisa_ms"/>
    <s v="Igreja do Evangelho Quadrangular"/>
    <x v="8"/>
    <s v="10/41548-945658"/>
    <s v="SIM"/>
    <n v="131"/>
    <n v="278.99922077922076"/>
    <n v="247.00691558441554"/>
    <s v="Aprovado"/>
    <n v="127.96922077922078"/>
    <n v="95.98"/>
    <m/>
    <m/>
    <n v="95.98"/>
    <m/>
    <s v="6295550527402095,98"/>
    <m/>
    <x v="1"/>
    <n v="95.98"/>
    <n v="0"/>
    <m/>
    <m/>
    <m/>
    <m/>
    <m/>
    <m/>
    <m/>
    <m/>
    <m/>
    <m/>
    <m/>
  </r>
  <r>
    <s v="TRIFÁSICO"/>
    <s v="10/1698130-0"/>
    <n v="67991767866"/>
    <n v="62955505461210"/>
    <s v="energisa_ms"/>
    <s v="Igreja do Evangelho Quadrangular"/>
    <x v="3"/>
    <s v="10/3125732-245870"/>
    <s v="SIM"/>
    <n v="110"/>
    <n v="311.82400000000007"/>
    <n v="281.50432959034049"/>
    <s v="Aprovado"/>
    <n v="127.79400000000003"/>
    <n v="95.85"/>
    <d v="2025-07-22T00:00:00"/>
    <d v="2025-08-02T00:00:00"/>
    <n v="95.85"/>
    <m/>
    <s v="6295550546121095,85"/>
    <s v="09/00012472752-8"/>
    <x v="1"/>
    <n v="95.85"/>
    <n v="0"/>
    <m/>
    <m/>
    <m/>
    <m/>
    <m/>
    <m/>
    <m/>
    <m/>
    <m/>
    <m/>
    <m/>
  </r>
  <r>
    <s v="BIFÁSICO"/>
    <s v="10/1017804-4"/>
    <s v="Inadimplência"/>
    <n v="62955505878987"/>
    <s v="energisa_ms"/>
    <s v="Igreja do Evangelho Quadrangular"/>
    <x v="2"/>
    <s v="10/511753-645839"/>
    <s v="SIM"/>
    <n v="106"/>
    <n v="257.68799999999999"/>
    <n v="229.84327382785472"/>
    <s v="Aprovado"/>
    <n v="123.22799999999999"/>
    <n v="95.38"/>
    <d v="2025-09-10T00:00:00"/>
    <d v="2025-09-20T00:00:00"/>
    <n v="95.38"/>
    <m/>
    <s v="6295550587898795,38"/>
    <s v="09/00012749645-1"/>
    <x v="1"/>
    <n v="95.38"/>
    <n v="0"/>
    <d v="2025-10-13T00:00:00"/>
    <m/>
    <m/>
    <m/>
    <m/>
    <m/>
    <m/>
    <m/>
    <m/>
    <m/>
    <m/>
  </r>
  <r>
    <s v="BIFÁSICO"/>
    <s v="10/1130988-7"/>
    <n v="0"/>
    <n v="62955505040894"/>
    <s v="energisa_ms"/>
    <s v="Igreja do Evangelho Quadrangular"/>
    <x v="2"/>
    <s v="10/10232-745627"/>
    <s v="SIM"/>
    <n v="119"/>
    <n v="178.58516129032259"/>
    <n v="150.79078798320404"/>
    <s v="Aprovado"/>
    <n v="123.00516129032258"/>
    <n v="95.21"/>
    <d v="2025-09-10T00:00:00"/>
    <d v="2025-09-20T00:00:00"/>
    <n v="95.21"/>
    <m/>
    <s v="6295550504089495,21"/>
    <s v="09/00012749697-2"/>
    <x v="1"/>
    <n v="95.21"/>
    <n v="0"/>
    <m/>
    <m/>
    <m/>
    <m/>
    <m/>
    <m/>
    <m/>
    <m/>
    <m/>
    <m/>
    <m/>
  </r>
  <r>
    <s v="TRIFÁSICO"/>
    <s v="10/24514-2"/>
    <n v="67996266684"/>
    <n v="62955505157066"/>
    <s v="energisa_ms"/>
    <s v="Igreja do Evangelho Quadrangular"/>
    <x v="8"/>
    <s v="10/1433087-245748"/>
    <s v="SIM"/>
    <n v="130"/>
    <n v="234.05181818181813"/>
    <n v="202.40136363636358"/>
    <s v="Aprovado"/>
    <n v="126.60181818181819"/>
    <n v="94.95"/>
    <m/>
    <m/>
    <n v="94.95"/>
    <m/>
    <s v="6295550515706694,95"/>
    <m/>
    <x v="2"/>
    <n v="0"/>
    <n v="-94.95"/>
    <m/>
    <s v="Cobrança Regular"/>
    <m/>
    <m/>
    <m/>
    <m/>
    <m/>
    <m/>
    <m/>
    <m/>
    <m/>
  </r>
  <r>
    <s v="MONOFÁSICO"/>
    <s v="10/384823-1"/>
    <n v="67999159477"/>
    <n v="62955505000167"/>
    <s v="energisa_ms"/>
    <s v="Igreja do Evangelho Quadrangular"/>
    <x v="6"/>
    <s v="10/510330-445778"/>
    <s v="SIM"/>
    <n v="113"/>
    <n v="160.34"/>
    <n v="128.8075"/>
    <s v="Aprovado"/>
    <n v="126.13"/>
    <n v="94.6"/>
    <m/>
    <m/>
    <n v="94.6"/>
    <m/>
    <s v="6295550500016794,6"/>
    <m/>
    <x v="1"/>
    <n v="94.6"/>
    <n v="0"/>
    <m/>
    <m/>
    <m/>
    <m/>
    <m/>
    <m/>
    <m/>
    <m/>
    <m/>
    <m/>
    <m/>
  </r>
  <r>
    <s v="TRIFÁSICO"/>
    <s v="10/1433087-2"/>
    <s v=" 67 91285460"/>
    <n v="62955505419443"/>
    <s v="energisa_ms"/>
    <s v="Igreja do Evangelho Quadrangular"/>
    <x v="9"/>
    <s v="10/908866-745809"/>
    <s v="SIM"/>
    <n v="108"/>
    <n v="280.22160000000002"/>
    <n v="243.4992693815999"/>
    <s v="Aprovado"/>
    <n v="131.30159999999998"/>
    <n v="94.58"/>
    <d v="2025-11-06T00:00:00"/>
    <d v="2025-11-13T00:00:00"/>
    <n v="94.58"/>
    <m/>
    <s v="6295550541944394,58"/>
    <s v="09/00013026965-5"/>
    <x v="1"/>
    <n v="94.58"/>
    <n v="0"/>
    <m/>
    <m/>
    <m/>
    <m/>
    <m/>
    <m/>
    <m/>
    <m/>
    <m/>
    <m/>
    <m/>
  </r>
  <r>
    <s v="TRIFÁSICO"/>
    <s v="10/513413-5"/>
    <n v="67992637973"/>
    <n v="62955505321630"/>
    <s v="energisa_ms"/>
    <s v="Igreja do Evangelho Quadrangular"/>
    <x v="1"/>
    <s v="10/511753-645901"/>
    <s v="SIM"/>
    <n v="105"/>
    <n v="281.61150000000004"/>
    <n v="253.59682790000002"/>
    <s v="Aprovado"/>
    <n v="122.12149999999998"/>
    <n v="94.11"/>
    <d v="2025-09-10T00:00:00"/>
    <d v="2025-09-20T00:00:00"/>
    <n v="94.11"/>
    <m/>
    <s v="6295550532163094,11"/>
    <s v="09/00012683476-9"/>
    <x v="1"/>
    <n v="94.11"/>
    <n v="0"/>
    <m/>
    <m/>
    <m/>
    <m/>
    <m/>
    <m/>
    <m/>
    <m/>
    <m/>
    <m/>
    <m/>
  </r>
  <r>
    <s v="TRIFÁSICO"/>
    <s v="10/69319-2"/>
    <n v="67998363594"/>
    <n v="62955505182257"/>
    <s v="energisa_ms"/>
    <s v="Igreja do Evangelho Quadrangular"/>
    <x v="3"/>
    <s v="10/226667-445717"/>
    <s v="SIM"/>
    <n v="123"/>
    <n v="287.74455696202529"/>
    <n v="258.25277176469706"/>
    <s v="Aprovado"/>
    <n v="124.30455696202533"/>
    <n v="93.23"/>
    <d v="2025-07-22T00:00:00"/>
    <d v="2025-08-02T00:00:00"/>
    <n v="93.23"/>
    <m/>
    <s v="6295550518225793,23"/>
    <s v="09/00012472775-9"/>
    <x v="1"/>
    <n v="93.23"/>
    <n v="0"/>
    <s v="06/08/2025"/>
    <m/>
    <m/>
    <m/>
    <m/>
    <m/>
    <m/>
    <m/>
    <m/>
    <m/>
    <m/>
  </r>
  <r>
    <s v="BIFÁSICO"/>
    <s v="10/952579-1"/>
    <n v="67996150274"/>
    <n v="62955505897930"/>
    <s v="energisa_ms"/>
    <s v="Igreja do Evangelho Quadrangular"/>
    <x v="8"/>
    <s v="10/384823-145809"/>
    <s v="SIM"/>
    <n v="127"/>
    <n v="232.23084507042253"/>
    <n v="201.1606338028169"/>
    <s v="Aprovado"/>
    <n v="124.28084507042253"/>
    <n v="93.21"/>
    <m/>
    <m/>
    <n v="93.21"/>
    <m/>
    <s v="6295550589793093,21"/>
    <m/>
    <x v="1"/>
    <n v="124.28"/>
    <n v="31.070000000000007"/>
    <d v="2025-09-25T00:00:00"/>
    <m/>
    <m/>
    <m/>
    <m/>
    <m/>
    <m/>
    <m/>
    <m/>
    <m/>
    <m/>
  </r>
  <r>
    <s v="MONOFÁSICO"/>
    <s v="10/150263-2"/>
    <n v="67992337953"/>
    <n v="62955505091456"/>
    <s v="energisa_ms"/>
    <s v="Igreja do Evangelho Quadrangular"/>
    <x v="8"/>
    <s v="10/76927-345901"/>
    <s v="SIM"/>
    <n v="109"/>
    <n v="209.25833333333333"/>
    <n v="178.19624999999996"/>
    <s v="Aprovado"/>
    <n v="124.24833333333335"/>
    <n v="93.19"/>
    <m/>
    <m/>
    <n v="93.19"/>
    <m/>
    <s v="6295550509145693,19"/>
    <m/>
    <x v="3"/>
    <n v="0"/>
    <n v="-93.19"/>
    <m/>
    <m/>
    <m/>
    <m/>
    <m/>
    <m/>
    <m/>
    <m/>
    <m/>
    <m/>
    <m/>
  </r>
  <r>
    <s v="TRIFÁSICO"/>
    <s v="10/76927-3"/>
    <n v="0"/>
    <n v="62955505058599"/>
    <s v="energisa_ms"/>
    <s v="Igreja do Evangelho Quadrangular"/>
    <x v="2"/>
    <s v="10/226667-445809"/>
    <s v="SIM"/>
    <n v="119"/>
    <n v="257.00299999999999"/>
    <n v="229.85310400427034"/>
    <s v="Aprovado"/>
    <n v="120.15299999999998"/>
    <n v="93"/>
    <d v="2025-09-10T00:00:00"/>
    <d v="2025-09-20T00:00:00"/>
    <n v="93"/>
    <m/>
    <s v="6295550505859993"/>
    <s v="09/00012749675-8"/>
    <x v="1"/>
    <n v="93"/>
    <n v="0"/>
    <m/>
    <m/>
    <m/>
    <m/>
    <m/>
    <m/>
    <m/>
    <m/>
    <m/>
    <m/>
    <m/>
  </r>
  <r>
    <s v="MONOFÁSICO"/>
    <s v="10/384823-1"/>
    <n v="67999159477"/>
    <n v="62955505000167"/>
    <s v="energisa_ms"/>
    <s v="Igreja do Evangelho Quadrangular"/>
    <x v="9"/>
    <s v="10/31292-645839"/>
    <s v="SIM"/>
    <n v="105"/>
    <n v="166.5"/>
    <n v="130.45773740157597"/>
    <s v="Aprovado"/>
    <n v="128.86999999999998"/>
    <n v="92.83"/>
    <d v="2025-11-06T00:00:00"/>
    <d v="2025-11-13T00:00:00"/>
    <n v="92.83"/>
    <m/>
    <s v="6295550500016792,83"/>
    <s v="09/00013026974-7"/>
    <x v="1"/>
    <n v="92.83"/>
    <n v="0"/>
    <m/>
    <m/>
    <m/>
    <m/>
    <m/>
    <m/>
    <m/>
    <m/>
    <m/>
    <m/>
    <m/>
  </r>
  <r>
    <s v="TRIFÁSICO"/>
    <s v="10/1698130-0"/>
    <n v="67991767866"/>
    <n v="62955505461210"/>
    <s v="energisa_ms"/>
    <s v="Igreja do Evangelho Quadrangular"/>
    <x v="8"/>
    <s v="10/341308-545901"/>
    <s v="SIM"/>
    <n v="109"/>
    <n v="349.44580882352943"/>
    <n v="318.63685661764708"/>
    <s v="Aprovado"/>
    <n v="123.23580882352942"/>
    <n v="92.43"/>
    <m/>
    <m/>
    <n v="92.43"/>
    <m/>
    <s v="6295550546121092,43"/>
    <m/>
    <x v="1"/>
    <n v="92.43"/>
    <n v="0"/>
    <m/>
    <m/>
    <m/>
    <m/>
    <m/>
    <m/>
    <m/>
    <m/>
    <m/>
    <m/>
    <m/>
  </r>
  <r>
    <s v="TRIFÁSICO"/>
    <s v="10/532081-7"/>
    <s v="67 992321318"/>
    <n v="62955505193534"/>
    <s v="energisa_ms"/>
    <s v="Igreja do Evangelho Quadrangular"/>
    <x v="8"/>
    <s v="10/395471-645778"/>
    <s v="SIM"/>
    <n v="109"/>
    <n v="304.96721739130436"/>
    <n v="274.21041304347824"/>
    <s v="Aprovado"/>
    <n v="123.02721739130436"/>
    <n v="92.27"/>
    <m/>
    <m/>
    <n v="92.27"/>
    <m/>
    <s v="6295550519353492,27"/>
    <m/>
    <x v="1"/>
    <n v="92.27"/>
    <n v="0"/>
    <m/>
    <m/>
    <m/>
    <m/>
    <m/>
    <m/>
    <m/>
    <m/>
    <m/>
    <m/>
    <m/>
  </r>
  <r>
    <s v="BIFÁSICO"/>
    <s v="10/218777-1"/>
    <n v="67999031330"/>
    <n v="62955505017051"/>
    <s v="energisa_ms"/>
    <s v="Igreja do Evangelho Quadrangular"/>
    <x v="4"/>
    <s v="10/63920-345870"/>
    <s v="SIM"/>
    <n v="110"/>
    <n v="198.53"/>
    <n v="167.83499999999998"/>
    <s v="Aprovado"/>
    <n v="122.78"/>
    <n v="92.09"/>
    <m/>
    <m/>
    <n v="92.09"/>
    <m/>
    <s v="6295550501705192,09"/>
    <m/>
    <x v="1"/>
    <n v="92.09"/>
    <n v="0"/>
    <m/>
    <m/>
    <m/>
    <m/>
    <m/>
    <m/>
    <m/>
    <m/>
    <m/>
    <m/>
    <m/>
  </r>
  <r>
    <s v="TRIFÁSICO"/>
    <s v="10/72605-9"/>
    <n v="0"/>
    <n v="62955505136492"/>
    <s v="energisa_ms"/>
    <s v="Igreja do Evangelho Quadrangular"/>
    <x v="2"/>
    <s v="10/113971-645627"/>
    <s v="SIM"/>
    <n v="117"/>
    <n v="271.82444444444445"/>
    <n v="244.99056750672898"/>
    <s v="Aprovado"/>
    <n v="118.75444444444445"/>
    <n v="91.92"/>
    <d v="2025-09-10T00:00:00"/>
    <d v="2025-09-20T00:00:00"/>
    <n v="91.92"/>
    <m/>
    <s v="6295550513649291,92"/>
    <s v="09/00012749700-4"/>
    <x v="1"/>
    <n v="91.92"/>
    <n v="0"/>
    <m/>
    <m/>
    <m/>
    <m/>
    <m/>
    <m/>
    <m/>
    <m/>
    <m/>
    <m/>
    <m/>
  </r>
  <r>
    <s v="TRIFÁSICO"/>
    <s v="10/191945-5"/>
    <s v="67 81355403"/>
    <n v="62955505215791"/>
    <s v="energisa_ms"/>
    <s v="Igreja do Evangelho Quadrangular"/>
    <x v="5"/>
    <s v="10/63920-345748"/>
    <s v="SIM"/>
    <n v="109"/>
    <n v="1078.9799999999998"/>
    <n v="1048.3999999999999"/>
    <s v="Aprovado"/>
    <n v="122.32"/>
    <n v="91.74"/>
    <m/>
    <m/>
    <n v="91.74"/>
    <m/>
    <s v="6295550521579191,74"/>
    <m/>
    <x v="1"/>
    <n v="91.74"/>
    <n v="0"/>
    <m/>
    <m/>
    <m/>
    <m/>
    <m/>
    <m/>
    <m/>
    <m/>
    <m/>
    <m/>
    <m/>
  </r>
  <r>
    <s v="TRIFÁSICO"/>
    <s v="10/2794432-1"/>
    <n v="67991162146"/>
    <n v="62955505015199"/>
    <s v="energisa_ms"/>
    <s v="Igreja do Evangelho Quadrangular"/>
    <x v="5"/>
    <s v="10/276283-945778"/>
    <s v="SIM"/>
    <n v="109"/>
    <n v="447.2"/>
    <n v="416.62749999999994"/>
    <s v="Aprovado"/>
    <n v="122.28999999999999"/>
    <n v="91.72"/>
    <m/>
    <m/>
    <n v="91.72"/>
    <m/>
    <s v="6295550501519991,72"/>
    <m/>
    <x v="1"/>
    <n v="91.72"/>
    <n v="0"/>
    <m/>
    <m/>
    <m/>
    <m/>
    <m/>
    <m/>
    <m/>
    <m/>
    <m/>
    <m/>
    <m/>
  </r>
  <r>
    <s v="BIFÁSICO"/>
    <s v="10/226667-4"/>
    <n v="67992637973"/>
    <n v="62955505040894"/>
    <s v="energisa_ms"/>
    <s v="Igreja do Evangelho Quadrangular"/>
    <x v="4"/>
    <s v="10/452884-045748"/>
    <s v="SIM"/>
    <n v="115"/>
    <n v="218.15"/>
    <n v="187.80249999999998"/>
    <s v="Aprovado"/>
    <n v="121.39"/>
    <n v="91.04"/>
    <m/>
    <m/>
    <n v="91.04"/>
    <m/>
    <s v="6295550504089491,04"/>
    <m/>
    <x v="1"/>
    <n v="91.04"/>
    <n v="0"/>
    <m/>
    <m/>
    <m/>
    <m/>
    <m/>
    <m/>
    <m/>
    <m/>
    <m/>
    <m/>
    <m/>
  </r>
  <r>
    <s v="TRIFÁSICO"/>
    <s v="10/156956-5"/>
    <n v="0"/>
    <n v="62955505015350"/>
    <s v="energisa_ms"/>
    <s v="Igreja do Evangelho Quadrangular"/>
    <x v="2"/>
    <s v="10/175073-645839"/>
    <s v="SIM"/>
    <n v="100"/>
    <n v="272.78999999999996"/>
    <n v="246.35255914125844"/>
    <s v="Aprovado"/>
    <n v="117"/>
    <n v="90.56"/>
    <d v="2025-09-10T00:00:00"/>
    <d v="2025-09-20T00:00:00"/>
    <n v="90.56"/>
    <m/>
    <s v="6295550501535090,56"/>
    <s v="09/00012749653-5"/>
    <x v="1"/>
    <n v="90.56"/>
    <n v="0"/>
    <m/>
    <m/>
    <m/>
    <m/>
    <m/>
    <m/>
    <m/>
    <m/>
    <m/>
    <m/>
    <m/>
  </r>
  <r>
    <s v="TRIFÁSICO"/>
    <s v="10/1698130-0"/>
    <n v="0"/>
    <n v="62955505461210"/>
    <s v="energisa_ms"/>
    <s v="Igreja do Evangelho Quadrangular"/>
    <x v="0"/>
    <s v="10/10731-845658"/>
    <s v="SIM"/>
    <n v="102"/>
    <n v="314.3888"/>
    <n v="281.29747607875493"/>
    <s v="Aprovado"/>
    <n v="123.2088"/>
    <n v="90.12"/>
    <d v="2025-10-03T00:00:00"/>
    <d v="2025-10-13T00:00:00"/>
    <n v="90.12"/>
    <m/>
    <s v="6295550546121090,12"/>
    <s v="09/00012851420-3"/>
    <x v="1"/>
    <n v="90.12"/>
    <n v="0"/>
    <m/>
    <m/>
    <m/>
    <m/>
    <m/>
    <m/>
    <m/>
    <m/>
    <m/>
    <m/>
    <m/>
  </r>
  <r>
    <s v="BIFÁSICO"/>
    <s v="10/511753-6"/>
    <n v="0"/>
    <n v="62955505016080"/>
    <s v="energisa_ms"/>
    <s v="Igreja do Evangelho Quadrangular"/>
    <x v="2"/>
    <s v="10/3125732-245901"/>
    <s v="SIM"/>
    <n v="98"/>
    <n v="210.21440000000001"/>
    <n v="184.47418450462374"/>
    <s v="Aprovado"/>
    <n v="113.9144"/>
    <n v="88.17"/>
    <d v="2025-09-10T00:00:00"/>
    <d v="2025-09-20T00:00:00"/>
    <n v="88.17"/>
    <m/>
    <s v="6295550501608088,17"/>
    <s v="09/00012749647-7"/>
    <x v="1"/>
    <n v="88.17"/>
    <n v="0"/>
    <d v="2025-09-25T00:00:00"/>
    <m/>
    <m/>
    <m/>
    <m/>
    <m/>
    <m/>
    <m/>
    <m/>
    <m/>
    <m/>
  </r>
  <r>
    <s v="TRIFÁSICO"/>
    <s v="10/1672452-8"/>
    <n v="0"/>
    <n v="62955505017213"/>
    <s v="energisa_ms"/>
    <s v="Igreja do Evangelho Quadrangular"/>
    <x v="2"/>
    <s v="10/1117293-945870"/>
    <s v="SIM"/>
    <n v="97"/>
    <n v="246.23370000000003"/>
    <n v="220.5523925459218"/>
    <s v="Aprovado"/>
    <n v="113.6537"/>
    <n v="87.97"/>
    <d v="2025-09-10T00:00:00"/>
    <d v="2025-09-20T00:00:00"/>
    <n v="87.97"/>
    <m/>
    <s v="6295550501721387,97"/>
    <s v="09/00012749662-6"/>
    <x v="1"/>
    <n v="87.97"/>
    <n v="0"/>
    <m/>
    <m/>
    <m/>
    <m/>
    <m/>
    <m/>
    <m/>
    <m/>
    <m/>
    <m/>
    <m/>
  </r>
  <r>
    <s v="TRIFÁSICO"/>
    <s v="10/1288241-1"/>
    <n v="67991133770"/>
    <n v="62955505335851"/>
    <s v="energisa_ms"/>
    <s v="Igreja do Evangelho Quadrangular"/>
    <x v="7"/>
    <s v="10/532081-745689"/>
    <s v="SIM"/>
    <n v="105"/>
    <n v="235.51000000000002"/>
    <n v="206.21000000000004"/>
    <s v="Aprovado"/>
    <n v="117.2"/>
    <n v="87.9"/>
    <m/>
    <m/>
    <n v="87.9"/>
    <m/>
    <s v="6295550533585187,9"/>
    <m/>
    <x v="1"/>
    <n v="87.9"/>
    <n v="0"/>
    <m/>
    <m/>
    <m/>
    <m/>
    <m/>
    <m/>
    <m/>
    <m/>
    <m/>
    <m/>
    <m/>
  </r>
  <r>
    <s v="MONOFÁSICO"/>
    <s v="10/384823-1"/>
    <n v="67999159477"/>
    <n v="62955505000167"/>
    <s v="energisa_ms"/>
    <s v="Igreja do Evangelho Quadrangular"/>
    <x v="1"/>
    <s v="10/283183-245717"/>
    <s v="SIM"/>
    <n v="102"/>
    <n v="145.41521739130434"/>
    <n v="119.84968452173912"/>
    <s v="Aprovado"/>
    <n v="113.32521739130434"/>
    <n v="87.76"/>
    <d v="2025-09-10T00:00:00"/>
    <d v="2025-09-20T00:00:00"/>
    <n v="87.76"/>
    <m/>
    <s v="6295550500016787,76"/>
    <s v="09/00012683540-2"/>
    <x v="1"/>
    <n v="87.76"/>
    <n v="0"/>
    <m/>
    <m/>
    <m/>
    <m/>
    <m/>
    <m/>
    <m/>
    <m/>
    <m/>
    <m/>
    <m/>
  </r>
  <r>
    <s v="TRIFÁSICO"/>
    <s v="10/1288241-1"/>
    <n v="67991133770"/>
    <n v="62955505335851"/>
    <s v="energisa_ms"/>
    <s v="Igreja do Evangelho Quadrangular"/>
    <x v="5"/>
    <s v="10/480529-745839"/>
    <s v="SIM"/>
    <n v="120"/>
    <n v="297.62"/>
    <n v="268.39750000000004"/>
    <s v="Aprovado"/>
    <n v="116.88999999999999"/>
    <n v="87.67"/>
    <m/>
    <m/>
    <n v="87.67"/>
    <m/>
    <s v="6295550533585187,67"/>
    <m/>
    <x v="1"/>
    <n v="116.88999999999999"/>
    <n v="29.219999999999985"/>
    <d v="2025-11-07T00:00:00"/>
    <m/>
    <m/>
    <m/>
    <m/>
    <m/>
    <m/>
    <m/>
    <m/>
    <m/>
    <m/>
  </r>
  <r>
    <s v="BIFÁSICO"/>
    <s v="10/1130988-7"/>
    <n v="67992637973"/>
    <n v="62955505040894"/>
    <s v="energisa_ms"/>
    <s v="Igreja do Evangelho Quadrangular"/>
    <x v="4"/>
    <s v="10/504844-245870"/>
    <s v="SIM"/>
    <n v="120"/>
    <n v="393.07"/>
    <n v="363.84750000000003"/>
    <s v="Aprovado"/>
    <n v="116.89"/>
    <n v="87.67"/>
    <m/>
    <m/>
    <n v="87.67"/>
    <m/>
    <s v="6295550504089487,67"/>
    <m/>
    <x v="1"/>
    <n v="87.67"/>
    <n v="0"/>
    <m/>
    <m/>
    <m/>
    <m/>
    <m/>
    <m/>
    <m/>
    <m/>
    <m/>
    <m/>
    <m/>
  </r>
  <r>
    <s v="BIFÁSICO"/>
    <s v="10/530195-7"/>
    <n v="67999516782"/>
    <n v="62955505367117"/>
    <s v="energisa_ms"/>
    <s v="Igreja do Evangelho Quadrangular"/>
    <x v="5"/>
    <s v="10/504844-245839"/>
    <s v="SIM"/>
    <n v="120"/>
    <n v="249.74"/>
    <n v="220.51750000000001"/>
    <s v="Aprovado"/>
    <n v="116.88999999999999"/>
    <n v="87.67"/>
    <m/>
    <m/>
    <n v="87.67"/>
    <m/>
    <s v="6295550536711787,67"/>
    <m/>
    <x v="1"/>
    <n v="87.67"/>
    <n v="0"/>
    <d v="2025-09-25T00:00:00"/>
    <m/>
    <m/>
    <m/>
    <m/>
    <m/>
    <m/>
    <m/>
    <m/>
    <m/>
    <m/>
  </r>
  <r>
    <s v="BIFÁSICO"/>
    <s v="10/31292-6"/>
    <n v="67996266684"/>
    <n v="62955505016080"/>
    <s v="energisa_ms"/>
    <s v="Igreja do Evangelho Quadrangular"/>
    <x v="5"/>
    <s v="10/237441-145658"/>
    <s v="SIM"/>
    <n v="120"/>
    <n v="228.74"/>
    <n v="199.51750000000001"/>
    <s v="Aprovado"/>
    <n v="116.88999999999999"/>
    <n v="87.67"/>
    <m/>
    <m/>
    <n v="87.67"/>
    <m/>
    <s v="6295550501608087,67"/>
    <m/>
    <x v="1"/>
    <n v="87.67"/>
    <n v="0"/>
    <m/>
    <m/>
    <m/>
    <m/>
    <m/>
    <m/>
    <m/>
    <m/>
    <m/>
    <m/>
    <m/>
  </r>
  <r>
    <s v="BIFÁSICO"/>
    <s v="10/3125732-2"/>
    <n v="65999839279"/>
    <n v="62955505015512"/>
    <s v="energisa_ms"/>
    <s v="Igreja do Evangelho Quadrangular"/>
    <x v="5"/>
    <s v="10/501586-245717"/>
    <s v="SIM"/>
    <n v="120"/>
    <n v="300.73999999999995"/>
    <n v="271.53499999999997"/>
    <s v="Aprovado"/>
    <n v="116.82000000000001"/>
    <n v="87.62"/>
    <m/>
    <m/>
    <n v="87.62"/>
    <m/>
    <s v="6295550501551287,62"/>
    <m/>
    <x v="1"/>
    <n v="87.62"/>
    <n v="0"/>
    <m/>
    <m/>
    <m/>
    <m/>
    <m/>
    <m/>
    <m/>
    <m/>
    <m/>
    <m/>
    <m/>
  </r>
  <r>
    <s v="TRIFÁSICO"/>
    <s v="10/252817-2"/>
    <n v="67992637973"/>
    <n v="62955505274020"/>
    <s v="energisa_ms"/>
    <s v="Igreja do Evangelho Quadrangular"/>
    <x v="5"/>
    <s v="10/480529-745778"/>
    <s v="SIM"/>
    <n v="120"/>
    <n v="301.67"/>
    <n v="272.49"/>
    <s v="Aprovado"/>
    <n v="116.72"/>
    <n v="87.54"/>
    <m/>
    <m/>
    <n v="87.54"/>
    <m/>
    <s v="6295550527402087,54"/>
    <m/>
    <x v="1"/>
    <n v="87.54"/>
    <n v="0"/>
    <m/>
    <m/>
    <m/>
    <m/>
    <m/>
    <m/>
    <m/>
    <m/>
    <m/>
    <m/>
    <m/>
  </r>
  <r>
    <s v="TRIFÁSICO"/>
    <s v="10/52987-5"/>
    <n v="67996983476"/>
    <n v="62955505182257"/>
    <s v="energisa_ms"/>
    <s v="Igreja do Evangelho Quadrangular"/>
    <x v="5"/>
    <s v="10/72605-945778"/>
    <s v="SIM"/>
    <n v="120"/>
    <n v="379.65999999999997"/>
    <n v="350.47999999999996"/>
    <s v="Aprovado"/>
    <n v="116.72000000000001"/>
    <n v="87.54"/>
    <m/>
    <m/>
    <n v="87.54"/>
    <m/>
    <s v="6295550518225787,54"/>
    <m/>
    <x v="1"/>
    <n v="87.54"/>
    <n v="0"/>
    <m/>
    <m/>
    <m/>
    <m/>
    <m/>
    <m/>
    <m/>
    <m/>
    <m/>
    <m/>
    <m/>
  </r>
  <r>
    <s v="TRIFÁSICO"/>
    <s v="10/113971-6"/>
    <n v="67996575782"/>
    <n v="62955505015601"/>
    <s v="energisa_ms"/>
    <s v="Igreja do Evangelho Quadrangular"/>
    <x v="1"/>
    <s v="10/150263-245870"/>
    <s v="SIM"/>
    <n v="97"/>
    <n v="248.93109999999999"/>
    <n v="223.04993965999998"/>
    <s v="Aprovado"/>
    <n v="112.8211"/>
    <n v="86.94"/>
    <d v="2025-09-10T00:00:00"/>
    <d v="2025-09-20T00:00:00"/>
    <n v="86.94"/>
    <s v="Pago por Pix"/>
    <s v="6295550501560186,94"/>
    <s v="09/00012683484-3"/>
    <x v="1"/>
    <n v="86.94"/>
    <n v="0"/>
    <d v="2025-08-28T00:00:00"/>
    <m/>
    <m/>
    <m/>
    <m/>
    <m/>
    <m/>
    <m/>
    <m/>
    <m/>
    <m/>
  </r>
  <r>
    <s v="TRIFÁSICO"/>
    <s v="10/52987-5"/>
    <n v="0"/>
    <n v="62955505182257"/>
    <s v="energisa_ms"/>
    <s v="Igreja do Evangelho Quadrangular"/>
    <x v="0"/>
    <s v="10/2344751-945689"/>
    <s v="SIM"/>
    <n v="111"/>
    <n v="325.9258536585366"/>
    <n v="294.58645760531937"/>
    <s v="Aprovado"/>
    <n v="116.68585365853657"/>
    <n v="85.35"/>
    <d v="2025-10-03T00:00:00"/>
    <d v="2025-10-13T00:00:00"/>
    <n v="85.35"/>
    <m/>
    <s v="6295550518225785,35"/>
    <s v="09/00012851537-4"/>
    <x v="1"/>
    <n v="85.35"/>
    <n v="0"/>
    <m/>
    <m/>
    <m/>
    <m/>
    <m/>
    <m/>
    <m/>
    <m/>
    <m/>
    <m/>
    <m/>
  </r>
  <r>
    <s v="TRIFÁSICO"/>
    <s v="10/1266128-6"/>
    <n v="0"/>
    <n v="62955505379395"/>
    <s v="energisa_ms"/>
    <s v="Igreja do Evangelho Quadrangular"/>
    <x v="2"/>
    <s v="10/175073-645931"/>
    <s v="SIM"/>
    <n v="107"/>
    <n v="225.12722891566264"/>
    <n v="200.27214144486533"/>
    <s v="Aprovado"/>
    <n v="109.99722891566265"/>
    <n v="85.14"/>
    <d v="2025-09-10T00:00:00"/>
    <d v="2025-09-20T00:00:00"/>
    <n v="85.14"/>
    <m/>
    <s v="6295550537939585,14"/>
    <s v="09/00012749682-4"/>
    <x v="1"/>
    <n v="85.14"/>
    <n v="0"/>
    <m/>
    <m/>
    <m/>
    <m/>
    <m/>
    <m/>
    <m/>
    <m/>
    <m/>
    <m/>
    <m/>
  </r>
  <r>
    <s v="TRIFÁSICO"/>
    <s v="10/283183-2"/>
    <s v="16 988508102"/>
    <n v="62955505287601"/>
    <s v="energisa_ms"/>
    <s v="Igreja do Evangelho Quadrangular"/>
    <x v="7"/>
    <s v="10/260761-245717"/>
    <s v="SIM"/>
    <n v="114"/>
    <n v="255.76999999999998"/>
    <n v="227.4025"/>
    <s v="Aprovado"/>
    <n v="113.47"/>
    <n v="85.1"/>
    <m/>
    <m/>
    <n v="85.1"/>
    <m/>
    <s v="6295550528760185,1"/>
    <m/>
    <x v="1"/>
    <n v="85.1"/>
    <n v="0"/>
    <m/>
    <m/>
    <m/>
    <m/>
    <m/>
    <m/>
    <m/>
    <m/>
    <m/>
    <m/>
    <m/>
  </r>
  <r>
    <s v="MONOFÁSICO"/>
    <s v="10/1548741-6"/>
    <s v="67 81355403"/>
    <n v="62955505084751"/>
    <s v="energisa_ms"/>
    <s v="Igreja do Evangelho Quadrangular"/>
    <x v="3"/>
    <s v="10/24514-245778"/>
    <s v="SIM"/>
    <n v="100"/>
    <n v="209.70615384615388"/>
    <n v="182.8736099926432"/>
    <s v="Aprovado"/>
    <n v="113.09615384615384"/>
    <n v="84.82"/>
    <d v="2025-07-22T00:00:00"/>
    <d v="2025-08-02T00:00:00"/>
    <n v="84.82"/>
    <m/>
    <s v="6295550508475184,82"/>
    <s v="09/00012472760-1"/>
    <x v="1"/>
    <n v="84.82"/>
    <n v="0"/>
    <s v="06/08/2025"/>
    <m/>
    <m/>
    <m/>
    <m/>
    <m/>
    <m/>
    <m/>
    <m/>
    <m/>
    <m/>
  </r>
  <r>
    <s v="MONOFÁSICO"/>
    <s v="10/384823-1"/>
    <n v="67999159477"/>
    <n v="62955505000167"/>
    <s v="energisa_ms"/>
    <s v="Igreja do Evangelho Quadrangular"/>
    <x v="5"/>
    <s v="10/8777-545839"/>
    <s v="SIM"/>
    <n v="102"/>
    <n v="146.31"/>
    <n v="118.08250011000001"/>
    <s v="Aprovado"/>
    <n v="112.90999956"/>
    <n v="84.68"/>
    <m/>
    <m/>
    <n v="84.68"/>
    <m/>
    <s v="6295550500016784,68"/>
    <m/>
    <x v="1"/>
    <n v="112.91"/>
    <n v="28.22999999999999"/>
    <d v="2025-09-17T00:00:00"/>
    <m/>
    <m/>
    <m/>
    <m/>
    <m/>
    <m/>
    <m/>
    <m/>
    <m/>
    <m/>
  </r>
  <r>
    <s v="BIFÁSICO"/>
    <s v="10/466560-0"/>
    <n v="67998302932"/>
    <n v="62955505015512"/>
    <s v="energisa_ms"/>
    <s v="Igreja do Evangelho Quadrangular"/>
    <x v="8"/>
    <s v="10/341308-545658"/>
    <s v="SIM"/>
    <n v="115"/>
    <n v="247.95482758620693"/>
    <n v="220.06112068965518"/>
    <s v="Aprovado"/>
    <n v="111.57482758620694"/>
    <n v="83.68"/>
    <m/>
    <m/>
    <n v="83.68"/>
    <m/>
    <s v="6295550501551283,68"/>
    <m/>
    <x v="1"/>
    <n v="83.68"/>
    <n v="0"/>
    <m/>
    <m/>
    <m/>
    <m/>
    <m/>
    <m/>
    <m/>
    <m/>
    <m/>
    <m/>
    <m/>
  </r>
  <r>
    <s v="MONOFÁSICO"/>
    <s v="10/150263-2"/>
    <n v="67992337953"/>
    <n v="62955505091456"/>
    <s v="energisa_ms"/>
    <s v="Igreja do Evangelho Quadrangular"/>
    <x v="3"/>
    <s v="10/384823-145870"/>
    <s v="SIM"/>
    <n v="104"/>
    <n v="194.07"/>
    <n v="167.76087553619766"/>
    <s v="Aprovado"/>
    <n v="110.88999999999999"/>
    <n v="83.17"/>
    <d v="2025-07-22T00:00:00"/>
    <d v="2025-08-02T00:00:00"/>
    <n v="83.17"/>
    <m/>
    <s v="6295550509145683,17"/>
    <s v="09/00012472753-6"/>
    <x v="3"/>
    <n v="0"/>
    <n v="-83.17"/>
    <m/>
    <m/>
    <m/>
    <m/>
    <m/>
    <m/>
    <m/>
    <m/>
    <m/>
    <m/>
    <m/>
  </r>
  <r>
    <s v="BIFÁSICO"/>
    <s v="10/226667-4"/>
    <n v="67992637973"/>
    <n v="62955505040894"/>
    <s v="energisa_ms"/>
    <s v="Igreja do Evangelho Quadrangular"/>
    <x v="6"/>
    <s v="10/76927-345931"/>
    <s v="SIM"/>
    <n v="99"/>
    <n v="196.95999999999998"/>
    <n v="169.33499999999998"/>
    <s v="Aprovado"/>
    <n v="110.5"/>
    <n v="82.88"/>
    <m/>
    <m/>
    <n v="82.88"/>
    <m/>
    <s v="6295550504089482,88"/>
    <m/>
    <x v="1"/>
    <n v="82.88"/>
    <n v="0"/>
    <m/>
    <m/>
    <m/>
    <m/>
    <m/>
    <m/>
    <m/>
    <m/>
    <m/>
    <m/>
    <m/>
  </r>
  <r>
    <s v="TRIFÁSICO"/>
    <s v="10/24514-2"/>
    <n v="67996266684"/>
    <n v="62955505157066"/>
    <s v="energisa_ms"/>
    <s v="Igreja do Evangelho Quadrangular"/>
    <x v="9"/>
    <s v="10/505854-045778"/>
    <s v="SIM"/>
    <n v="107"/>
    <n v="235.13614457831326"/>
    <n v="203.18107383744984"/>
    <s v="Aprovado"/>
    <n v="114.25614457831327"/>
    <n v="82.3"/>
    <d v="2025-11-06T00:00:00"/>
    <d v="2025-11-13T00:00:00"/>
    <n v="82.3"/>
    <m/>
    <s v="6295550515706682,3"/>
    <s v="09/00013026923-4"/>
    <x v="1"/>
    <n v="82.3"/>
    <n v="0"/>
    <m/>
    <m/>
    <m/>
    <m/>
    <m/>
    <m/>
    <m/>
    <m/>
    <m/>
    <m/>
    <m/>
  </r>
  <r>
    <s v="MONOFÁSICO"/>
    <s v="10/150263-2"/>
    <s v="Solicitação de distrato"/>
    <n v="62955505091456"/>
    <s v="energisa_ms"/>
    <s v="Igreja do Evangelho Quadrangular"/>
    <x v="0"/>
    <s v="10/104720-845658"/>
    <s v="SIM"/>
    <n v="93"/>
    <m/>
    <m/>
    <s v="Não emitido"/>
    <n v="178.13900000000001"/>
    <n v="82.19"/>
    <m/>
    <m/>
    <m/>
    <s v="Ameaça judicialização"/>
    <s v="6295550509145682,19"/>
    <m/>
    <x v="0"/>
    <m/>
    <n v="0"/>
    <m/>
    <m/>
    <m/>
    <m/>
    <m/>
    <m/>
    <m/>
    <m/>
    <m/>
    <m/>
    <m/>
  </r>
  <r>
    <s v="BIFÁSICO"/>
    <s v="10/10232-7"/>
    <s v="67 996415566"/>
    <n v="62955505393207"/>
    <s v="energisa_ms"/>
    <s v="Igreja do Evangelho Quadrangular"/>
    <x v="8"/>
    <s v="10/1548741-645658"/>
    <s v="SIM"/>
    <n v="96"/>
    <n v="188.2208"/>
    <n v="160.82810000000001"/>
    <s v="Aprovado"/>
    <n v="109.57079999999999"/>
    <n v="82.18"/>
    <m/>
    <m/>
    <n v="82.18"/>
    <m/>
    <s v="6295550539320782,18"/>
    <m/>
    <x v="1"/>
    <n v="82.18"/>
    <n v="0"/>
    <m/>
    <m/>
    <m/>
    <m/>
    <m/>
    <m/>
    <m/>
    <m/>
    <m/>
    <m/>
    <m/>
  </r>
  <r>
    <s v="BIFÁSICO"/>
    <s v="10/218777-1"/>
    <n v="67999031330"/>
    <n v="62955505017051"/>
    <s v="energisa_ms"/>
    <s v="Igreja do Evangelho Quadrangular"/>
    <x v="7"/>
    <s v="10/29964-445748"/>
    <s v="SIM"/>
    <n v="98"/>
    <n v="159.05999999999997"/>
    <n v="131.71499999999997"/>
    <s v="Aprovado"/>
    <n v="109.38000000000002"/>
    <n v="82.04"/>
    <m/>
    <m/>
    <n v="82.04"/>
    <m/>
    <s v="6295550501705182,04"/>
    <m/>
    <x v="1"/>
    <n v="82.04"/>
    <n v="0"/>
    <m/>
    <m/>
    <n v="283032"/>
    <n v="502"/>
    <s v="Igreja do Evangelho Quadrangular"/>
    <s v="'62955505016837'"/>
    <n v="119.09"/>
    <m/>
    <s v="A Unidade Consumidora 10/78338-1 economizou R$39,7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"/>
    <s v="regiao371@gmail.com "/>
    <m/>
  </r>
  <r>
    <s v="TRIFÁSICO"/>
    <s v="10/135237-6"/>
    <n v="67996446178"/>
    <n v="62955505080098"/>
    <s v="energisa_ms"/>
    <s v="Igreja do Evangelho Quadrangular"/>
    <x v="4"/>
    <s v="10/78338-145931"/>
    <s v="SIM"/>
    <n v="97"/>
    <n v="238.08"/>
    <n v="211.01500000000001"/>
    <s v="Aprovado"/>
    <n v="156.82"/>
    <n v="81.2"/>
    <m/>
    <m/>
    <n v="81.2"/>
    <m/>
    <s v="6295550508009881,2"/>
    <m/>
    <x v="1"/>
    <n v="81.2"/>
    <n v="0"/>
    <m/>
    <m/>
    <m/>
    <m/>
    <m/>
    <m/>
    <m/>
    <m/>
    <m/>
    <m/>
    <m/>
  </r>
  <r>
    <s v="BIFÁSICO"/>
    <s v="10/466560-0"/>
    <n v="0"/>
    <n v="62955505015512"/>
    <s v="energisa_ms"/>
    <s v="Igreja do Evangelho Quadrangular"/>
    <x v="2"/>
    <s v="10/18015-845627"/>
    <s v="SIM"/>
    <n v="104"/>
    <n v="248.83750000000001"/>
    <n v="225.16412747719482"/>
    <s v="Aprovado"/>
    <n v="104.7675"/>
    <n v="81.09"/>
    <d v="2025-09-10T00:00:00"/>
    <d v="2025-09-20T00:00:00"/>
    <n v="81.09"/>
    <m/>
    <s v="6295550501551281,09"/>
    <s v="09/00012749708-7"/>
    <x v="1"/>
    <n v="81.09"/>
    <n v="0"/>
    <m/>
    <m/>
    <m/>
    <m/>
    <m/>
    <m/>
    <m/>
    <m/>
    <m/>
    <m/>
    <m/>
  </r>
  <r>
    <s v="BIFÁSICO"/>
    <s v="10/3125732-2"/>
    <n v="65999839279"/>
    <n v="62955505015512"/>
    <s v="energisa_ms"/>
    <s v="Igreja do Evangelho Quadrangular"/>
    <x v="1"/>
    <s v="10/530195-745717"/>
    <s v="SIM"/>
    <n v="103"/>
    <n v="217.83545454545458"/>
    <n v="194.05918727272729"/>
    <s v="Aprovado"/>
    <n v="104.65545454545455"/>
    <n v="80.88"/>
    <d v="2025-09-10T00:00:00"/>
    <d v="2025-09-20T00:00:00"/>
    <n v="80.88"/>
    <m/>
    <s v="6295550501551280,88"/>
    <s v="09/00012683527-9"/>
    <x v="1"/>
    <n v="104.66"/>
    <n v="23.78"/>
    <d v="2025-09-02T00:00:00"/>
    <m/>
    <m/>
    <m/>
    <m/>
    <m/>
    <m/>
    <m/>
    <m/>
    <m/>
    <m/>
  </r>
  <r>
    <s v="TRIFÁSICO"/>
    <s v="10/532081-7"/>
    <s v="67 992321318"/>
    <n v="62955505193534"/>
    <s v="energisa_ms"/>
    <s v="Igreja do Evangelho Quadrangular"/>
    <x v="1"/>
    <s v="10/501586-245689"/>
    <s v="SIM"/>
    <n v="88"/>
    <n v="254.65559999999999"/>
    <n v="231.17751935999996"/>
    <s v="Aprovado"/>
    <n v="104.19560000000001"/>
    <n v="80.72"/>
    <d v="2025-09-10T00:00:00"/>
    <d v="2025-09-20T00:00:00"/>
    <n v="80.72"/>
    <m/>
    <s v="6295550519353480,72"/>
    <s v="09/00012683481-9"/>
    <x v="1"/>
    <n v="80.72"/>
    <n v="0"/>
    <m/>
    <m/>
    <m/>
    <m/>
    <m/>
    <m/>
    <m/>
    <m/>
    <m/>
    <m/>
    <m/>
  </r>
  <r>
    <s v="MONOFÁSICO"/>
    <s v="10/1548741-6"/>
    <s v="67 81355403"/>
    <n v="62955505084751"/>
    <s v="energisa_ms"/>
    <s v="Igreja do Evangelho Quadrangular"/>
    <x v="1"/>
    <s v="10/150263-245839"/>
    <s v="SIM"/>
    <n v="94"/>
    <n v="197.3681818181818"/>
    <n v="174.08449890909088"/>
    <s v="Aprovado"/>
    <n v="102.93818181818183"/>
    <n v="79.650000000000006"/>
    <d v="2025-09-10T00:00:00"/>
    <d v="2025-09-20T00:00:00"/>
    <n v="79.650000000000006"/>
    <m/>
    <s v="6295550508475179,65"/>
    <s v="09/00012683488-4"/>
    <x v="1"/>
    <n v="79.650000000000006"/>
    <n v="0"/>
    <m/>
    <m/>
    <m/>
    <m/>
    <m/>
    <m/>
    <m/>
    <m/>
    <m/>
    <m/>
    <m/>
  </r>
  <r>
    <s v="TRIFÁSICO"/>
    <s v="10/1184751-4"/>
    <n v="0"/>
    <n v="62955505149047"/>
    <s v="energisa_ms"/>
    <s v="Igreja do Evangelho Quadrangular"/>
    <x v="2"/>
    <s v="10/466560-045689"/>
    <s v="SIM"/>
    <n v="88"/>
    <n v="407.24114285714285"/>
    <n v="384.03920574950433"/>
    <s v="Aprovado"/>
    <n v="102.68114285714285"/>
    <n v="79.48"/>
    <d v="2025-09-10T00:00:00"/>
    <d v="2025-09-20T00:00:00"/>
    <n v="79.48"/>
    <m/>
    <s v="6295550514904779,48"/>
    <s v="09/00012749651-9"/>
    <x v="1"/>
    <n v="79.48"/>
    <n v="0"/>
    <m/>
    <m/>
    <m/>
    <m/>
    <m/>
    <m/>
    <m/>
    <m/>
    <m/>
    <m/>
    <m/>
  </r>
  <r>
    <s v="TRIFÁSICO"/>
    <s v="10/280638-8"/>
    <s v="67 81355403"/>
    <n v="62955505843253"/>
    <s v="energisa_ms"/>
    <s v="Igreja do Evangelho Quadrangular"/>
    <x v="1"/>
    <s v="10/135237-645689"/>
    <s v="SIM"/>
    <n v="102"/>
    <n v="245.6490361445783"/>
    <n v="222.10593525301201"/>
    <s v="Aprovado"/>
    <n v="102.62903614457829"/>
    <n v="79.09"/>
    <d v="2025-09-10T00:00:00"/>
    <d v="2025-09-20T00:00:00"/>
    <n v="79.09"/>
    <m/>
    <s v="6295550584325379,09"/>
    <s v="09/00012683522-0"/>
    <x v="1"/>
    <n v="79.09"/>
    <n v="0"/>
    <m/>
    <m/>
    <m/>
    <m/>
    <m/>
    <m/>
    <m/>
    <m/>
    <m/>
    <m/>
    <m/>
  </r>
  <r>
    <s v="TRIFÁSICO"/>
    <s v="10/78338-1"/>
    <n v="0"/>
    <n v="62955505016837"/>
    <s v="energisa_ms"/>
    <s v="Igreja do Evangelho Quadrangular"/>
    <x v="2"/>
    <s v="10/1035655-845627"/>
    <s v="SIM"/>
    <n v="100"/>
    <n v="240.18142857142857"/>
    <n v="217.28221468768905"/>
    <s v="Aprovado"/>
    <n v="101.34142857142857"/>
    <n v="78.44"/>
    <d v="2025-09-10T00:00:00"/>
    <d v="2025-09-20T00:00:00"/>
    <n v="78.44"/>
    <m/>
    <s v="6295550501683778,44"/>
    <s v="09/00012749698-0"/>
    <x v="1"/>
    <n v="78.44"/>
    <n v="0"/>
    <m/>
    <m/>
    <m/>
    <m/>
    <m/>
    <m/>
    <m/>
    <m/>
    <m/>
    <m/>
    <m/>
  </r>
  <r>
    <s v="TRIFÁSICO"/>
    <s v="10/156956-5"/>
    <s v="67 998338301"/>
    <n v="62955505015350"/>
    <s v="energisa_ms"/>
    <s v="Igreja do Evangelho Quadrangular"/>
    <x v="3"/>
    <s v="10/1130988-745658"/>
    <s v="SIM"/>
    <n v="89"/>
    <n v="262.04059999999998"/>
    <n v="237.50836756216216"/>
    <s v="Aprovado"/>
    <n v="103.4006"/>
    <n v="77.55"/>
    <d v="2025-07-22T00:00:00"/>
    <d v="2025-08-02T00:00:00"/>
    <n v="77.55"/>
    <m/>
    <s v="6295550501535077,55"/>
    <s v="09/00012472749-4"/>
    <x v="1"/>
    <n v="77.55"/>
    <n v="0"/>
    <s v="04/08/2025"/>
    <m/>
    <m/>
    <m/>
    <m/>
    <m/>
    <m/>
    <m/>
    <m/>
    <m/>
    <m/>
  </r>
  <r>
    <s v="TRIFÁSICO"/>
    <s v="10/276283-9"/>
    <s v="46 999066691"/>
    <n v="62955505177504"/>
    <s v="energisa_ms"/>
    <s v="Igreja do Evangelho Quadrangular"/>
    <x v="5"/>
    <s v="10/504844-245748"/>
    <s v="SIM"/>
    <n v="92"/>
    <n v="251.89999999999998"/>
    <n v="226.09749999999997"/>
    <s v="Aprovado"/>
    <n v="103.21"/>
    <n v="77.41"/>
    <m/>
    <m/>
    <n v="77.41"/>
    <m/>
    <s v="6295550517750477,41"/>
    <m/>
    <x v="1"/>
    <n v="77.41"/>
    <n v="0"/>
    <m/>
    <m/>
    <m/>
    <m/>
    <m/>
    <m/>
    <m/>
    <m/>
    <m/>
    <m/>
    <m/>
  </r>
  <r>
    <s v="BIFÁSICO"/>
    <s v="10/31292-6"/>
    <n v="67996266684"/>
    <n v="62955505016080"/>
    <s v="energisa_ms"/>
    <s v="Igreja do Evangelho Quadrangular"/>
    <x v="7"/>
    <s v="10/3030784-745931"/>
    <s v="SIM"/>
    <n v="92"/>
    <n v="198.13"/>
    <n v="172.45750000000004"/>
    <s v="Aprovado"/>
    <n v="102.68999999999998"/>
    <n v="77.02"/>
    <m/>
    <m/>
    <n v="77.02"/>
    <m/>
    <s v="6295550501608077,02"/>
    <m/>
    <x v="1"/>
    <n v="77.02"/>
    <n v="0"/>
    <m/>
    <m/>
    <m/>
    <m/>
    <m/>
    <m/>
    <m/>
    <m/>
    <m/>
    <m/>
    <m/>
  </r>
  <r>
    <s v="BIFÁSICO"/>
    <s v="10/952579-1"/>
    <n v="67996150274"/>
    <n v="62955505897930"/>
    <s v="energisa_ms"/>
    <s v="Igreja do Evangelho Quadrangular"/>
    <x v="6"/>
    <s v="10/510330-445901"/>
    <s v="SIM"/>
    <n v="105"/>
    <n v="162.76"/>
    <n v="137.19499999999999"/>
    <s v="Aprovado"/>
    <n v="102.25999999999999"/>
    <n v="76.7"/>
    <m/>
    <m/>
    <n v="76.7"/>
    <m/>
    <s v="6295550589793076,7"/>
    <m/>
    <x v="1"/>
    <n v="76.7"/>
    <n v="0"/>
    <m/>
    <m/>
    <m/>
    <m/>
    <m/>
    <m/>
    <m/>
    <m/>
    <m/>
    <m/>
    <s v="DEPÓSITO ÚNICO ITAU 30/05/2025"/>
  </r>
  <r>
    <s v="TRIFÁSICO"/>
    <s v="10/113971-6"/>
    <s v="Solicitação de distrato"/>
    <n v="62955505015601"/>
    <s v="energisa_ms"/>
    <s v="Igreja do Evangelho Quadrangular"/>
    <x v="2"/>
    <s v="10/466560-045717"/>
    <s v="SIM"/>
    <n v="84"/>
    <n v="234.22720000000004"/>
    <n v="212.10850717241198"/>
    <s v="Aprovado"/>
    <n v="97.887200000000007"/>
    <n v="75.77"/>
    <d v="2025-09-10T00:00:00"/>
    <d v="2025-09-20T00:00:00"/>
    <n v="75.77"/>
    <m/>
    <s v="6295550501560175,77"/>
    <s v="09/00012749650-1"/>
    <x v="1"/>
    <n v="75.77"/>
    <n v="0"/>
    <m/>
    <m/>
    <m/>
    <m/>
    <m/>
    <m/>
    <m/>
    <m/>
    <m/>
    <m/>
    <m/>
  </r>
  <r>
    <s v="TRIFÁSICO"/>
    <s v="10/72605-9"/>
    <n v="67996071169"/>
    <n v="62955505136492"/>
    <s v="energisa_ms"/>
    <s v="Igreja do Evangelho Quadrangular"/>
    <x v="3"/>
    <s v="10/1130988-745717"/>
    <s v="SIM"/>
    <n v="100"/>
    <n v="252.61265060240964"/>
    <n v="228.74187102506409"/>
    <s v="Aprovado"/>
    <n v="100.61265060240964"/>
    <n v="75.459999999999994"/>
    <d v="2025-07-22T00:00:00"/>
    <d v="2025-08-02T00:00:00"/>
    <n v="75.459999999999994"/>
    <m/>
    <s v="6295550513649275,46"/>
    <s v="09/00012472783-3"/>
    <x v="1"/>
    <n v="75.459999999999994"/>
    <n v="0"/>
    <s v="05/08/2025"/>
    <m/>
    <m/>
    <m/>
    <m/>
    <m/>
    <m/>
    <m/>
    <m/>
    <m/>
    <m/>
  </r>
  <r>
    <s v="BIFÁSICO"/>
    <s v="10/3125732-2"/>
    <n v="65999839279"/>
    <n v="62955505015512"/>
    <s v="energisa_ms"/>
    <s v="Igreja do Evangelho Quadrangular"/>
    <x v="8"/>
    <s v="10/480529-745658"/>
    <s v="SIM"/>
    <n v="103"/>
    <n v="286.45987500000001"/>
    <n v="261.38490624999997"/>
    <s v="Aprovado"/>
    <n v="100.299875"/>
    <n v="75.22"/>
    <m/>
    <m/>
    <n v="75.22"/>
    <m/>
    <s v="6295550501551275,22"/>
    <m/>
    <x v="1"/>
    <n v="75.22"/>
    <n v="0"/>
    <m/>
    <m/>
    <m/>
    <m/>
    <m/>
    <m/>
    <m/>
    <m/>
    <m/>
    <m/>
    <m/>
  </r>
  <r>
    <s v="BIFÁSICO"/>
    <s v="10/1130988-7"/>
    <n v="67992637973"/>
    <n v="62955505040894"/>
    <s v="energisa_ms"/>
    <s v="Igreja do Evangelho Quadrangular"/>
    <x v="5"/>
    <s v="10/72605-945748"/>
    <s v="SIM"/>
    <n v="103"/>
    <n v="281.55"/>
    <n v="256.53750000000002"/>
    <s v="Aprovado"/>
    <n v="100.05000000000001"/>
    <n v="75.040000000000006"/>
    <m/>
    <m/>
    <n v="75.040000000000006"/>
    <m/>
    <s v="6295550504089475,04"/>
    <m/>
    <x v="1"/>
    <n v="75.040000000000006"/>
    <n v="0"/>
    <m/>
    <m/>
    <m/>
    <m/>
    <m/>
    <m/>
    <m/>
    <m/>
    <m/>
    <m/>
    <m/>
  </r>
  <r>
    <s v="TRIFÁSICO"/>
    <s v="10/1288241-1"/>
    <n v="67991133770"/>
    <n v="62955505335851"/>
    <s v="energisa_ms"/>
    <s v="Igreja do Evangelho Quadrangular"/>
    <x v="8"/>
    <s v="10/113971-645901"/>
    <s v="SIM"/>
    <n v="103"/>
    <n v="280.90136054421771"/>
    <n v="255.94852040816329"/>
    <s v="Aprovado"/>
    <n v="99.811360544217678"/>
    <n v="74.86"/>
    <m/>
    <m/>
    <n v="74.86"/>
    <m/>
    <s v="6295550533585174,86"/>
    <m/>
    <x v="1"/>
    <n v="99.81"/>
    <n v="24.950000000000003"/>
    <d v="2025-11-07T00:00:00"/>
    <m/>
    <m/>
    <m/>
    <m/>
    <m/>
    <m/>
    <m/>
    <m/>
    <m/>
    <m/>
  </r>
  <r>
    <s v="BIFÁSICO"/>
    <s v="10/952579-1"/>
    <n v="67996150274"/>
    <n v="62955505897930"/>
    <s v="energisa_ms"/>
    <s v="Igreja do Evangelho Quadrangular"/>
    <x v="1"/>
    <s v="10/1117293-945931"/>
    <s v="SIM"/>
    <n v="96"/>
    <n v="158.58294117647057"/>
    <n v="136.42681447058823"/>
    <s v="Aprovado"/>
    <n v="96.58294117647057"/>
    <n v="74.430000000000007"/>
    <d v="2025-09-10T00:00:00"/>
    <d v="2025-09-20T00:00:00"/>
    <n v="74.430000000000007"/>
    <m/>
    <s v="6295550589793074,43"/>
    <s v="09/00012683529-5"/>
    <x v="1"/>
    <n v="74.430000000000007"/>
    <n v="0"/>
    <m/>
    <m/>
    <m/>
    <m/>
    <m/>
    <m/>
    <m/>
    <m/>
    <m/>
    <m/>
    <m/>
  </r>
  <r>
    <s v="BIFÁSICO"/>
    <s v="10/452884-0"/>
    <s v="67 996469842"/>
    <n v="62955505000167"/>
    <s v="energisa_ms"/>
    <s v="Igreja do Evangelho Quadrangular"/>
    <x v="8"/>
    <s v="10/1548741-645748"/>
    <s v="SIM"/>
    <n v="89"/>
    <n v="327.23270408163268"/>
    <n v="302.5720280612245"/>
    <s v="Aprovado"/>
    <n v="98.642704081632644"/>
    <n v="73.98"/>
    <m/>
    <m/>
    <n v="73.98"/>
    <m/>
    <s v="6295550500016773,98"/>
    <m/>
    <x v="1"/>
    <n v="98.64"/>
    <n v="24.659999999999997"/>
    <d v="2025-09-26T00:00:00"/>
    <m/>
    <m/>
    <m/>
    <m/>
    <m/>
    <m/>
    <m/>
    <m/>
    <m/>
    <m/>
  </r>
  <r>
    <s v="TRIFÁSICO"/>
    <s v="10/24514-2"/>
    <n v="0"/>
    <n v="62955505157066"/>
    <s v="energisa_ms"/>
    <s v="Igreja do Evangelho Quadrangular"/>
    <x v="0"/>
    <s v="10/8777-545717"/>
    <s v="SIM"/>
    <n v="96"/>
    <n v="218.67482352941175"/>
    <n v="191.5711985134466"/>
    <s v="Aprovado"/>
    <n v="100.91482352941176"/>
    <n v="73.81"/>
    <d v="2025-10-03T00:00:00"/>
    <d v="2025-10-13T00:00:00"/>
    <n v="73.81"/>
    <m/>
    <s v="6295550515706673,81"/>
    <s v="09/00012851543-2"/>
    <x v="1"/>
    <n v="73.81"/>
    <n v="0"/>
    <m/>
    <m/>
    <m/>
    <m/>
    <m/>
    <m/>
    <m/>
    <m/>
    <m/>
    <m/>
    <m/>
  </r>
  <r>
    <s v="TRIFÁSICO"/>
    <s v="10/202838-9"/>
    <n v="67992637973"/>
    <n v="62955505016403"/>
    <s v="energisa_ms"/>
    <s v="Igreja do Evangelho Quadrangular"/>
    <x v="3"/>
    <s v="10/952579-145778"/>
    <s v="SIM"/>
    <n v="84"/>
    <n v="739.6990825688074"/>
    <n v="716.37246176918961"/>
    <s v="Aprovado"/>
    <n v="98.319082568807346"/>
    <n v="73.739999999999995"/>
    <d v="2025-07-22T00:00:00"/>
    <d v="2025-08-02T00:00:00"/>
    <n v="73.739999999999995"/>
    <m/>
    <s v="6295550501640373,74"/>
    <s v="09/00012472765-0"/>
    <x v="1"/>
    <n v="73.739999999999995"/>
    <n v="0"/>
    <s v="05/08/2025"/>
    <m/>
    <m/>
    <m/>
    <m/>
    <m/>
    <m/>
    <m/>
    <m/>
    <m/>
    <m/>
  </r>
  <r>
    <s v="TRIFÁSICO"/>
    <s v="10/501586-2"/>
    <s v="67 92480766"/>
    <n v="62955505273058"/>
    <s v="energisa_ms"/>
    <s v="Igreja do Evangelho Quadrangular"/>
    <x v="1"/>
    <s v="10/1695011-545809"/>
    <s v="SIM"/>
    <n v="85"/>
    <n v="211.72684210526319"/>
    <n v="190.30848852631578"/>
    <s v="Aprovado"/>
    <n v="94.106842105263183"/>
    <n v="72.69"/>
    <d v="2025-09-10T00:00:00"/>
    <d v="2025-09-20T00:00:00"/>
    <n v="72.69"/>
    <m/>
    <s v="6295550527305872,69"/>
    <s v="09/00012683536-0"/>
    <x v="1"/>
    <n v="72.69"/>
    <n v="0"/>
    <m/>
    <m/>
    <m/>
    <m/>
    <m/>
    <m/>
    <m/>
    <m/>
    <m/>
    <m/>
    <m/>
  </r>
  <r>
    <s v="TRIFÁSICO"/>
    <s v="10/987178-1"/>
    <n v="67993496482"/>
    <n v="62955505015512"/>
    <s v="energisa_ms"/>
    <s v="Igreja do Evangelho Quadrangular"/>
    <x v="1"/>
    <s v="10/283183-245901"/>
    <s v="SIM"/>
    <n v="81"/>
    <n v="265.7903"/>
    <n v="244.18075118000002"/>
    <s v="Aprovado"/>
    <n v="94.200299999999999"/>
    <n v="72.59"/>
    <d v="2025-09-10T00:00:00"/>
    <d v="2025-09-20T00:00:00"/>
    <n v="72.59"/>
    <m/>
    <s v="6295550501551272,59"/>
    <s v="09/00012683538-6"/>
    <x v="1"/>
    <n v="72.59"/>
    <n v="0"/>
    <m/>
    <m/>
    <m/>
    <m/>
    <m/>
    <m/>
    <m/>
    <m/>
    <m/>
    <m/>
    <m/>
  </r>
  <r>
    <s v="TRIFÁSICO"/>
    <s v="10/501586-2"/>
    <n v="0"/>
    <n v="62955505273058"/>
    <s v="energisa_ms"/>
    <s v="Igreja do Evangelho Quadrangular"/>
    <x v="2"/>
    <s v="10/283183-245809"/>
    <s v="SIM"/>
    <n v="85"/>
    <n v="209.79999999999998"/>
    <n v="188.62067237871923"/>
    <s v="Aprovado"/>
    <n v="93.73"/>
    <n v="72.55"/>
    <d v="2025-09-10T00:00:00"/>
    <d v="2025-09-20T00:00:00"/>
    <n v="72.55"/>
    <m/>
    <s v="6295550527305872,55"/>
    <s v="09/00012749666-7"/>
    <x v="1"/>
    <n v="72.55"/>
    <n v="0"/>
    <m/>
    <m/>
    <m/>
    <m/>
    <m/>
    <m/>
    <m/>
    <m/>
    <m/>
    <m/>
    <m/>
  </r>
  <r>
    <s v="BIFÁSICO"/>
    <s v="10/175073-6"/>
    <n v="67999516782"/>
    <n v="62955505134449"/>
    <s v="energisa_ms"/>
    <s v="Igreja do Evangelho Quadrangular"/>
    <x v="3"/>
    <s v="10/1288241-145658"/>
    <s v="SIM"/>
    <n v="95"/>
    <n v="175.74705882352941"/>
    <n v="152.88830905069582"/>
    <s v="Aprovado"/>
    <n v="96.347058823529409"/>
    <n v="72.260000000000005"/>
    <d v="2025-07-22T00:00:00"/>
    <d v="2025-08-02T00:00:00"/>
    <n v="72.260000000000005"/>
    <m/>
    <s v="6295550513444972,26"/>
    <s v="09/00012472780-9"/>
    <x v="1"/>
    <n v="72.260000000000005"/>
    <n v="0"/>
    <m/>
    <m/>
    <m/>
    <m/>
    <m/>
    <m/>
    <m/>
    <m/>
    <m/>
    <m/>
    <m/>
  </r>
  <r>
    <s v="TRIFÁSICO"/>
    <s v="10/24514-2"/>
    <n v="0"/>
    <n v="62955505157066"/>
    <s v="energisa_ms"/>
    <s v="Igreja do Evangelho Quadrangular"/>
    <x v="2"/>
    <s v="10/135237-645627"/>
    <s v="SIM"/>
    <n v="92"/>
    <n v="207.09329411764705"/>
    <n v="186.03072189129"/>
    <s v="Aprovado"/>
    <n v="93.213294117647052"/>
    <n v="72.150000000000006"/>
    <d v="2025-09-10T00:00:00"/>
    <d v="2025-09-20T00:00:00"/>
    <n v="72.150000000000006"/>
    <m/>
    <s v="6295550515706672,15"/>
    <s v="09/00012749702-0"/>
    <x v="1"/>
    <n v="72.150000000000006"/>
    <n v="0"/>
    <m/>
    <m/>
    <m/>
    <m/>
    <m/>
    <m/>
    <m/>
    <m/>
    <m/>
    <m/>
    <m/>
  </r>
  <r>
    <s v="TRIFÁSICO"/>
    <s v="10/52987-5"/>
    <n v="0"/>
    <n v="62955505182257"/>
    <s v="energisa_ms"/>
    <s v="Igreja do Evangelho Quadrangular"/>
    <x v="2"/>
    <s v="10/1548741-645627"/>
    <s v="SIM"/>
    <n v="91"/>
    <n v="252.33352941176472"/>
    <n v="231.29124051107402"/>
    <s v="Aprovado"/>
    <n v="93.123529411764721"/>
    <n v="72.08"/>
    <d v="2025-09-10T00:00:00"/>
    <d v="2025-09-20T00:00:00"/>
    <n v="72.08"/>
    <m/>
    <s v="6295550518225772,08"/>
    <s v="09/00012749703-8"/>
    <x v="1"/>
    <n v="93.12"/>
    <n v="21.040000000000006"/>
    <d v="2025-10-09T00:00:00"/>
    <m/>
    <m/>
    <m/>
    <m/>
    <m/>
    <m/>
    <m/>
    <m/>
    <m/>
    <m/>
  </r>
  <r>
    <s v="BIFÁSICO"/>
    <s v="10/226667-4"/>
    <n v="67992637973"/>
    <n v="62955505040894"/>
    <s v="energisa_ms"/>
    <s v="Igreja do Evangelho Quadrangular"/>
    <x v="9"/>
    <s v="10/135237-645839"/>
    <s v="SIM"/>
    <n v="82"/>
    <n v="191.27679999999998"/>
    <n v="163.4020659428524"/>
    <s v="Aprovado"/>
    <n v="99.666799999999981"/>
    <n v="71.790000000000006"/>
    <d v="2025-11-06T00:00:00"/>
    <d v="2025-11-13T00:00:00"/>
    <n v="71.790000000000006"/>
    <m/>
    <s v="6295550504089471,79"/>
    <s v="09/00013026980-4"/>
    <x v="1"/>
    <n v="71.790000000000006"/>
    <n v="0"/>
    <m/>
    <m/>
    <m/>
    <m/>
    <m/>
    <m/>
    <m/>
    <m/>
    <m/>
    <m/>
    <m/>
  </r>
  <r>
    <s v="TRIFÁSICO"/>
    <s v="10/1117293-9"/>
    <n v="67999516782"/>
    <n v="62955505892114"/>
    <s v="energisa_ms"/>
    <s v="Igreja do Evangelho Quadrangular"/>
    <x v="4"/>
    <s v="10/3092868-345901"/>
    <s v="SIM"/>
    <n v="85"/>
    <n v="243.27"/>
    <n v="219.55250000000001"/>
    <s v="Aprovado"/>
    <n v="94.87"/>
    <n v="71.150000000000006"/>
    <m/>
    <m/>
    <n v="71.150000000000006"/>
    <m/>
    <s v="6295550589211471,15"/>
    <m/>
    <x v="1"/>
    <n v="71.150000000000006"/>
    <n v="0"/>
    <m/>
    <m/>
    <m/>
    <m/>
    <m/>
    <m/>
    <m/>
    <m/>
    <m/>
    <m/>
    <m/>
  </r>
  <r>
    <s v="TRIFÁSICO"/>
    <s v="10/1288241-1"/>
    <n v="67991133770"/>
    <n v="62955505335851"/>
    <s v="energisa_ms"/>
    <s v="Igreja do Evangelho Quadrangular"/>
    <x v="1"/>
    <s v="10/3054052-045689"/>
    <s v="SIM"/>
    <n v="90"/>
    <n v="206.78117647058826"/>
    <n v="186.00873658823531"/>
    <s v="Aprovado"/>
    <n v="91.55117647058826"/>
    <n v="70.78"/>
    <d v="2025-09-10T00:00:00"/>
    <d v="2025-09-20T00:00:00"/>
    <n v="70.78"/>
    <m/>
    <s v="6295550533585170,78"/>
    <s v="09/00012683528-7"/>
    <x v="1"/>
    <n v="91.55"/>
    <n v="0"/>
    <d v="2025-11-07T00:00:00"/>
    <m/>
    <m/>
    <m/>
    <m/>
    <m/>
    <m/>
    <m/>
    <m/>
    <m/>
    <m/>
  </r>
  <r>
    <s v="TRIFÁSICO"/>
    <s v="10/283183-2"/>
    <s v="16 988508102"/>
    <n v="62955505287601"/>
    <s v="energisa_ms"/>
    <s v="Igreja do Evangelho Quadrangular"/>
    <x v="6"/>
    <s v="10/8777-545901"/>
    <s v="SIM"/>
    <n v="96"/>
    <m/>
    <m/>
    <s v="Aprovado"/>
    <n v="93.510000000000019"/>
    <n v="70.13"/>
    <m/>
    <m/>
    <m/>
    <s v="não emitido pela EGS"/>
    <s v="62955505287601"/>
    <m/>
    <x v="0"/>
    <n v="0"/>
    <n v="0"/>
    <m/>
    <m/>
    <m/>
    <m/>
    <m/>
    <m/>
    <m/>
    <m/>
    <m/>
    <m/>
    <m/>
  </r>
  <r>
    <s v="BIFÁSICO"/>
    <s v="10/952579-1"/>
    <n v="67996150274"/>
    <n v="62955505897930"/>
    <s v="energisa_ms"/>
    <s v="Igreja do Evangelho Quadrangular"/>
    <x v="5"/>
    <s v="10/3040565-845748"/>
    <s v="SIM"/>
    <n v="96"/>
    <n v="177.89"/>
    <n v="154.54750000000001"/>
    <s v="Aprovado"/>
    <n v="93.37"/>
    <n v="70.03"/>
    <m/>
    <m/>
    <n v="70.03"/>
    <m/>
    <s v="6295550589793070,03"/>
    <m/>
    <x v="1"/>
    <n v="70.03"/>
    <n v="0"/>
    <m/>
    <m/>
    <m/>
    <m/>
    <m/>
    <m/>
    <m/>
    <m/>
    <m/>
    <m/>
    <m/>
  </r>
  <r>
    <s v="BIFÁSICO"/>
    <s v="10/511753-6"/>
    <n v="0"/>
    <n v="62955505016080"/>
    <s v="energisa_ms"/>
    <s v="Igreja do Evangelho Quadrangular"/>
    <x v="0"/>
    <s v="10/76927-345689"/>
    <s v="SIM"/>
    <n v="79"/>
    <n v="194.2226"/>
    <n v="168.59138632657235"/>
    <s v="Aprovado"/>
    <n v="95.432599999999994"/>
    <n v="69.8"/>
    <d v="2025-10-03T00:00:00"/>
    <d v="2025-10-13T00:00:00"/>
    <n v="69.8"/>
    <m/>
    <s v="6295550501608069,8"/>
    <s v="09/00012851430-2"/>
    <x v="1"/>
    <n v="95.43"/>
    <n v="25.63000000000001"/>
    <d v="2025-10-30T00:00:00"/>
    <m/>
    <m/>
    <m/>
    <m/>
    <m/>
    <m/>
    <m/>
    <m/>
    <m/>
    <m/>
  </r>
  <r>
    <s v="TRIFÁSICO"/>
    <s v="10/1698130-0"/>
    <n v="0"/>
    <n v="62955505461210"/>
    <s v="energisa_ms"/>
    <s v="Igreja do Evangelho Quadrangular"/>
    <x v="2"/>
    <s v="10/10232-745809"/>
    <s v="SIM"/>
    <n v="77"/>
    <n v="268.75080000000003"/>
    <n v="248.39604938027247"/>
    <s v="Aprovado"/>
    <n v="90.080799999999996"/>
    <n v="69.73"/>
    <d v="2025-09-10T00:00:00"/>
    <d v="2025-09-20T00:00:00"/>
    <n v="69.73"/>
    <m/>
    <s v="6295550546121069,73"/>
    <s v="09/00012749654-3"/>
    <x v="1"/>
    <n v="69.73"/>
    <n v="0"/>
    <m/>
    <m/>
    <m/>
    <m/>
    <m/>
    <m/>
    <m/>
    <m/>
    <m/>
    <m/>
    <m/>
  </r>
  <r>
    <s v="TRIFÁSICO"/>
    <s v="10/1035655-8"/>
    <n v="67996135721"/>
    <n v="62955505182257"/>
    <s v="energisa_ms"/>
    <s v="Igreja do Evangelho Quadrangular"/>
    <x v="1"/>
    <s v="10/501586-245658"/>
    <s v="SIM"/>
    <n v="83"/>
    <n v="292.87224719101124"/>
    <n v="273.06533568539328"/>
    <s v="Aprovado"/>
    <n v="88.992247191011259"/>
    <n v="69.19"/>
    <d v="2025-09-10T00:00:00"/>
    <d v="2025-09-20T00:00:00"/>
    <n v="69.19"/>
    <m/>
    <s v="6295550518225769,19"/>
    <s v="09/00012683532-9"/>
    <x v="1"/>
    <n v="69.19"/>
    <n v="0"/>
    <m/>
    <m/>
    <m/>
    <m/>
    <m/>
    <m/>
    <m/>
    <m/>
    <m/>
    <m/>
    <m/>
  </r>
  <r>
    <s v="TRIFÁSICO"/>
    <s v="10/1433087-2"/>
    <s v="Solicitação de distrato"/>
    <n v="62955505419443"/>
    <s v="energisa_ms"/>
    <s v="Igreja do Evangelho Quadrangular"/>
    <x v="0"/>
    <s v="10/3214521-145658"/>
    <s v="SIM"/>
    <n v="78"/>
    <n v="236.34100000000004"/>
    <n v="211.03251112239678"/>
    <s v="Aprovado"/>
    <n v="94.230999999999995"/>
    <n v="68.92"/>
    <d v="2025-10-03T00:00:00"/>
    <d v="2025-10-13T00:00:00"/>
    <n v="68.92"/>
    <m/>
    <s v="6295550541944368,92"/>
    <s v="09/00012851419-5"/>
    <x v="1"/>
    <n v="68.92"/>
    <n v="0"/>
    <d v="2025-10-24T00:00:00"/>
    <m/>
    <m/>
    <m/>
    <m/>
    <m/>
    <m/>
    <m/>
    <m/>
    <m/>
    <m/>
  </r>
  <r>
    <s v="TRIFÁSICO"/>
    <s v="10/280638-8"/>
    <n v="0"/>
    <n v="62955505843253"/>
    <s v="energisa_ms"/>
    <s v="Igreja do Evangelho Quadrangular"/>
    <x v="2"/>
    <s v="10/135237-645778"/>
    <s v="SIM"/>
    <n v="86"/>
    <n v="228.18"/>
    <n v="208.23667922912369"/>
    <s v="Aprovado"/>
    <n v="88.259999999999991"/>
    <n v="68.319999999999993"/>
    <d v="2025-09-10T00:00:00"/>
    <d v="2025-09-20T00:00:00"/>
    <n v="68.319999999999993"/>
    <m/>
    <s v="6295550584325368,32"/>
    <s v="09/00012749686-5"/>
    <x v="1"/>
    <n v="68.319999999999993"/>
    <n v="0"/>
    <m/>
    <m/>
    <m/>
    <m/>
    <m/>
    <m/>
    <m/>
    <m/>
    <m/>
    <m/>
    <m/>
  </r>
  <r>
    <s v="TRIFÁSICO"/>
    <s v="10/69319-2"/>
    <n v="0"/>
    <n v="62955505182257"/>
    <s v="energisa_ms"/>
    <s v="Igreja do Evangelho Quadrangular"/>
    <x v="2"/>
    <s v="10/257864-945931"/>
    <s v="SIM"/>
    <n v="86"/>
    <n v="244.66"/>
    <n v="224.85903467990153"/>
    <s v="Aprovado"/>
    <n v="87.63"/>
    <n v="67.83"/>
    <d v="2025-09-10T00:00:00"/>
    <d v="2025-09-20T00:00:00"/>
    <n v="67.83"/>
    <m/>
    <s v="6295550518225767,83"/>
    <s v="09/00012749687-3"/>
    <x v="1"/>
    <n v="67.83"/>
    <n v="0"/>
    <m/>
    <m/>
    <m/>
    <m/>
    <m/>
    <m/>
    <m/>
    <m/>
    <m/>
    <m/>
    <m/>
  </r>
  <r>
    <s v="TRIFÁSICO"/>
    <s v="10/72605-9"/>
    <n v="0"/>
    <n v="62955505136492"/>
    <s v="energisa_ms"/>
    <s v="Igreja do Evangelho Quadrangular"/>
    <x v="0"/>
    <s v="10/15297-545717"/>
    <s v="SIM"/>
    <n v="88"/>
    <n v="252.82906976744187"/>
    <n v="227.98305557586241"/>
    <s v="Aprovado"/>
    <n v="92.509069767441872"/>
    <n v="67.66"/>
    <d v="2025-10-03T00:00:00"/>
    <d v="2025-10-13T00:00:00"/>
    <n v="67.66"/>
    <m/>
    <s v="6295550513649267,66"/>
    <s v="09/00012851541-6"/>
    <x v="1"/>
    <n v="67.66"/>
    <n v="0"/>
    <m/>
    <m/>
    <m/>
    <m/>
    <m/>
    <m/>
    <m/>
    <m/>
    <m/>
    <m/>
    <m/>
  </r>
  <r>
    <s v="TRIFÁSICO"/>
    <s v="10/501586-2"/>
    <s v="67 92480766"/>
    <n v="62955505273058"/>
    <s v="energisa_ms"/>
    <s v="Igreja do Evangelho Quadrangular"/>
    <x v="6"/>
    <s v="10/260761-245839"/>
    <s v="SIM"/>
    <n v="80"/>
    <n v="200.92"/>
    <n v="178.59499999999997"/>
    <s v="Aprovado"/>
    <n v="89.3"/>
    <n v="66.98"/>
    <m/>
    <m/>
    <n v="66.98"/>
    <m/>
    <s v="6295550527305866,98"/>
    <m/>
    <x v="1"/>
    <n v="66.98"/>
    <n v="0"/>
    <m/>
    <m/>
    <m/>
    <m/>
    <m/>
    <m/>
    <m/>
    <m/>
    <m/>
    <m/>
    <m/>
  </r>
  <r>
    <s v="BIFÁSICO"/>
    <s v="10/952579-1"/>
    <n v="0"/>
    <n v="62955505897930"/>
    <s v="energisa_ms"/>
    <s v="Igreja do Evangelho Quadrangular"/>
    <x v="2"/>
    <s v="10/1184751-445627"/>
    <s v="SIM"/>
    <n v="84"/>
    <n v="173.55333333333331"/>
    <n v="154.11993129355011"/>
    <s v="Aprovado"/>
    <n v="86.003333333333316"/>
    <n v="66.569999999999993"/>
    <d v="2025-09-10T00:00:00"/>
    <d v="2025-09-20T00:00:00"/>
    <n v="66.569999999999993"/>
    <m/>
    <s v="6295550589793066,57"/>
    <s v="09/00012749701-2"/>
    <x v="1"/>
    <n v="66.569999999999993"/>
    <n v="0"/>
    <m/>
    <m/>
    <m/>
    <m/>
    <m/>
    <m/>
    <m/>
    <m/>
    <m/>
    <m/>
    <m/>
  </r>
  <r>
    <s v="TRIFÁSICO"/>
    <s v="10/191945-5"/>
    <s v="67 81355403"/>
    <n v="62955505215791"/>
    <s v="energisa_ms"/>
    <s v="Igreja do Evangelho Quadrangular"/>
    <x v="8"/>
    <s v="10/1017804-445931"/>
    <s v="SIM"/>
    <n v="77"/>
    <n v="848.83543119266051"/>
    <n v="826.85407339449534"/>
    <s v="Aprovado"/>
    <n v="87.925431192660554"/>
    <n v="65.94"/>
    <m/>
    <m/>
    <n v="65.94"/>
    <m/>
    <s v="6295550521579165,94"/>
    <m/>
    <x v="1"/>
    <n v="65.94"/>
    <n v="0"/>
    <m/>
    <m/>
    <m/>
    <m/>
    <m/>
    <m/>
    <m/>
    <m/>
    <m/>
    <m/>
    <m/>
  </r>
  <r>
    <s v="TRIFÁSICO"/>
    <s v="10/2794432-1"/>
    <n v="67991162146"/>
    <n v="62955505015199"/>
    <s v="energisa_ms"/>
    <s v="Igreja do Evangelho Quadrangular"/>
    <x v="8"/>
    <s v="10/1674177-945809"/>
    <s v="SIM"/>
    <n v="77"/>
    <n v="558.65405405405409"/>
    <n v="536.68804054054044"/>
    <s v="Aprovado"/>
    <n v="87.864054054054066"/>
    <n v="65.900000000000006"/>
    <m/>
    <m/>
    <n v="65.900000000000006"/>
    <m/>
    <s v="6295550501519965,9"/>
    <m/>
    <x v="1"/>
    <n v="87.86"/>
    <n v="21.959999999999994"/>
    <d v="2025-09-17T00:00:00"/>
    <m/>
    <m/>
    <m/>
    <m/>
    <m/>
    <m/>
    <m/>
    <m/>
    <m/>
    <m/>
  </r>
  <r>
    <s v="MONOFÁSICO"/>
    <s v="10/150263-2"/>
    <s v="Solicitação de distrato"/>
    <n v="62955505091456"/>
    <s v="energisa_ms"/>
    <s v="Igreja do Evangelho Quadrangular"/>
    <x v="2"/>
    <s v="10/252817-245870"/>
    <s v="SIM"/>
    <n v="79"/>
    <m/>
    <m/>
    <s v="Aprovado"/>
    <n v="84.964285714285708"/>
    <n v="65.77"/>
    <m/>
    <m/>
    <m/>
    <s v="Pendente dado cadastral"/>
    <s v="6295550509145665,77"/>
    <e v="#N/A"/>
    <x v="0"/>
    <m/>
    <n v="0"/>
    <m/>
    <m/>
    <m/>
    <m/>
    <m/>
    <m/>
    <m/>
    <m/>
    <m/>
    <m/>
    <m/>
  </r>
  <r>
    <s v="BIFÁSICO"/>
    <s v="10/952579-1"/>
    <n v="67996150274"/>
    <n v="62955505897930"/>
    <s v="energisa_ms"/>
    <s v="Igreja do Evangelho Quadrangular"/>
    <x v="4"/>
    <s v="10/15297-545839"/>
    <s v="SIM"/>
    <n v="89"/>
    <n v="148.09"/>
    <n v="126.4175"/>
    <s v="Aprovado"/>
    <n v="86.69"/>
    <n v="65.02"/>
    <m/>
    <m/>
    <n v="65.02"/>
    <m/>
    <s v="6295550589793065,02"/>
    <m/>
    <x v="1"/>
    <n v="65.02"/>
    <n v="0"/>
    <m/>
    <m/>
    <m/>
    <m/>
    <m/>
    <m/>
    <m/>
    <m/>
    <m/>
    <m/>
    <m/>
  </r>
  <r>
    <s v="BIFÁSICO"/>
    <s v="10/341308-5"/>
    <n v="67993249456"/>
    <n v="62955505239119"/>
    <s v="energisa_ms"/>
    <s v="Igreja do Evangelho Quadrangular"/>
    <x v="3"/>
    <s v="10/1548741-645809"/>
    <s v="SIM"/>
    <n v="86"/>
    <n v="265.20140845070421"/>
    <n v="244.66909096308285"/>
    <s v="Aprovado"/>
    <n v="86.541408450704225"/>
    <n v="64.91"/>
    <d v="2025-07-22T00:00:00"/>
    <d v="2025-08-02T00:00:00"/>
    <n v="64.91"/>
    <m/>
    <s v="6295550523911964,91"/>
    <s v="09/00012472793-2"/>
    <x v="1"/>
    <n v="64.91"/>
    <n v="0"/>
    <d v="2025-09-01T00:00:00"/>
    <m/>
    <m/>
    <m/>
    <m/>
    <m/>
    <m/>
    <m/>
    <m/>
    <m/>
    <m/>
  </r>
  <r>
    <s v="TRIFÁSICO"/>
    <s v="10/1117293-9"/>
    <n v="67999516782"/>
    <n v="62955505892114"/>
    <s v="energisa_ms"/>
    <s v="Igreja do Evangelho Quadrangular"/>
    <x v="5"/>
    <s v="10/252817-245931"/>
    <s v="SIM"/>
    <n v="76"/>
    <n v="248.10000000000002"/>
    <n v="226.78500000000003"/>
    <s v="Aprovado"/>
    <n v="85.259999999999991"/>
    <n v="63.95"/>
    <m/>
    <m/>
    <n v="63.95"/>
    <m/>
    <s v="6295550589211463,95"/>
    <m/>
    <x v="1"/>
    <n v="63.95"/>
    <n v="0"/>
    <d v="2025-09-01T00:00:00"/>
    <m/>
    <m/>
    <m/>
    <m/>
    <m/>
    <m/>
    <m/>
    <m/>
    <m/>
    <m/>
  </r>
  <r>
    <s v="TRIFÁSICO"/>
    <s v="10/908866-7"/>
    <n v="67992637973"/>
    <n v="62955505358630"/>
    <s v="energisa_ms"/>
    <s v="Igreja do Evangelho Quadrangular"/>
    <x v="6"/>
    <s v="10/3139326-745658"/>
    <s v="SIM"/>
    <n v="87"/>
    <n v="234.23999999999998"/>
    <n v="213.05499999999998"/>
    <s v="Aprovado"/>
    <n v="84.740000000000009"/>
    <n v="63.56"/>
    <m/>
    <m/>
    <n v="63.56"/>
    <m/>
    <s v="6295550535863063,56"/>
    <m/>
    <x v="1"/>
    <n v="63.56"/>
    <n v="0"/>
    <m/>
    <m/>
    <m/>
    <m/>
    <m/>
    <m/>
    <m/>
    <m/>
    <m/>
    <m/>
    <s v="DEPÓSITO ÚNICO ITAU 30/05/2025"/>
  </r>
  <r>
    <s v="BIFÁSICO"/>
    <s v="10/218777-1"/>
    <n v="67999031330"/>
    <n v="62955505017051"/>
    <s v="energisa_ms"/>
    <s v="Igreja do Evangelho Quadrangular"/>
    <x v="8"/>
    <s v="10/395471-645809"/>
    <s v="SIM"/>
    <n v="81"/>
    <n v="152.4367441860465"/>
    <n v="131.36755813953488"/>
    <s v="Aprovado"/>
    <n v="84.276744186046528"/>
    <n v="63.21"/>
    <m/>
    <m/>
    <n v="63.21"/>
    <m/>
    <s v="6295550501705163,21"/>
    <m/>
    <x v="1"/>
    <n v="63.21"/>
    <n v="0"/>
    <m/>
    <m/>
    <m/>
    <m/>
    <m/>
    <m/>
    <m/>
    <m/>
    <m/>
    <m/>
    <m/>
  </r>
  <r>
    <s v="MONOFÁSICO"/>
    <s v="10/150263-2"/>
    <n v="67992337953"/>
    <n v="62955505091456"/>
    <s v="energisa_ms"/>
    <s v="Igreja do Evangelho Quadrangular"/>
    <x v="1"/>
    <s v="10/1698130-045839"/>
    <s v="SIM"/>
    <n v="76"/>
    <n v="160.84666666666664"/>
    <n v="142.5069013333333"/>
    <s v="Aprovado"/>
    <n v="81.356666666666655"/>
    <n v="63.02"/>
    <d v="2025-09-10T00:00:00"/>
    <d v="2025-09-20T00:00:00"/>
    <n v="63.02"/>
    <m/>
    <s v="6295550509145663,02"/>
    <s v="09/00012683534-5"/>
    <x v="3"/>
    <m/>
    <n v="0"/>
    <m/>
    <m/>
    <m/>
    <m/>
    <m/>
    <m/>
    <m/>
    <m/>
    <m/>
    <m/>
    <m/>
  </r>
  <r>
    <s v="TRIFÁSICO"/>
    <s v="10/162736-3"/>
    <s v="Inadimplência"/>
    <n v="62955505197360"/>
    <s v="energisa_ms"/>
    <s v="Igreja do Evangelho Quadrangular"/>
    <x v="0"/>
    <s v="10/104720-845627"/>
    <s v="SIM"/>
    <n v="71"/>
    <n v="243.56739999999999"/>
    <n v="220.53205824451669"/>
    <s v="Aprovado"/>
    <n v="85.767399999999981"/>
    <n v="62.73"/>
    <d v="2025-10-03T00:00:00"/>
    <d v="2025-10-13T00:00:00"/>
    <n v="62.73"/>
    <m/>
    <s v="6295550519736062,73"/>
    <s v="09/00012851416-1"/>
    <x v="1"/>
    <n v="62.73"/>
    <n v="0"/>
    <m/>
    <m/>
    <m/>
    <m/>
    <m/>
    <m/>
    <m/>
    <m/>
    <m/>
    <m/>
    <m/>
  </r>
  <r>
    <s v="MONOFÁSICO"/>
    <s v="10/1548741-6"/>
    <n v="0"/>
    <n v="62955505084751"/>
    <s v="energisa_ms"/>
    <s v="Igreja do Evangelho Quadrangular"/>
    <x v="2"/>
    <s v="10/175073-645689"/>
    <s v="SIM"/>
    <n v="68"/>
    <n v="146.98533333333333"/>
    <n v="128.77392855990973"/>
    <s v="Aprovado"/>
    <n v="80.595333333333329"/>
    <n v="62.38"/>
    <d v="2025-09-10T00:00:00"/>
    <d v="2025-09-20T00:00:00"/>
    <n v="62.38"/>
    <m/>
    <s v="6295550508475162,38"/>
    <s v="09/00012749652-7"/>
    <x v="1"/>
    <n v="62.38"/>
    <n v="0"/>
    <m/>
    <m/>
    <m/>
    <m/>
    <m/>
    <m/>
    <m/>
    <m/>
    <m/>
    <m/>
    <m/>
  </r>
  <r>
    <s v="TRIFÁSICO"/>
    <s v="10/532081-7"/>
    <n v="0"/>
    <n v="62955505193534"/>
    <s v="energisa_ms"/>
    <s v="Igreja do Evangelho Quadrangular"/>
    <x v="2"/>
    <s v="10/175073-645748"/>
    <s v="SIM"/>
    <n v="69"/>
    <n v="234.36871287128716"/>
    <n v="216.17688094694478"/>
    <s v="Aprovado"/>
    <n v="80.508712871287145"/>
    <n v="62.32"/>
    <d v="2025-09-10T00:00:00"/>
    <d v="2025-09-20T00:00:00"/>
    <n v="62.32"/>
    <m/>
    <s v="6295550519353462,32"/>
    <s v="09/00012749648-5"/>
    <x v="1"/>
    <n v="62.32"/>
    <n v="0"/>
    <m/>
    <m/>
    <m/>
    <m/>
    <m/>
    <m/>
    <m/>
    <m/>
    <m/>
    <m/>
    <m/>
  </r>
  <r>
    <s v="TRIFÁSICO"/>
    <s v="10/908866-7"/>
    <n v="67992637973"/>
    <n v="62955505358630"/>
    <s v="energisa_ms"/>
    <s v="Igreja do Evangelho Quadrangular"/>
    <x v="7"/>
    <s v="10/399338-345658"/>
    <s v="SIM"/>
    <n v="83"/>
    <n v="231.99999999999997"/>
    <n v="211.31499999999997"/>
    <s v="Aprovado"/>
    <n v="82.740000000000009"/>
    <n v="62.06"/>
    <m/>
    <m/>
    <n v="62.06"/>
    <m/>
    <s v="6295550535863062,06"/>
    <m/>
    <x v="1"/>
    <n v="62.06"/>
    <n v="0"/>
    <m/>
    <m/>
    <m/>
    <m/>
    <m/>
    <m/>
    <m/>
    <m/>
    <m/>
    <m/>
    <m/>
  </r>
  <r>
    <s v="TRIFÁSICO"/>
    <s v="10/78338-1"/>
    <s v="67 984742936"/>
    <n v="62955505016837"/>
    <s v="energisa_ms"/>
    <s v="Igreja do Evangelho Quadrangular"/>
    <x v="1"/>
    <s v="10/218777-145931"/>
    <s v="SIM"/>
    <n v="77"/>
    <n v="218.46793103448277"/>
    <n v="200.69678765517241"/>
    <s v="Aprovado"/>
    <n v="79.497931034482775"/>
    <n v="61.73"/>
    <d v="2025-09-10T00:00:00"/>
    <d v="2025-09-20T00:00:00"/>
    <n v="61.73"/>
    <m/>
    <s v="6295550501683761,73"/>
    <s v="09/00012683516-2"/>
    <x v="1"/>
    <n v="61.73"/>
    <n v="0"/>
    <m/>
    <m/>
    <m/>
    <m/>
    <m/>
    <m/>
    <m/>
    <m/>
    <m/>
    <m/>
    <m/>
  </r>
  <r>
    <s v="TRIFÁSICO"/>
    <s v="10/237441-1"/>
    <n v="67992637973"/>
    <n v="62955505017213"/>
    <s v="energisa_ms"/>
    <s v="Igreja do Evangelho Quadrangular"/>
    <x v="8"/>
    <s v="10/276283-945839"/>
    <s v="SIM"/>
    <n v="74"/>
    <n v="210.7595918367347"/>
    <n v="190.22219387755104"/>
    <s v="Aprovado"/>
    <n v="82.149591836734686"/>
    <n v="61.61"/>
    <m/>
    <m/>
    <n v="61.61"/>
    <m/>
    <s v="6295550501721361,61"/>
    <m/>
    <x v="1"/>
    <n v="61.61"/>
    <n v="0"/>
    <m/>
    <m/>
    <m/>
    <m/>
    <m/>
    <m/>
    <m/>
    <m/>
    <m/>
    <m/>
    <m/>
  </r>
  <r>
    <s v="BIFÁSICO"/>
    <s v="10/530195-7"/>
    <n v="67999516782"/>
    <n v="62955505367117"/>
    <s v="energisa_ms"/>
    <s v="Igreja do Evangelho Quadrangular"/>
    <x v="7"/>
    <s v="10/127464-645748"/>
    <s v="SIM"/>
    <n v="73"/>
    <n v="165.78"/>
    <n v="145.41000000000003"/>
    <s v="Aprovado"/>
    <n v="81.48"/>
    <n v="61.11"/>
    <m/>
    <m/>
    <n v="61.11"/>
    <m/>
    <s v="6295550536711761,11"/>
    <m/>
    <x v="1"/>
    <n v="61.11"/>
    <n v="0"/>
    <d v="2025-09-25T00:00:00"/>
    <m/>
    <m/>
    <m/>
    <m/>
    <m/>
    <m/>
    <m/>
    <m/>
    <m/>
    <m/>
  </r>
  <r>
    <s v="TRIFÁSICO"/>
    <s v="10/1695011-5"/>
    <n v="67991767866"/>
    <n v="62955505461210"/>
    <s v="energisa_ms"/>
    <s v="Igreja do Evangelho Quadrangular"/>
    <x v="5"/>
    <s v="10/510330-445839"/>
    <s v="SIM"/>
    <n v="72"/>
    <n v="1112.08"/>
    <n v="1091.9724999999999"/>
    <s v="Aprovado"/>
    <n v="80.430000000000007"/>
    <n v="60.32"/>
    <m/>
    <m/>
    <n v="60.32"/>
    <m/>
    <s v="6295550546121060,32"/>
    <m/>
    <x v="1"/>
    <n v="60.32"/>
    <n v="0"/>
    <m/>
    <m/>
    <m/>
    <m/>
    <m/>
    <m/>
    <m/>
    <m/>
    <m/>
    <m/>
    <m/>
  </r>
  <r>
    <s v="TRIFÁSICO"/>
    <s v="10/1672452-8"/>
    <n v="67992637973"/>
    <n v="62955505017213"/>
    <s v="energisa_ms"/>
    <s v="Igreja do Evangelho Quadrangular"/>
    <x v="1"/>
    <s v="10/257864-945809"/>
    <s v="SIM"/>
    <n v="64"/>
    <n v="208.61680000000001"/>
    <n v="191.54329208000001"/>
    <s v="Aprovado"/>
    <n v="77.136800000000008"/>
    <n v="60.06"/>
    <d v="2025-09-10T00:00:00"/>
    <d v="2025-09-20T00:00:00"/>
    <n v="60.06"/>
    <m/>
    <s v="6295550501721360,06"/>
    <s v="09/00012683530-3"/>
    <x v="1"/>
    <n v="60.06"/>
    <n v="0"/>
    <m/>
    <m/>
    <m/>
    <m/>
    <m/>
    <m/>
    <m/>
    <m/>
    <m/>
    <m/>
    <m/>
  </r>
  <r>
    <s v="TRIFÁSICO"/>
    <s v="10/1117293-9"/>
    <n v="67999516782"/>
    <n v="62955505892114"/>
    <s v="energisa_ms"/>
    <s v="Igreja do Evangelho Quadrangular"/>
    <x v="6"/>
    <s v="10/61344-845658"/>
    <s v="SIM"/>
    <n v="75"/>
    <n v="227.65"/>
    <n v="207.68"/>
    <s v="Aprovado"/>
    <n v="79.88"/>
    <n v="59.91"/>
    <m/>
    <m/>
    <n v="59.91"/>
    <m/>
    <s v="6295550589211459,91"/>
    <m/>
    <x v="1"/>
    <n v="59.91"/>
    <n v="0"/>
    <m/>
    <m/>
    <m/>
    <m/>
    <m/>
    <m/>
    <m/>
    <m/>
    <m/>
    <m/>
    <m/>
  </r>
  <r>
    <s v="BIFÁSICO"/>
    <s v="10/3125732-2"/>
    <n v="65999839279"/>
    <n v="62955505015512"/>
    <s v="energisa_ms"/>
    <s v="Igreja do Evangelho Quadrangular"/>
    <x v="3"/>
    <s v="10/10232-745778"/>
    <s v="SIM"/>
    <n v="79"/>
    <n v="284.10422680412375"/>
    <n v="265.26049095390317"/>
    <s v="Aprovado"/>
    <n v="79.42422680412372"/>
    <n v="59.57"/>
    <d v="2025-07-22T00:00:00"/>
    <d v="2025-08-02T00:00:00"/>
    <n v="59.57"/>
    <m/>
    <s v="6295550501551259,57"/>
    <s v="09/00012472801-3"/>
    <x v="1"/>
    <n v="59.57"/>
    <n v="0"/>
    <e v="#N/A"/>
    <m/>
    <m/>
    <m/>
    <m/>
    <m/>
    <m/>
    <m/>
    <m/>
    <m/>
    <m/>
  </r>
  <r>
    <s v="BIFÁSICO"/>
    <s v="10/466560-0"/>
    <n v="67998302932"/>
    <n v="62955505015512"/>
    <s v="energisa_ms"/>
    <s v="Igreja do Evangelho Quadrangular"/>
    <x v="3"/>
    <s v="10/218777-145658"/>
    <s v="SIM"/>
    <n v="79"/>
    <n v="252.79301075268819"/>
    <n v="234.06344545879551"/>
    <s v="Aprovado"/>
    <n v="78.943010752688181"/>
    <n v="59.21"/>
    <d v="2025-07-22T00:00:00"/>
    <d v="2025-08-02T00:00:00"/>
    <n v="59.21"/>
    <m/>
    <s v="6295550501551259,21"/>
    <s v="09/00012472802-1"/>
    <x v="1"/>
    <n v="59.21"/>
    <n v="0"/>
    <m/>
    <m/>
    <m/>
    <m/>
    <m/>
    <m/>
    <m/>
    <m/>
    <m/>
    <m/>
    <m/>
  </r>
  <r>
    <s v="TRIFÁSICO"/>
    <s v="10/24514-2"/>
    <n v="67996266684"/>
    <n v="62955505157066"/>
    <s v="energisa_ms"/>
    <s v="Igreja do Evangelho Quadrangular"/>
    <x v="5"/>
    <s v="10/109074-545778"/>
    <s v="SIM"/>
    <n v="81"/>
    <n v="187.69"/>
    <n v="167.97499999999999"/>
    <s v="Aprovado"/>
    <n v="78.86"/>
    <n v="59.15"/>
    <m/>
    <m/>
    <n v="59.15"/>
    <m/>
    <s v="6295550515706659,15"/>
    <m/>
    <x v="1"/>
    <n v="59.15"/>
    <n v="0"/>
    <m/>
    <m/>
    <m/>
    <m/>
    <m/>
    <m/>
    <m/>
    <m/>
    <m/>
    <m/>
    <m/>
  </r>
  <r>
    <s v="TRIFÁSICO"/>
    <s v="10/1288241-1"/>
    <n v="67991133770"/>
    <n v="62955505335851"/>
    <s v="energisa_ms"/>
    <s v="Igreja do Evangelho Quadrangular"/>
    <x v="3"/>
    <s v="10/384823-145748"/>
    <s v="SIM"/>
    <n v="79"/>
    <n v="238.16161290322583"/>
    <n v="219.47033993605058"/>
    <s v="Aprovado"/>
    <n v="78.78161290322582"/>
    <n v="59.09"/>
    <d v="2025-07-22T00:00:00"/>
    <d v="2025-08-02T00:00:00"/>
    <n v="59.09"/>
    <m/>
    <s v="6295550533585159,09"/>
    <s v="09/00012472794-0"/>
    <x v="1"/>
    <n v="78.78"/>
    <n v="19.689999999999998"/>
    <d v="2025-11-07T00:00:00"/>
    <m/>
    <m/>
    <m/>
    <m/>
    <m/>
    <m/>
    <m/>
    <m/>
    <m/>
    <m/>
  </r>
  <r>
    <s v="TRIFÁSICO"/>
    <s v="10/435964-2"/>
    <n v="67992021114"/>
    <n v="62955505357405"/>
    <s v="energisa_ms"/>
    <s v="Igreja do Evangelho Quadrangular"/>
    <x v="3"/>
    <s v="10/218777-145717"/>
    <s v="SIM"/>
    <n v="78"/>
    <n v="279.40666666666664"/>
    <n v="260.76401806639575"/>
    <s v="Aprovado"/>
    <n v="78.576666666666668"/>
    <n v="58.93"/>
    <d v="2025-07-22T00:00:00"/>
    <d v="2025-08-02T00:00:00"/>
    <n v="58.93"/>
    <m/>
    <s v="6295550535740558,93"/>
    <s v="09/00012472771-8"/>
    <x v="1"/>
    <n v="58.93"/>
    <n v="0"/>
    <s v="05/08/2025"/>
    <m/>
    <m/>
    <m/>
    <m/>
    <m/>
    <m/>
    <m/>
    <m/>
    <m/>
    <m/>
  </r>
  <r>
    <s v="BIFÁSICO"/>
    <s v="10/1130988-7"/>
    <n v="67992637973"/>
    <n v="62955505040894"/>
    <s v="energisa_ms"/>
    <s v="Igreja do Evangelho Quadrangular"/>
    <x v="8"/>
    <s v="10/218777-145748"/>
    <s v="SIM"/>
    <n v="79"/>
    <n v="351.9324644549763"/>
    <n v="332.47934834123225"/>
    <s v="Aprovado"/>
    <n v="77.812464454976308"/>
    <n v="58.36"/>
    <m/>
    <m/>
    <n v="58.36"/>
    <m/>
    <s v="6295550504089458,36"/>
    <m/>
    <x v="1"/>
    <n v="58.36"/>
    <n v="0"/>
    <m/>
    <m/>
    <m/>
    <m/>
    <m/>
    <m/>
    <m/>
    <m/>
    <m/>
    <m/>
    <m/>
  </r>
  <r>
    <s v="TRIFÁSICO"/>
    <s v="10/1184751-4"/>
    <s v="67 96034976"/>
    <n v="62955505149047"/>
    <s v="energisa_ms"/>
    <s v="Igreja do Evangelho Quadrangular"/>
    <x v="7"/>
    <s v="10/18015-845870"/>
    <s v="SIM"/>
    <n v="68"/>
    <n v="229.68"/>
    <n v="210.70500000000001"/>
    <s v="Aprovado"/>
    <n v="75.900000000000006"/>
    <n v="56.93"/>
    <m/>
    <m/>
    <n v="56.93"/>
    <m/>
    <s v="6295550514904756,93"/>
    <m/>
    <x v="1"/>
    <n v="56.93"/>
    <n v="0"/>
    <m/>
    <m/>
    <n v="283032"/>
    <n v="502"/>
    <s v="Igreja do Evangelho Quadrangular"/>
    <s v="'62955505177504'"/>
    <n v="118.29"/>
    <m/>
    <s v="A Unidade Consumidora 10/40190-1 economizou R$39,43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"/>
    <s v="auxiliar.cedms@gmail.com"/>
    <m/>
  </r>
  <r>
    <s v="MONOFÁSICO"/>
    <s v="10/1548741-6"/>
    <s v="67 81355403"/>
    <n v="62955505084751"/>
    <s v="energisa_ms"/>
    <s v="Igreja do Evangelho Quadrangular"/>
    <x v="9"/>
    <s v="10/162736-345870"/>
    <s v="SIM"/>
    <n v="131"/>
    <n v="283.1723076923077"/>
    <n v="240.36395906371354"/>
    <s v="Aprovado"/>
    <n v="153.06230769230768"/>
    <n v="110.25"/>
    <d v="2025-11-06T00:00:00"/>
    <d v="2025-11-13T00:00:00"/>
    <n v="110.25"/>
    <m/>
    <s v="62955505084751110,25"/>
    <s v="09/00013026983-8"/>
    <x v="2"/>
    <m/>
    <n v="0"/>
    <m/>
    <s v="Cobrança Regular"/>
    <m/>
    <m/>
    <m/>
    <m/>
    <m/>
    <m/>
    <m/>
    <m/>
    <m/>
  </r>
  <r>
    <s v="TRIFÁSICO"/>
    <s v="10/3092868-3"/>
    <s v=" 67 91285460"/>
    <n v="62955505419443"/>
    <s v="energisa_ms"/>
    <s v="Igreja do Evangelho Quadrangular"/>
    <x v="3"/>
    <s v="10/52987-545778"/>
    <s v="SIM"/>
    <n v="64"/>
    <n v="252.8026315789474"/>
    <n v="235.03166344046014"/>
    <s v="Aprovado"/>
    <n v="74.902631578947378"/>
    <n v="56.18"/>
    <d v="2025-07-22T00:00:00"/>
    <d v="2025-08-02T00:00:00"/>
    <n v="56.18"/>
    <m/>
    <s v="6295550541944356,18"/>
    <s v="09/00012472744-5"/>
    <x v="1"/>
    <n v="56.18"/>
    <n v="0"/>
    <s v="06/08/2025"/>
    <m/>
    <m/>
    <m/>
    <m/>
    <m/>
    <m/>
    <m/>
    <m/>
    <m/>
    <m/>
  </r>
  <r>
    <s v="BIFÁSICO"/>
    <s v="10/226667-4"/>
    <n v="0"/>
    <n v="62955505040894"/>
    <s v="energisa_ms"/>
    <s v="Igreja do Evangelho Quadrangular"/>
    <x v="0"/>
    <s v="10/104720-845689"/>
    <s v="SIM"/>
    <n v="63"/>
    <n v="167.3322"/>
    <n v="146.89273016246096"/>
    <s v="Aprovado"/>
    <n v="76.102199999999996"/>
    <n v="55.66"/>
    <d v="2025-10-03T00:00:00"/>
    <d v="2025-10-13T00:00:00"/>
    <n v="55.66"/>
    <m/>
    <s v="6295550504089455,66"/>
    <s v="09/00012851426-0"/>
    <x v="1"/>
    <n v="55.66"/>
    <n v="0"/>
    <m/>
    <m/>
    <m/>
    <m/>
    <m/>
    <m/>
    <m/>
    <m/>
    <m/>
    <m/>
    <m/>
  </r>
  <r>
    <s v="TRIFÁSICO"/>
    <s v="10/76927-3"/>
    <s v="67 999373813"/>
    <n v="62955505058599"/>
    <s v="energisa_ms"/>
    <s v="Igreja do Evangelho Quadrangular"/>
    <x v="1"/>
    <s v="10/530195-745689"/>
    <s v="SIM"/>
    <n v="69"/>
    <n v="212.52640449438204"/>
    <n v="196.5999873033708"/>
    <s v="Aprovado"/>
    <n v="71.446404494382023"/>
    <n v="55.52"/>
    <d v="2025-09-10T00:00:00"/>
    <d v="2025-09-20T00:00:00"/>
    <n v="55.52"/>
    <m/>
    <s v="6295550505859955,52"/>
    <s v="09/00012683511-3"/>
    <x v="1"/>
    <n v="71.45"/>
    <n v="15.93"/>
    <d v="2025-09-04T00:00:00"/>
    <m/>
    <m/>
    <m/>
    <m/>
    <m/>
    <m/>
    <m/>
    <m/>
    <m/>
    <m/>
  </r>
  <r>
    <s v="TRIFÁSICO"/>
    <s v="10/1695011-5"/>
    <n v="67991767866"/>
    <n v="62955505461210"/>
    <s v="energisa_ms"/>
    <s v="Igreja do Evangelho Quadrangular"/>
    <x v="8"/>
    <s v="10/1672452-845901"/>
    <s v="SIM"/>
    <n v="65"/>
    <n v="1006.5371572871572"/>
    <n v="988.16536796536798"/>
    <s v="Aprovado"/>
    <n v="73.487157287157288"/>
    <n v="55.12"/>
    <m/>
    <m/>
    <n v="55.12"/>
    <m/>
    <s v="6295550546121055,12"/>
    <m/>
    <x v="1"/>
    <n v="55.12"/>
    <n v="0"/>
    <m/>
    <m/>
    <m/>
    <m/>
    <m/>
    <m/>
    <m/>
    <m/>
    <m/>
    <m/>
    <m/>
  </r>
  <r>
    <s v="BIFÁSICO"/>
    <s v="10/530195-7"/>
    <n v="67999516782"/>
    <n v="62955505367117"/>
    <s v="energisa_ms"/>
    <s v="Igreja do Evangelho Quadrangular"/>
    <x v="9"/>
    <s v="10/925970-645778"/>
    <s v="SIM"/>
    <n v="69"/>
    <n v="161.06076923076921"/>
    <n v="140.36988452642535"/>
    <s v="Aprovado"/>
    <n v="73.980769230769226"/>
    <n v="53.29"/>
    <d v="2025-11-06T00:00:00"/>
    <d v="2025-11-13T00:00:00"/>
    <n v="53.29"/>
    <m/>
    <s v="6295550536711753,29"/>
    <s v="09/00013026920-0"/>
    <x v="1"/>
    <n v="53.29"/>
    <n v="0"/>
    <d v="2025-11-26T00:00:00"/>
    <m/>
    <m/>
    <m/>
    <m/>
    <m/>
    <m/>
    <m/>
    <m/>
    <m/>
    <m/>
  </r>
  <r>
    <s v="BIFÁSICO"/>
    <s v="10/13786-9"/>
    <n v="67996266684"/>
    <n v="62955505197521"/>
    <s v="energisa_ms"/>
    <s v="Igreja do Evangelho Quadrangular"/>
    <x v="3"/>
    <s v="10/113971-645839"/>
    <s v="SIM"/>
    <n v="70"/>
    <n v="266.24375796178339"/>
    <n v="249.44526503436441"/>
    <s v="Aprovado"/>
    <n v="70.803757961783418"/>
    <n v="53.1"/>
    <d v="2025-07-22T00:00:00"/>
    <d v="2025-08-02T00:00:00"/>
    <n v="53.1"/>
    <m/>
    <s v="6295550519752153,1"/>
    <s v="09/00012472789-0"/>
    <x v="1"/>
    <n v="53.1"/>
    <n v="0"/>
    <s v="04/08/2025"/>
    <m/>
    <m/>
    <m/>
    <m/>
    <m/>
    <m/>
    <m/>
    <m/>
    <m/>
    <m/>
  </r>
  <r>
    <s v="TRIFÁSICO"/>
    <s v="10/3054052-0"/>
    <n v="67996266684"/>
    <n v="62955505312487"/>
    <s v="energisa_ms"/>
    <s v="Igreja do Evangelho Quadrangular"/>
    <x v="6"/>
    <s v="10/127464-645839"/>
    <s v="SIM"/>
    <n v="71"/>
    <n v="227.63"/>
    <n v="210.34"/>
    <s v="Aprovado"/>
    <n v="69.16"/>
    <n v="51.87"/>
    <m/>
    <m/>
    <n v="51.87"/>
    <m/>
    <s v="6295550531248751,87"/>
    <m/>
    <x v="1"/>
    <n v="51.87"/>
    <n v="0"/>
    <m/>
    <m/>
    <m/>
    <m/>
    <m/>
    <m/>
    <m/>
    <m/>
    <m/>
    <m/>
    <s v="DEPÓSITO ÚNICO ITAU 02/06/2025"/>
  </r>
  <r>
    <s v="TRIFÁSICO"/>
    <s v="10/3054052-0"/>
    <n v="67996266684"/>
    <n v="62955505312487"/>
    <s v="energisa_ms"/>
    <s v="Igreja do Evangelho Quadrangular"/>
    <x v="4"/>
    <s v="10/1939035-045809"/>
    <s v="SIM"/>
    <n v="71"/>
    <n v="227.63"/>
    <n v="210.34"/>
    <s v="Aprovado"/>
    <n v="69.16"/>
    <n v="51.87"/>
    <m/>
    <m/>
    <n v="51.87"/>
    <m/>
    <s v="6295550531248751,87"/>
    <m/>
    <x v="1"/>
    <n v="51.87"/>
    <n v="0"/>
    <m/>
    <m/>
    <m/>
    <m/>
    <m/>
    <m/>
    <m/>
    <m/>
    <m/>
    <m/>
    <m/>
  </r>
  <r>
    <s v="TRIFÁSICO"/>
    <s v="10/1288241-1"/>
    <n v="0"/>
    <n v="62955505335851"/>
    <s v="energisa_ms"/>
    <s v="Igreja do Evangelho Quadrangular"/>
    <x v="0"/>
    <s v="10/76927-345717"/>
    <s v="SIM"/>
    <n v="66"/>
    <n v="236.74390624999998"/>
    <n v="218.10883053592721"/>
    <s v="Aprovado"/>
    <n v="69.383906249999995"/>
    <n v="50.75"/>
    <d v="2025-10-03T00:00:00"/>
    <d v="2025-10-13T00:00:00"/>
    <n v="50.75"/>
    <m/>
    <s v="6295550533585150,75"/>
    <s v="09/00012851539-0"/>
    <x v="1"/>
    <n v="50.75"/>
    <n v="0"/>
    <m/>
    <m/>
    <m/>
    <m/>
    <m/>
    <m/>
    <m/>
    <m/>
    <m/>
    <m/>
    <m/>
  </r>
  <r>
    <s v="BIFÁSICO"/>
    <s v="10/466560-0"/>
    <n v="0"/>
    <n v="62955505015512"/>
    <s v="energisa_ms"/>
    <s v="Igreja do Evangelho Quadrangular"/>
    <x v="0"/>
    <s v="10/142353-245717"/>
    <s v="SIM"/>
    <n v="66"/>
    <n v="279.26213114754097"/>
    <n v="260.62753218910962"/>
    <s v="Aprovado"/>
    <n v="69.382131147540989"/>
    <n v="50.75"/>
    <d v="2025-10-03T00:00:00"/>
    <d v="2025-10-13T00:00:00"/>
    <n v="50.75"/>
    <m/>
    <s v="6295550501551250,75"/>
    <s v="09/00012851540-8"/>
    <x v="1"/>
    <n v="50.75"/>
    <n v="0"/>
    <m/>
    <m/>
    <m/>
    <m/>
    <m/>
    <m/>
    <m/>
    <m/>
    <m/>
    <m/>
    <m/>
  </r>
  <r>
    <s v="BIFÁSICO"/>
    <s v="10/218777-1"/>
    <n v="67999031330"/>
    <n v="62955505017051"/>
    <s v="energisa_ms"/>
    <s v="Igreja do Evangelho Quadrangular"/>
    <x v="9"/>
    <s v="10/512142-145839"/>
    <s v="SIM"/>
    <n v="61"/>
    <n v="143.60111111111112"/>
    <n v="124.02325413238742"/>
    <s v="Aprovado"/>
    <n v="70.001111111111115"/>
    <n v="50.42"/>
    <d v="2025-11-06T00:00:00"/>
    <d v="2025-11-13T00:00:00"/>
    <n v="50.42"/>
    <m/>
    <s v="6295550501705150,42"/>
    <s v="09/00013026973-9"/>
    <x v="1"/>
    <n v="50.42"/>
    <n v="0"/>
    <m/>
    <m/>
    <m/>
    <m/>
    <m/>
    <m/>
    <m/>
    <m/>
    <m/>
    <m/>
    <m/>
  </r>
  <r>
    <s v="BIFÁSICO"/>
    <s v="10/129490-9"/>
    <n v="67996446178"/>
    <n v="62955505405140"/>
    <s v="energisa_ms"/>
    <s v="Igreja do Evangelho Quadrangular"/>
    <x v="9"/>
    <s v="10/113971-645748"/>
    <s v="SIM"/>
    <n v="75"/>
    <n v="387.314798206278"/>
    <n v="365.21879693766488"/>
    <s v="Aprovado"/>
    <n v="79.004798206278011"/>
    <n v="56.91"/>
    <d v="2025-11-06T00:00:00"/>
    <d v="2025-11-13T00:00:00"/>
    <n v="56.91"/>
    <m/>
    <s v="6295550540514056,91"/>
    <s v="09/00013026899-6"/>
    <x v="2"/>
    <m/>
    <n v="0"/>
    <m/>
    <s v="Cobrança Regular"/>
    <m/>
    <m/>
    <m/>
    <m/>
    <m/>
    <m/>
    <m/>
    <m/>
    <m/>
  </r>
  <r>
    <s v="TRIFÁSICO"/>
    <s v="10/1698130-0"/>
    <n v="67991767866"/>
    <n v="62955505461210"/>
    <s v="energisa_ms"/>
    <s v="Igreja do Evangelho Quadrangular"/>
    <x v="1"/>
    <s v="10/2794432-145778"/>
    <s v="SIM"/>
    <n v="54"/>
    <n v="240.79019999999997"/>
    <n v="226.38383411999999"/>
    <s v="Aprovado"/>
    <n v="64.420200000000008"/>
    <n v="50.01"/>
    <d v="2025-09-10T00:00:00"/>
    <d v="2025-09-20T00:00:00"/>
    <n v="50.01"/>
    <m/>
    <s v="6295550546121050,01"/>
    <s v="09/00012683483-5"/>
    <x v="1"/>
    <n v="50.01"/>
    <n v="0"/>
    <m/>
    <m/>
    <m/>
    <m/>
    <m/>
    <m/>
    <m/>
    <m/>
    <m/>
    <m/>
    <m/>
  </r>
  <r>
    <s v="TRIFÁSICO"/>
    <s v="10/156956-5"/>
    <s v="67 998338301"/>
    <n v="62955505015350"/>
    <s v="energisa_ms"/>
    <s v="Igreja do Evangelho Quadrangular"/>
    <x v="1"/>
    <s v="10/952579-145717"/>
    <s v="SIM"/>
    <n v="54"/>
    <n v="217.73019999999997"/>
    <n v="203.32383411999999"/>
    <s v="Aprovado"/>
    <n v="64.120200000000011"/>
    <n v="49.71"/>
    <d v="2025-09-10T00:00:00"/>
    <d v="2025-09-20T00:00:00"/>
    <n v="49.71"/>
    <m/>
    <s v="6295550501535049,71"/>
    <s v="09/00012683485-0"/>
    <x v="1"/>
    <n v="49.71"/>
    <n v="0"/>
    <m/>
    <m/>
    <m/>
    <m/>
    <m/>
    <m/>
    <m/>
    <m/>
    <m/>
    <m/>
    <m/>
  </r>
  <r>
    <s v="TRIFÁSICO"/>
    <s v="10/237441-1"/>
    <n v="67992637973"/>
    <n v="62955505017213"/>
    <s v="energisa_ms"/>
    <s v="Igreja do Evangelho Quadrangular"/>
    <x v="6"/>
    <s v="10/1035655-845689"/>
    <s v="SIM"/>
    <n v="59"/>
    <n v="192.79999999999998"/>
    <n v="176.33749999999998"/>
    <s v="Aprovado"/>
    <n v="65.849999999999994"/>
    <n v="49.39"/>
    <m/>
    <m/>
    <n v="49.39"/>
    <m/>
    <s v="6295550501721349,39"/>
    <m/>
    <x v="1"/>
    <n v="49.39"/>
    <n v="0"/>
    <m/>
    <m/>
    <m/>
    <m/>
    <m/>
    <m/>
    <m/>
    <m/>
    <m/>
    <m/>
    <m/>
  </r>
  <r>
    <s v="BIFÁSICO"/>
    <s v="10/530195-7"/>
    <n v="67999516782"/>
    <n v="62955505367117"/>
    <s v="energisa_ms"/>
    <s v="Igreja do Evangelho Quadrangular"/>
    <x v="3"/>
    <s v="10/24514-245931"/>
    <s v="SIM"/>
    <n v="65"/>
    <n v="150.02666666666667"/>
    <n v="134.59644069458483"/>
    <s v="Aprovado"/>
    <n v="65.036666666666676"/>
    <n v="48.78"/>
    <d v="2025-07-22T00:00:00"/>
    <d v="2025-08-02T00:00:00"/>
    <n v="48.78"/>
    <m/>
    <s v="6295550536711748,78"/>
    <s v="09/00012472799-9"/>
    <x v="1"/>
    <n v="48.78"/>
    <n v="0"/>
    <d v="2025-09-25T00:00:00"/>
    <m/>
    <m/>
    <m/>
    <m/>
    <m/>
    <m/>
    <m/>
    <m/>
    <m/>
    <m/>
  </r>
  <r>
    <s v="TRIFÁSICO"/>
    <s v="10/135237-6"/>
    <n v="67996446178"/>
    <n v="62955505080098"/>
    <s v="energisa_ms"/>
    <s v="Igreja do Evangelho Quadrangular"/>
    <x v="6"/>
    <s v="10/2794432-145901"/>
    <s v="SIM"/>
    <n v="58"/>
    <m/>
    <m/>
    <s v="Aprovado"/>
    <n v="64.739999999999995"/>
    <n v="48.56"/>
    <m/>
    <m/>
    <m/>
    <s v="não emitido pela EGS"/>
    <s v="62955505080098"/>
    <m/>
    <x v="0"/>
    <n v="0"/>
    <n v="0"/>
    <m/>
    <m/>
    <m/>
    <m/>
    <m/>
    <m/>
    <m/>
    <m/>
    <m/>
    <m/>
    <m/>
  </r>
  <r>
    <s v="TRIFÁSICO"/>
    <s v="10/283183-2"/>
    <s v="16 988508102"/>
    <n v="62955505287601"/>
    <s v="energisa_ms"/>
    <s v="Igreja do Evangelho Quadrangular"/>
    <x v="8"/>
    <s v="10/466560-045658"/>
    <s v="SIM"/>
    <n v="66"/>
    <n v="213.24213483146065"/>
    <n v="197.09660112359546"/>
    <s v="Aprovado"/>
    <n v="64.582134831460664"/>
    <n v="48.44"/>
    <m/>
    <m/>
    <n v="48.44"/>
    <m/>
    <s v="6295550528760148,44"/>
    <m/>
    <x v="1"/>
    <n v="48.44"/>
    <n v="0"/>
    <m/>
    <m/>
    <m/>
    <m/>
    <m/>
    <m/>
    <m/>
    <m/>
    <m/>
    <m/>
    <m/>
  </r>
  <r>
    <s v="TRIFÁSICO"/>
    <s v="10/135237-6"/>
    <n v="67996446178"/>
    <n v="62955505080098"/>
    <s v="energisa_ms"/>
    <s v="Igreja do Evangelho Quadrangular"/>
    <x v="5"/>
    <s v="10/81222-245870"/>
    <s v="SIM"/>
    <n v="57"/>
    <n v="191.6"/>
    <n v="175.655"/>
    <s v="Aprovado"/>
    <n v="63.78"/>
    <n v="47.84"/>
    <m/>
    <m/>
    <n v="47.84"/>
    <m/>
    <s v="6295550508009847,84"/>
    <e v="#N/A"/>
    <x v="1"/>
    <n v="63.78"/>
    <n v="15.939999999999998"/>
    <d v="2025-10-01T00:00:00"/>
    <m/>
    <m/>
    <m/>
    <m/>
    <m/>
    <m/>
    <m/>
    <m/>
    <m/>
    <m/>
  </r>
  <r>
    <s v="TRIFÁSICO"/>
    <s v="10/24514-2"/>
    <n v="67996266684"/>
    <n v="62955505157066"/>
    <s v="energisa_ms"/>
    <s v="Igreja do Evangelho Quadrangular"/>
    <x v="3"/>
    <s v="10/252817-245748"/>
    <s v="SIM"/>
    <n v="62"/>
    <n v="176.63133333333337"/>
    <n v="161.8453317514344"/>
    <s v="Aprovado"/>
    <n v="62.321333333333321"/>
    <n v="46.74"/>
    <d v="2025-07-22T00:00:00"/>
    <d v="2025-08-02T00:00:00"/>
    <n v="46.74"/>
    <m/>
    <s v="6295550515706646,74"/>
    <s v="09/00012472787-4"/>
    <x v="1"/>
    <n v="46.74"/>
    <n v="0"/>
    <e v="#N/A"/>
    <m/>
    <m/>
    <m/>
    <m/>
    <m/>
    <m/>
    <m/>
    <m/>
    <m/>
    <m/>
  </r>
  <r>
    <s v="TRIFÁSICO"/>
    <s v="10/1266128-6"/>
    <n v="67991306665"/>
    <n v="62955505379395"/>
    <s v="energisa_ms"/>
    <s v="Igreja do Evangelho Quadrangular"/>
    <x v="1"/>
    <s v="10/466560-045809"/>
    <s v="SIM"/>
    <n v="60"/>
    <n v="174.45333333333332"/>
    <n v="160.60369066666664"/>
    <s v="Aprovado"/>
    <n v="60.473333333333343"/>
    <n v="46.62"/>
    <d v="2025-09-10T00:00:00"/>
    <d v="2025-09-20T00:00:00"/>
    <n v="46.62"/>
    <m/>
    <s v="6295550537939546,62"/>
    <s v="09/00012683500-6"/>
    <x v="1"/>
    <n v="46.62"/>
    <n v="0"/>
    <m/>
    <m/>
    <m/>
    <m/>
    <m/>
    <m/>
    <m/>
    <m/>
    <m/>
    <m/>
    <m/>
  </r>
  <r>
    <s v="MONOFÁSICO"/>
    <s v="10/384823-1"/>
    <n v="67999159477"/>
    <n v="62955505000167"/>
    <s v="energisa_ms"/>
    <s v="Igreja do Evangelho Quadrangular"/>
    <x v="7"/>
    <s v="10/202838-945748"/>
    <s v="SIM"/>
    <n v="55"/>
    <n v="95.63"/>
    <n v="80.284999999999997"/>
    <s v="Aprovado"/>
    <n v="61.379999999999995"/>
    <n v="46.04"/>
    <m/>
    <m/>
    <n v="46.04"/>
    <m/>
    <s v="6295550500016746,04"/>
    <m/>
    <x v="1"/>
    <n v="46.04"/>
    <n v="0"/>
    <m/>
    <m/>
    <m/>
    <m/>
    <m/>
    <m/>
    <m/>
    <m/>
    <m/>
    <m/>
    <m/>
  </r>
  <r>
    <s v="BIFÁSICO"/>
    <s v="10/530195-7"/>
    <n v="67999516782"/>
    <n v="62955505367117"/>
    <s v="energisa_ms"/>
    <s v="Igreja do Evangelho Quadrangular"/>
    <x v="4"/>
    <s v="10/109074-545839"/>
    <s v="SIM"/>
    <n v="0"/>
    <m/>
    <m/>
    <s v="Aprovado"/>
    <n v="0"/>
    <n v="46.03"/>
    <m/>
    <m/>
    <m/>
    <s v="não emitido pela EGS"/>
    <s v="62955505367117"/>
    <m/>
    <x v="0"/>
    <n v="0"/>
    <n v="0"/>
    <m/>
    <m/>
    <m/>
    <m/>
    <m/>
    <m/>
    <m/>
    <m/>
    <m/>
    <m/>
    <m/>
  </r>
  <r>
    <s v="BIFÁSICO"/>
    <s v="10/530195-7"/>
    <n v="67999516782"/>
    <n v="62955505367117"/>
    <s v="energisa_ms"/>
    <s v="Igreja do Evangelho Quadrangular"/>
    <x v="6"/>
    <s v="10/3139326-745901"/>
    <s v="SIM"/>
    <n v="63"/>
    <n v="220.91000000000003"/>
    <n v="205.56750000000002"/>
    <s v="Aprovado"/>
    <n v="61.370000000000005"/>
    <n v="46.03"/>
    <m/>
    <m/>
    <n v="46.03"/>
    <m/>
    <s v="6295550536711746,03"/>
    <m/>
    <x v="1"/>
    <n v="46.03"/>
    <n v="0"/>
    <m/>
    <m/>
    <m/>
    <m/>
    <m/>
    <m/>
    <m/>
    <m/>
    <m/>
    <m/>
    <m/>
  </r>
  <r>
    <s v="BIFÁSICO"/>
    <s v="10/257864-9"/>
    <n v="67981311823"/>
    <n v="62955505182176"/>
    <s v="energisa_ms"/>
    <s v="Igreja do Evangelho Quadrangular"/>
    <x v="8"/>
    <s v="10/1288241-145870"/>
    <s v="SIM"/>
    <n v="54"/>
    <n v="272.07826347305394"/>
    <n v="256.81619760479049"/>
    <s v="Aprovado"/>
    <n v="61.048263473053893"/>
    <n v="45.79"/>
    <m/>
    <m/>
    <n v="45.79"/>
    <m/>
    <s v="6295550518217645,79"/>
    <m/>
    <x v="2"/>
    <n v="0"/>
    <n v="-45.79"/>
    <m/>
    <s v="Cobrança Regular"/>
    <m/>
    <m/>
    <m/>
    <m/>
    <m/>
    <m/>
    <m/>
    <m/>
    <m/>
  </r>
  <r>
    <s v="TRIFÁSICO"/>
    <s v="10/1117293-9"/>
    <n v="67999516782"/>
    <n v="62955505892114"/>
    <s v="energisa_ms"/>
    <s v="Igreja do Evangelho Quadrangular"/>
    <x v="9"/>
    <s v="10/135237-645870"/>
    <s v="SIM"/>
    <n v="58"/>
    <n v="230.40979999999996"/>
    <n v="210.84629367341319"/>
    <s v="Aprovado"/>
    <n v="69.94980000000001"/>
    <n v="50.39"/>
    <d v="2025-11-06T00:00:00"/>
    <d v="2025-11-13T00:00:00"/>
    <n v="50.39"/>
    <m/>
    <s v="6295550589211450,39"/>
    <s v="09/00013026985-3"/>
    <x v="2"/>
    <m/>
    <n v="0"/>
    <m/>
    <s v="Cobrança Regular"/>
    <m/>
    <m/>
    <m/>
    <m/>
    <m/>
    <m/>
    <m/>
    <m/>
    <m/>
  </r>
  <r>
    <s v="TRIFÁSICO"/>
    <s v="10/1117293-9"/>
    <n v="67999516782"/>
    <n v="62955505892114"/>
    <s v="energisa_ms"/>
    <s v="Igreja do Evangelho Quadrangular"/>
    <x v="8"/>
    <s v="10/511753-645778"/>
    <s v="SIM"/>
    <n v="53"/>
    <n v="257.7688"/>
    <n v="242.64910000000003"/>
    <s v="Aprovado"/>
    <n v="60.478800000000007"/>
    <n v="45.36"/>
    <m/>
    <m/>
    <n v="45.36"/>
    <m/>
    <s v="6295550589211445,36"/>
    <m/>
    <x v="1"/>
    <n v="45.36"/>
    <n v="0"/>
    <d v="2025-09-01T00:00:00"/>
    <m/>
    <m/>
    <m/>
    <m/>
    <m/>
    <m/>
    <m/>
    <m/>
    <m/>
    <m/>
  </r>
  <r>
    <s v="TRIFÁSICO"/>
    <s v="10/501586-2"/>
    <s v="67 92480766"/>
    <n v="62955505273058"/>
    <s v="energisa_ms"/>
    <s v="Igreja do Evangelho Quadrangular"/>
    <x v="9"/>
    <s v="10/505854-045839"/>
    <s v="SIM"/>
    <n v="51"/>
    <n v="186.82545454545456"/>
    <n v="169.57051721437358"/>
    <s v="Aprovado"/>
    <n v="61.69545454545456"/>
    <n v="44.44"/>
    <d v="2025-11-06T00:00:00"/>
    <d v="2025-11-13T00:00:00"/>
    <n v="44.44"/>
    <m/>
    <s v="6295550527305844,44"/>
    <s v="09/00013026977-0"/>
    <x v="1"/>
    <n v="61.7"/>
    <n v="0"/>
    <d v="2025-12-01T00:00:00"/>
    <m/>
    <m/>
    <m/>
    <m/>
    <m/>
    <m/>
    <m/>
    <m/>
    <m/>
    <m/>
  </r>
  <r>
    <s v="TRIFÁSICO"/>
    <s v="10/237441-1"/>
    <n v="67992637973"/>
    <n v="62955505017213"/>
    <s v="energisa_ms"/>
    <s v="Igreja do Evangelho Quadrangular"/>
    <x v="5"/>
    <s v="10/257864-945717"/>
    <s v="SIM"/>
    <n v="55"/>
    <n v="185.56"/>
    <n v="171.01250000000002"/>
    <s v="Aprovado"/>
    <n v="58.190000000000005"/>
    <n v="43.64"/>
    <m/>
    <m/>
    <n v="43.64"/>
    <m/>
    <s v="6295550501721343,64"/>
    <m/>
    <x v="1"/>
    <n v="43.64"/>
    <n v="0"/>
    <m/>
    <m/>
    <m/>
    <m/>
    <m/>
    <m/>
    <m/>
    <m/>
    <m/>
    <m/>
    <m/>
  </r>
  <r>
    <s v="TRIFÁSICO"/>
    <s v="10/501586-2"/>
    <s v="67 92480766"/>
    <n v="62955505273058"/>
    <s v="energisa_ms"/>
    <s v="Igreja do Evangelho Quadrangular"/>
    <x v="3"/>
    <s v="10/1698130-045809"/>
    <s v="SIM"/>
    <n v="53"/>
    <n v="175.9555670103093"/>
    <n v="162.18163664426331"/>
    <s v="Aprovado"/>
    <n v="58.055567010309268"/>
    <n v="43.54"/>
    <d v="2025-07-22T00:00:00"/>
    <d v="2025-08-02T00:00:00"/>
    <n v="43.54"/>
    <m/>
    <s v="6295550527305843,54"/>
    <s v="09/00012472757-7"/>
    <x v="1"/>
    <n v="43.54"/>
    <n v="0"/>
    <s v="05/08/2025"/>
    <m/>
    <m/>
    <m/>
    <m/>
    <m/>
    <m/>
    <m/>
    <m/>
    <m/>
    <m/>
  </r>
  <r>
    <s v="BIFÁSICO"/>
    <s v="10/257864-9"/>
    <n v="67981311823"/>
    <n v="62955505182176"/>
    <s v="energisa_ms"/>
    <s v="Igreja do Evangelho Quadrangular"/>
    <x v="3"/>
    <s v="10/384823-145689"/>
    <s v="SIM"/>
    <n v="49"/>
    <n v="127.76460000000002"/>
    <n v="114.25899637070827"/>
    <s v="Aprovado"/>
    <n v="56.924599999999998"/>
    <n v="42.69"/>
    <d v="2025-07-22T00:00:00"/>
    <d v="2025-08-02T00:00:00"/>
    <n v="42.69"/>
    <m/>
    <s v="6295550518217642,69"/>
    <s v="09/00012472761-9"/>
    <x v="2"/>
    <n v="0"/>
    <n v="-42.69"/>
    <m/>
    <s v="Cobrança Regular"/>
    <m/>
    <m/>
    <m/>
    <m/>
    <m/>
    <m/>
    <m/>
    <m/>
    <m/>
  </r>
  <r>
    <s v="BIFÁSICO"/>
    <s v="10/175073-6"/>
    <n v="0"/>
    <n v="62955505134449"/>
    <s v="energisa_ms"/>
    <s v="Igreja do Evangelho Quadrangular"/>
    <x v="2"/>
    <s v="10/202838-945627"/>
    <s v="SIM"/>
    <n v="53"/>
    <n v="130.60523809523809"/>
    <n v="118.35244728161385"/>
    <s v="Aprovado"/>
    <n v="54.225238095238083"/>
    <n v="41.97"/>
    <d v="2025-09-10T00:00:00"/>
    <d v="2025-09-20T00:00:00"/>
    <n v="41.97"/>
    <m/>
    <s v="6295550513444941,97"/>
    <s v="09/00012749709-5"/>
    <x v="3"/>
    <n v="0"/>
    <n v="-41.97"/>
    <m/>
    <m/>
    <m/>
    <m/>
    <m/>
    <m/>
    <m/>
    <m/>
    <m/>
    <m/>
    <s v="Abatimento pagamento em duplicidade"/>
  </r>
  <r>
    <s v="TRIFÁSICO"/>
    <s v="10/501586-2"/>
    <s v="67 92480766"/>
    <n v="62955505273058"/>
    <s v="energisa_ms"/>
    <s v="Igreja do Evangelho Quadrangular"/>
    <x v="7"/>
    <s v="10/2247256-745658"/>
    <s v="SIM"/>
    <n v="50"/>
    <n v="169.8"/>
    <n v="155.84750000000003"/>
    <s v="Aprovado"/>
    <n v="55.81"/>
    <n v="41.86"/>
    <m/>
    <m/>
    <n v="41.86"/>
    <m/>
    <s v="6295550527305841,86"/>
    <m/>
    <x v="1"/>
    <n v="41.86"/>
    <n v="0"/>
    <m/>
    <m/>
    <m/>
    <m/>
    <m/>
    <m/>
    <m/>
    <m/>
    <m/>
    <m/>
    <m/>
  </r>
  <r>
    <s v="TRIFÁSICO"/>
    <s v="10/987178-1"/>
    <n v="0"/>
    <n v="62955505015512"/>
    <s v="energisa_ms"/>
    <s v="Igreja do Evangelho Quadrangular"/>
    <x v="0"/>
    <s v="10/15297-545689"/>
    <s v="SIM"/>
    <n v="47"/>
    <n v="230.01179999999999"/>
    <n v="214.76675979059183"/>
    <s v="Aprovado"/>
    <n v="56.761799999999994"/>
    <n v="41.52"/>
    <d v="2025-10-03T00:00:00"/>
    <d v="2025-10-13T00:00:00"/>
    <n v="41.52"/>
    <m/>
    <s v="6295550501551241,52"/>
    <s v="09/00012851432-8"/>
    <x v="1"/>
    <n v="56.76"/>
    <n v="15.239999999999995"/>
    <d v="2025-10-27T00:00:00"/>
    <m/>
    <m/>
    <m/>
    <m/>
    <m/>
    <m/>
    <m/>
    <m/>
    <m/>
    <m/>
  </r>
  <r>
    <s v="BIFÁSICO"/>
    <s v="10/530195-7"/>
    <n v="67999516782"/>
    <n v="62955505367117"/>
    <s v="energisa_ms"/>
    <s v="Igreja do Evangelho Quadrangular"/>
    <x v="8"/>
    <s v="10/239312-245658"/>
    <s v="SIM"/>
    <n v="57"/>
    <n v="136.012"/>
    <n v="122.17900000000002"/>
    <s v="Aprovado"/>
    <n v="55.331999999999994"/>
    <n v="41.5"/>
    <m/>
    <m/>
    <n v="41.5"/>
    <m/>
    <s v="6295550536711741,5"/>
    <m/>
    <x v="1"/>
    <n v="41.5"/>
    <n v="0"/>
    <d v="2025-09-25T00:00:00"/>
    <m/>
    <m/>
    <m/>
    <m/>
    <m/>
    <m/>
    <m/>
    <m/>
    <m/>
    <m/>
  </r>
  <r>
    <s v="TRIFÁSICO"/>
    <s v="10/510330-4"/>
    <n v="67992637973"/>
    <n v="62955505367117"/>
    <s v="energisa_ms"/>
    <s v="Igreja do Evangelho Quadrangular"/>
    <x v="3"/>
    <s v="10/3040565-845658"/>
    <s v="SIM"/>
    <n v="47"/>
    <n v="442.86706093189963"/>
    <n v="429.8519897462586"/>
    <s v="Aprovado"/>
    <n v="54.857060931899646"/>
    <n v="41.14"/>
    <d v="2025-07-22T00:00:00"/>
    <d v="2025-08-02T00:00:00"/>
    <n v="41.14"/>
    <m/>
    <s v="6295550536711741,14"/>
    <s v="09/00012472742-9"/>
    <x v="1"/>
    <n v="41.14"/>
    <n v="0"/>
    <e v="#N/A"/>
    <m/>
    <m/>
    <m/>
    <m/>
    <m/>
    <m/>
    <m/>
    <m/>
    <m/>
    <m/>
  </r>
  <r>
    <s v="BIFÁSICO"/>
    <s v="10/226667-4"/>
    <n v="67992637973"/>
    <n v="62955505040894"/>
    <s v="energisa_ms"/>
    <s v="Igreja do Evangelho Quadrangular"/>
    <x v="5"/>
    <s v="10/142353-245809"/>
    <s v="SIM"/>
    <n v="52"/>
    <n v="134.32999999999998"/>
    <n v="120.80749999999999"/>
    <s v="Aprovado"/>
    <n v="54.090000000000011"/>
    <n v="40.57"/>
    <m/>
    <m/>
    <n v="40.57"/>
    <m/>
    <s v="6295550504089440,57"/>
    <m/>
    <x v="1"/>
    <n v="40.57"/>
    <n v="0"/>
    <m/>
    <m/>
    <m/>
    <m/>
    <m/>
    <m/>
    <m/>
    <m/>
    <m/>
    <m/>
    <m/>
  </r>
  <r>
    <s v="TRIFÁSICO"/>
    <s v="10/1695011-5"/>
    <n v="67991767866"/>
    <n v="62955505461210"/>
    <s v="energisa_ms"/>
    <s v="Igreja do Evangelho Quadrangular"/>
    <x v="3"/>
    <s v="10/384823-145901"/>
    <s v="SIM"/>
    <n v="46"/>
    <n v="788.56786618444846"/>
    <n v="775.88713245037593"/>
    <s v="Aprovado"/>
    <n v="53.447866184448472"/>
    <n v="40.090000000000003"/>
    <d v="2025-07-22T00:00:00"/>
    <d v="2025-08-02T00:00:00"/>
    <n v="40.090000000000003"/>
    <m/>
    <s v="6295550546121040,09"/>
    <s v="09/00012472755-1"/>
    <x v="1"/>
    <n v="40.090000000000003"/>
    <n v="0"/>
    <m/>
    <m/>
    <m/>
    <m/>
    <m/>
    <m/>
    <m/>
    <m/>
    <m/>
    <m/>
    <m/>
  </r>
  <r>
    <s v="TRIFÁSICO"/>
    <s v="10/283183-2"/>
    <s v="16 988508102"/>
    <n v="62955505287601"/>
    <s v="energisa_ms"/>
    <s v="Igreja do Evangelho Quadrangular"/>
    <x v="9"/>
    <s v="10/10731-845778"/>
    <s v="SIM"/>
    <n v="52"/>
    <n v="198.8365217391304"/>
    <n v="183.45793358133039"/>
    <s v="Aprovado"/>
    <n v="54.986521739130417"/>
    <n v="39.61"/>
    <d v="2025-11-06T00:00:00"/>
    <d v="2025-11-13T00:00:00"/>
    <n v="39.61"/>
    <m/>
    <s v="6295550528760139,61"/>
    <s v="09/00013026921-8"/>
    <x v="1"/>
    <n v="39.61"/>
    <n v="0"/>
    <m/>
    <m/>
    <m/>
    <m/>
    <m/>
    <m/>
    <m/>
    <m/>
    <m/>
    <m/>
    <m/>
  </r>
  <r>
    <s v="BIFÁSICO"/>
    <s v="10/1130988-7"/>
    <n v="67992637973"/>
    <n v="62955505040894"/>
    <s v="energisa_ms"/>
    <s v="Igreja do Evangelho Quadrangular"/>
    <x v="1"/>
    <s v="10/1288241-145901"/>
    <s v="SIM"/>
    <n v="51"/>
    <n v="108.17785714285716"/>
    <n v="96.405540714285735"/>
    <s v="Aprovado"/>
    <n v="51.31785714285715"/>
    <n v="39.549999999999997"/>
    <d v="2025-09-10T00:00:00"/>
    <d v="2025-09-20T00:00:00"/>
    <n v="39.549999999999997"/>
    <m/>
    <s v="6295550504089439,55"/>
    <s v="09/00012683515-4"/>
    <x v="1"/>
    <n v="39.549999999999997"/>
    <n v="0"/>
    <m/>
    <m/>
    <m/>
    <m/>
    <m/>
    <m/>
    <m/>
    <m/>
    <m/>
    <m/>
    <m/>
  </r>
  <r>
    <s v="BIFÁSICO"/>
    <s v="10/41548-9"/>
    <s v="Solicitação de distrato"/>
    <n v="62955505269026"/>
    <s v="energisa_ms"/>
    <s v="Igreja do Evangelho Quadrangular"/>
    <x v="2"/>
    <s v="10/530195-745839"/>
    <s v="SIM"/>
    <n v="51"/>
    <n v="110.06214285714287"/>
    <n v="98.544424803903212"/>
    <s v="Aprovado"/>
    <n v="50.972142857142863"/>
    <n v="39.450000000000003"/>
    <d v="2025-09-10T00:00:00"/>
    <d v="2025-09-20T00:00:00"/>
    <n v="39.450000000000003"/>
    <m/>
    <s v="6295550526902639,45"/>
    <s v="09/00012749693-1"/>
    <x v="1"/>
    <n v="50.97"/>
    <n v="11.519999999999996"/>
    <d v="2025-11-18T00:00:00"/>
    <m/>
    <m/>
    <m/>
    <m/>
    <m/>
    <m/>
    <m/>
    <m/>
    <m/>
    <m/>
  </r>
  <r>
    <s v="TRIFÁSICO"/>
    <s v="10/283183-2"/>
    <n v="0"/>
    <n v="62955505287601"/>
    <s v="energisa_ms"/>
    <s v="Igreja do Evangelho Quadrangular"/>
    <x v="0"/>
    <s v="10/399338-345717"/>
    <s v="SIM"/>
    <n v="51"/>
    <n v="196.74228260869563"/>
    <n v="182.34313733691567"/>
    <s v="Aprovado"/>
    <n v="53.612282608695651"/>
    <n v="39.21"/>
    <d v="2025-10-03T00:00:00"/>
    <d v="2025-10-13T00:00:00"/>
    <n v="39.21"/>
    <m/>
    <s v="6295550528760139,21"/>
    <s v="09/00012851546-5"/>
    <x v="1"/>
    <n v="39.21"/>
    <n v="0"/>
    <m/>
    <m/>
    <m/>
    <m/>
    <m/>
    <m/>
    <m/>
    <m/>
    <m/>
    <m/>
    <m/>
  </r>
  <r>
    <s v="BIFÁSICO"/>
    <s v="10/952579-1"/>
    <n v="67996150274"/>
    <n v="62955505897930"/>
    <s v="energisa_ms"/>
    <s v="Igreja do Evangelho Quadrangular"/>
    <x v="7"/>
    <s v="10/1939035-045689"/>
    <s v="SIM"/>
    <n v="52"/>
    <n v="113.31"/>
    <n v="100.37"/>
    <s v="Aprovado"/>
    <n v="51.76"/>
    <n v="38.82"/>
    <m/>
    <m/>
    <n v="38.82"/>
    <m/>
    <s v="6295550589793038,82"/>
    <m/>
    <x v="1"/>
    <n v="38.82"/>
    <n v="0"/>
    <m/>
    <m/>
    <m/>
    <m/>
    <m/>
    <m/>
    <m/>
    <m/>
    <m/>
    <m/>
    <m/>
  </r>
  <r>
    <s v="TRIFÁSICO"/>
    <s v="10/283183-2"/>
    <s v="16 988508102"/>
    <n v="62955505287601"/>
    <s v="energisa_ms"/>
    <s v="Igreja do Evangelho Quadrangular"/>
    <x v="4"/>
    <s v="10/52987-545931"/>
    <s v="SIM"/>
    <n v="53"/>
    <n v="237.90999999999997"/>
    <n v="225.00249999999997"/>
    <s v="Aprovado"/>
    <n v="121.75999999999999"/>
    <n v="38.72"/>
    <m/>
    <m/>
    <n v="38.72"/>
    <m/>
    <s v="6295550528760138,72"/>
    <m/>
    <x v="1"/>
    <n v="38.72"/>
    <n v="0"/>
    <m/>
    <m/>
    <m/>
    <m/>
    <m/>
    <m/>
    <m/>
    <m/>
    <m/>
    <m/>
    <m/>
  </r>
  <r>
    <s v="TRIFÁSICO"/>
    <s v="10/252817-2"/>
    <n v="67992637973"/>
    <n v="62955505274020"/>
    <s v="energisa_ms"/>
    <s v="Igreja do Evangelho Quadrangular"/>
    <x v="3"/>
    <s v="10/1672452-845870"/>
    <s v="SIM"/>
    <n v="51"/>
    <n v="204.15463917525773"/>
    <n v="191.91833652183948"/>
    <s v="Aprovado"/>
    <n v="51.574639175257737"/>
    <n v="38.68"/>
    <d v="2025-07-22T00:00:00"/>
    <d v="2025-08-02T00:00:00"/>
    <n v="38.68"/>
    <m/>
    <s v="6295550527402038,68"/>
    <s v="09/00012472779-1"/>
    <x v="1"/>
    <n v="38.68"/>
    <n v="0"/>
    <s v="01/08/2025"/>
    <m/>
    <m/>
    <m/>
    <m/>
    <m/>
    <m/>
    <m/>
    <m/>
    <m/>
    <m/>
  </r>
  <r>
    <s v="BIFÁSICO"/>
    <s v="10/175073-6"/>
    <n v="67999516782"/>
    <n v="62955505134449"/>
    <s v="energisa_ms"/>
    <s v="Igreja do Evangelho Quadrangular"/>
    <x v="8"/>
    <s v="10/395471-645839"/>
    <s v="SIM"/>
    <n v="52"/>
    <n v="127.35560975609756"/>
    <n v="114.62920731707317"/>
    <s v="Aprovado"/>
    <n v="50.905609756097569"/>
    <n v="38.18"/>
    <m/>
    <m/>
    <n v="38.18"/>
    <m/>
    <s v="6295550513444938,18"/>
    <m/>
    <x v="1"/>
    <n v="38.18"/>
    <n v="0"/>
    <m/>
    <m/>
    <m/>
    <m/>
    <m/>
    <m/>
    <m/>
    <m/>
    <m/>
    <m/>
    <m/>
  </r>
  <r>
    <s v="BIFÁSICO"/>
    <s v="10/218777-1"/>
    <n v="0"/>
    <n v="62955505017051"/>
    <s v="energisa_ms"/>
    <s v="Igreja do Evangelho Quadrangular"/>
    <x v="2"/>
    <s v="10/15297-545809"/>
    <s v="SIM"/>
    <n v="45"/>
    <n v="97.907173913043493"/>
    <n v="86.937404347358665"/>
    <s v="Aprovado"/>
    <n v="48.54717391304348"/>
    <n v="37.58"/>
    <d v="2025-09-10T00:00:00"/>
    <d v="2025-09-20T00:00:00"/>
    <n v="37.58"/>
    <m/>
    <s v="6295550501705137,58"/>
    <s v="09/00012749663-4"/>
    <x v="1"/>
    <n v="37.58"/>
    <n v="0"/>
    <m/>
    <m/>
    <m/>
    <m/>
    <m/>
    <m/>
    <m/>
    <m/>
    <m/>
    <m/>
    <m/>
  </r>
  <r>
    <s v="TRIFÁSICO"/>
    <s v="10/52987-5"/>
    <n v="67996983476"/>
    <n v="62955505182257"/>
    <s v="energisa_ms"/>
    <s v="Igreja do Evangelho Quadrangular"/>
    <x v="1"/>
    <s v="10/135237-645748"/>
    <s v="SIM"/>
    <n v="47"/>
    <n v="192.61119565217393"/>
    <n v="181.76259536956522"/>
    <s v="Aprovado"/>
    <n v="47.871195652173924"/>
    <n v="37.020000000000003"/>
    <d v="2025-09-10T00:00:00"/>
    <d v="2025-09-20T00:00:00"/>
    <n v="37.020000000000003"/>
    <m/>
    <s v="6295550518225737,02"/>
    <s v="09/00012683524-6"/>
    <x v="1"/>
    <n v="37.020000000000003"/>
    <n v="0"/>
    <m/>
    <m/>
    <m/>
    <m/>
    <m/>
    <m/>
    <m/>
    <m/>
    <m/>
    <m/>
    <m/>
  </r>
  <r>
    <s v="BIFÁSICO"/>
    <s v="10/10232-7"/>
    <s v="67 996415566"/>
    <n v="62955505393207"/>
    <s v="energisa_ms"/>
    <s v="Igreja do Evangelho Quadrangular"/>
    <x v="7"/>
    <s v="10/3170252-545689"/>
    <s v="SIM"/>
    <n v="45"/>
    <n v="120.97"/>
    <n v="108.98250000000002"/>
    <s v="Aprovado"/>
    <n v="47.949999999999989"/>
    <n v="35.96"/>
    <m/>
    <m/>
    <n v="35.96"/>
    <m/>
    <s v="6295550539320735,96"/>
    <m/>
    <x v="1"/>
    <n v="35.96"/>
    <n v="0"/>
    <m/>
    <m/>
    <n v="283032"/>
    <n v="502"/>
    <s v="Igreja do Evangelho Quadrangular"/>
    <s v="'62955505134449'"/>
    <n v="72.260000000000005"/>
    <m/>
    <s v="A Unidade Consumidora 10/175073-6 economizou R$24,09 na fatura referente à jun/2025  consumindo 95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24514-2"/>
    <n v="67996266684"/>
    <n v="62955505157066"/>
    <s v="energisa_ms"/>
    <s v="Igreja do Evangelho Quadrangular"/>
    <x v="1"/>
    <s v="10/283183-245778"/>
    <s v="SIM"/>
    <n v="45"/>
    <n v="160.50064516129032"/>
    <n v="150.11555916129032"/>
    <s v="Aprovado"/>
    <n v="46.070645161290315"/>
    <n v="35.69"/>
    <d v="2025-09-10T00:00:00"/>
    <d v="2025-09-20T00:00:00"/>
    <n v="35.69"/>
    <m/>
    <s v="6295550515706635,69"/>
    <s v="09/00012683523-8"/>
    <x v="1"/>
    <n v="35.69"/>
    <n v="0"/>
    <m/>
    <m/>
    <m/>
    <m/>
    <m/>
    <m/>
    <m/>
    <m/>
    <m/>
    <m/>
    <m/>
  </r>
  <r>
    <s v="TRIFÁSICO"/>
    <s v="10/987178-1"/>
    <n v="67993496482"/>
    <n v="62955505015512"/>
    <s v="energisa_ms"/>
    <s v="Igreja do Evangelho Quadrangular"/>
    <x v="9"/>
    <s v="10/925970-645870"/>
    <s v="SIM"/>
    <n v="40"/>
    <n v="225.56399999999999"/>
    <n v="211.74113364891355"/>
    <s v="Aprovado"/>
    <n v="49.423999999999999"/>
    <n v="35.6"/>
    <d v="2025-11-06T00:00:00"/>
    <d v="2025-11-13T00:00:00"/>
    <n v="35.6"/>
    <m/>
    <s v="6295550501551235,6"/>
    <s v="09/00013026991-1"/>
    <x v="1"/>
    <n v="49.42"/>
    <n v="0"/>
    <d v="2025-12-04T00:00:00"/>
    <s v="Cobrança Regular"/>
    <m/>
    <m/>
    <m/>
    <m/>
    <m/>
    <m/>
    <m/>
    <m/>
    <m/>
  </r>
  <r>
    <s v="BIFÁSICO"/>
    <s v="10/218777-1"/>
    <n v="67999031330"/>
    <n v="62955505017051"/>
    <s v="energisa_ms"/>
    <s v="Igreja do Evangelho Quadrangular"/>
    <x v="3"/>
    <s v="10/1130988-745870"/>
    <s v="SIM"/>
    <n v="44"/>
    <n v="103.93304347826088"/>
    <n v="92.733920510095714"/>
    <s v="Aprovado"/>
    <n v="47.203043478260867"/>
    <n v="35.4"/>
    <d v="2025-07-22T00:00:00"/>
    <d v="2025-08-02T00:00:00"/>
    <n v="35.4"/>
    <m/>
    <s v="6295550501705135,4"/>
    <s v="09/00012472759-3"/>
    <x v="1"/>
    <n v="35.4"/>
    <n v="0"/>
    <s v="04/08/2025"/>
    <m/>
    <m/>
    <m/>
    <m/>
    <m/>
    <m/>
    <m/>
    <m/>
    <m/>
    <m/>
  </r>
  <r>
    <s v="TRIFÁSICO"/>
    <s v="10/69319-2"/>
    <n v="67998363594"/>
    <n v="62955505182257"/>
    <s v="energisa_ms"/>
    <s v="Igreja do Evangelho Quadrangular"/>
    <x v="1"/>
    <s v="10/175073-645870"/>
    <s v="SIM"/>
    <n v="43"/>
    <n v="188.09279569892476"/>
    <n v="178.16601636559142"/>
    <s v="Aprovado"/>
    <n v="44.85279569892473"/>
    <n v="34.93"/>
    <d v="2025-09-10T00:00:00"/>
    <d v="2025-09-20T00:00:00"/>
    <n v="34.93"/>
    <m/>
    <s v="6295550518225734,93"/>
    <s v="09/00012683542-8"/>
    <x v="1"/>
    <n v="44.85"/>
    <n v="9.9200000000000017"/>
    <d v="2025-09-19T00:00:00"/>
    <m/>
    <m/>
    <m/>
    <m/>
    <m/>
    <m/>
    <m/>
    <m/>
    <m/>
    <m/>
  </r>
  <r>
    <s v="TRIFÁSICO"/>
    <s v="10/908866-7"/>
    <n v="67992637973"/>
    <n v="62955505358630"/>
    <s v="energisa_ms"/>
    <s v="Igreja do Evangelho Quadrangular"/>
    <x v="9"/>
    <s v="10/2247256-745778"/>
    <s v="SIM"/>
    <n v="45"/>
    <n v="193.9983870967742"/>
    <n v="180.67212279838594"/>
    <s v="Aprovado"/>
    <n v="47.648387096774194"/>
    <n v="34.32"/>
    <d v="2025-11-06T00:00:00"/>
    <d v="2025-11-13T00:00:00"/>
    <n v="34.32"/>
    <m/>
    <s v="6295550535863034,32"/>
    <s v="09/00013026918-4"/>
    <x v="1"/>
    <n v="34.32"/>
    <n v="0"/>
    <m/>
    <m/>
    <m/>
    <m/>
    <m/>
    <m/>
    <m/>
    <m/>
    <m/>
    <m/>
    <m/>
  </r>
  <r>
    <s v="TRIFÁSICO"/>
    <s v="10/52987-5"/>
    <n v="67996983476"/>
    <n v="62955505182257"/>
    <s v="energisa_ms"/>
    <s v="Igreja do Evangelho Quadrangular"/>
    <x v="3"/>
    <s v="10/283183-245658"/>
    <s v="SIM"/>
    <n v="45"/>
    <n v="256.31"/>
    <n v="245.49120591983601"/>
    <s v="Aprovado"/>
    <n v="45.6"/>
    <n v="34.200000000000003"/>
    <d v="2025-07-22T00:00:00"/>
    <d v="2025-08-02T00:00:00"/>
    <n v="34.200000000000003"/>
    <m/>
    <s v="6295550518225734,2"/>
    <s v="09/00012472792-4"/>
    <x v="1"/>
    <n v="45.6"/>
    <n v="11.399999999999999"/>
    <d v="2025-09-19T00:00:00"/>
    <m/>
    <m/>
    <m/>
    <m/>
    <m/>
    <m/>
    <m/>
    <m/>
    <m/>
    <m/>
  </r>
  <r>
    <s v="TRIFÁSICO"/>
    <s v="10/237441-1"/>
    <n v="67992637973"/>
    <n v="62955505017213"/>
    <s v="energisa_ms"/>
    <s v="Igreja do Evangelho Quadrangular"/>
    <x v="9"/>
    <s v="10/237441-145839"/>
    <s v="SIM"/>
    <n v="39"/>
    <n v="178.06960000000001"/>
    <n v="164.82410345498315"/>
    <s v="Aprovado"/>
    <n v="47.359599999899999"/>
    <n v="34.11"/>
    <d v="2025-11-06T00:00:00"/>
    <d v="2025-11-13T00:00:00"/>
    <n v="34.11"/>
    <m/>
    <s v="6295550501721334,11"/>
    <s v="09/00013026979-6"/>
    <x v="1"/>
    <n v="34.11"/>
    <n v="0"/>
    <m/>
    <m/>
    <m/>
    <m/>
    <m/>
    <m/>
    <m/>
    <m/>
    <m/>
    <m/>
    <m/>
  </r>
  <r>
    <s v="BIFÁSICO"/>
    <s v="10/218777-1"/>
    <n v="0"/>
    <n v="62955505017051"/>
    <s v="energisa_ms"/>
    <s v="Igreja do Evangelho Quadrangular"/>
    <x v="0"/>
    <s v="10/505854-045658"/>
    <s v="SIM"/>
    <n v="41"/>
    <n v="106.34127659574469"/>
    <n v="93.962117284287331"/>
    <s v="Aprovado"/>
    <n v="46.091276595744681"/>
    <n v="33.71"/>
    <d v="2025-10-03T00:00:00"/>
    <d v="2025-10-13T00:00:00"/>
    <n v="33.71"/>
    <m/>
    <s v="6295550501705133,71"/>
    <s v="09/00012851422-9"/>
    <x v="1"/>
    <n v="33.71"/>
    <n v="0"/>
    <m/>
    <m/>
    <m/>
    <m/>
    <m/>
    <m/>
    <m/>
    <m/>
    <m/>
    <m/>
    <m/>
  </r>
  <r>
    <s v="TRIFÁSICO"/>
    <s v="10/505854-0"/>
    <n v="67996446178"/>
    <n v="62955505887382"/>
    <s v="energisa_ms"/>
    <s v="Igreja do Evangelho Quadrangular"/>
    <x v="6"/>
    <s v="10/2794432-145870"/>
    <s v="SIM"/>
    <n v="46"/>
    <m/>
    <m/>
    <s v="Aprovado"/>
    <n v="44.800000000000004"/>
    <n v="33.6"/>
    <m/>
    <m/>
    <m/>
    <s v="não emitido pela EGS"/>
    <s v="62955505887382"/>
    <m/>
    <x v="0"/>
    <n v="0"/>
    <n v="0"/>
    <m/>
    <m/>
    <m/>
    <m/>
    <m/>
    <m/>
    <m/>
    <m/>
    <m/>
    <m/>
    <m/>
  </r>
  <r>
    <s v="TRIFÁSICO"/>
    <s v="10/1117293-9"/>
    <n v="0"/>
    <n v="62955505892114"/>
    <s v="energisa_ms"/>
    <s v="Igreja do Evangelho Quadrangular"/>
    <x v="0"/>
    <s v="10/10731-845689"/>
    <s v="SIM"/>
    <n v="38"/>
    <n v="188.13099999999997"/>
    <n v="175.80294502901521"/>
    <s v="Aprovado"/>
    <n v="45.900999999999996"/>
    <n v="33.57"/>
    <d v="2025-10-03T00:00:00"/>
    <d v="2025-10-13T00:00:00"/>
    <n v="33.57"/>
    <m/>
    <s v="6295550589211433,57"/>
    <s v="09/00012851429-4"/>
    <x v="1"/>
    <n v="33.57"/>
    <n v="0"/>
    <m/>
    <m/>
    <m/>
    <m/>
    <m/>
    <m/>
    <m/>
    <m/>
    <m/>
    <m/>
    <m/>
  </r>
  <r>
    <s v="BIFÁSICO"/>
    <s v="10/452884-0"/>
    <n v="0"/>
    <n v="62955505000167"/>
    <s v="energisa_ms"/>
    <s v="Igreja do Evangelho Quadrangular"/>
    <x v="2"/>
    <s v="10/1288241-145689"/>
    <s v="SIM"/>
    <n v="36"/>
    <n v="102.30000000000001"/>
    <n v="92.624348567766575"/>
    <s v="Aprovado"/>
    <n v="42.82"/>
    <n v="33.14"/>
    <d v="2025-09-10T00:00:00"/>
    <d v="2025-09-20T00:00:00"/>
    <n v="33.14"/>
    <m/>
    <s v="6295550500016733,14"/>
    <s v="09/00012749657-6"/>
    <x v="1"/>
    <n v="33.14"/>
    <n v="0"/>
    <m/>
    <m/>
    <m/>
    <m/>
    <m/>
    <m/>
    <m/>
    <m/>
    <m/>
    <m/>
    <m/>
  </r>
  <r>
    <s v="BIFÁSICO"/>
    <s v="10/31292-6"/>
    <n v="67996266684"/>
    <n v="62955505016080"/>
    <s v="energisa_ms"/>
    <s v="Igreja do Evangelho Quadrangular"/>
    <x v="4"/>
    <s v="10/78338-145778"/>
    <s v="SIM"/>
    <n v="0"/>
    <m/>
    <m/>
    <s v="Aprovado"/>
    <n v="0"/>
    <n v="32.15"/>
    <m/>
    <m/>
    <m/>
    <s v="não emitido pela EGS"/>
    <s v="62955505016080"/>
    <m/>
    <x v="0"/>
    <n v="0"/>
    <n v="0"/>
    <m/>
    <m/>
    <m/>
    <m/>
    <m/>
    <m/>
    <m/>
    <m/>
    <m/>
    <m/>
    <m/>
  </r>
  <r>
    <s v="BIFÁSICO"/>
    <s v="10/31292-6"/>
    <n v="67996266684"/>
    <n v="62955505016080"/>
    <s v="energisa_ms"/>
    <s v="Igreja do Evangelho Quadrangular"/>
    <x v="6"/>
    <s v="10/511753-645689"/>
    <s v="SIM"/>
    <n v="44"/>
    <n v="255.73"/>
    <n v="245.01499999999999"/>
    <s v="Aprovado"/>
    <n v="42.86"/>
    <n v="32.15"/>
    <m/>
    <m/>
    <n v="32.15"/>
    <m/>
    <s v="6295550501608032,15"/>
    <m/>
    <x v="1"/>
    <n v="32.15"/>
    <n v="0"/>
    <m/>
    <m/>
    <m/>
    <m/>
    <m/>
    <m/>
    <m/>
    <m/>
    <m/>
    <m/>
    <s v="DEPÓSITO ÚNICO ITAU 30/05/2025"/>
  </r>
  <r>
    <s v="BIFÁSICO"/>
    <s v="10/511753-6"/>
    <n v="67996266684"/>
    <n v="62955505016080"/>
    <s v="energisa_ms"/>
    <s v="Igreja do Evangelho Quadrangular"/>
    <x v="1"/>
    <s v="10/1548741-645870"/>
    <s v="SIM"/>
    <n v="32"/>
    <n v="120.03840000000001"/>
    <n v="111.50279304"/>
    <s v="Aprovado"/>
    <n v="40.148399999999995"/>
    <n v="31.61"/>
    <d v="2025-09-10T00:00:00"/>
    <d v="2025-09-20T00:00:00"/>
    <n v="31.61"/>
    <m/>
    <s v="6295550501608031,61"/>
    <s v="09/00012683490-0"/>
    <x v="1"/>
    <n v="31.61"/>
    <n v="0"/>
    <m/>
    <m/>
    <m/>
    <m/>
    <m/>
    <m/>
    <m/>
    <m/>
    <m/>
    <m/>
    <m/>
  </r>
  <r>
    <s v="TRIFÁSICO"/>
    <s v="10/987178-1"/>
    <n v="67993496482"/>
    <n v="62955505015512"/>
    <s v="energisa_ms"/>
    <s v="Igreja do Evangelho Quadrangular"/>
    <x v="4"/>
    <s v="10/1939035-045901"/>
    <s v="SIM"/>
    <n v="37"/>
    <n v="204.92"/>
    <n v="194.5975"/>
    <s v="Aprovado"/>
    <n v="41.29"/>
    <n v="30.97"/>
    <m/>
    <m/>
    <n v="30.97"/>
    <m/>
    <s v="6295550501551230,97"/>
    <m/>
    <x v="1"/>
    <n v="30.97"/>
    <n v="0"/>
    <m/>
    <m/>
    <m/>
    <m/>
    <m/>
    <m/>
    <m/>
    <m/>
    <m/>
    <m/>
    <m/>
  </r>
  <r>
    <s v="BIFÁSICO"/>
    <s v="10/3125732-2"/>
    <s v="Solicitação de distrato"/>
    <n v="62955505015512"/>
    <s v="energisa_ms"/>
    <s v="Igreja do Evangelho Quadrangular"/>
    <x v="0"/>
    <s v="10/10731-845717"/>
    <s v="SIM"/>
    <n v="40"/>
    <n v="297"/>
    <n v="285.70624362149175"/>
    <s v="Aprovado"/>
    <n v="42.05"/>
    <n v="30.76"/>
    <d v="2025-10-03T00:00:00"/>
    <d v="2025-10-13T00:00:00"/>
    <n v="30.76"/>
    <m/>
    <s v="6295550501551230,76"/>
    <s v="09/00012851538-2"/>
    <x v="1"/>
    <n v="30.76"/>
    <n v="0"/>
    <m/>
    <m/>
    <m/>
    <m/>
    <m/>
    <m/>
    <m/>
    <m/>
    <m/>
    <m/>
    <m/>
  </r>
  <r>
    <s v="BIFÁSICO"/>
    <s v="10/175073-6"/>
    <n v="67999516782"/>
    <n v="62955505134449"/>
    <s v="energisa_ms"/>
    <s v="Igreja do Evangelho Quadrangular"/>
    <x v="5"/>
    <s v="10/239312-245778"/>
    <s v="SIM"/>
    <n v="40"/>
    <n v="112.53000000000002"/>
    <n v="102.80500000000001"/>
    <s v="Aprovado"/>
    <n v="38.900000000000006"/>
    <n v="29.18"/>
    <m/>
    <m/>
    <n v="29.18"/>
    <m/>
    <s v="6295550513444929,18"/>
    <m/>
    <x v="1"/>
    <n v="29.18"/>
    <n v="0"/>
    <m/>
    <m/>
    <m/>
    <m/>
    <m/>
    <m/>
    <m/>
    <m/>
    <m/>
    <m/>
    <m/>
  </r>
  <r>
    <s v="BIFÁSICO"/>
    <s v="10/10232-7"/>
    <n v="0"/>
    <n v="62955505393207"/>
    <s v="energisa_ms"/>
    <s v="Igreja do Evangelho Quadrangular"/>
    <x v="2"/>
    <s v="10/283183-245748"/>
    <s v="SIM"/>
    <n v="31"/>
    <n v="113.4804"/>
    <n v="105.16042438123755"/>
    <s v="Aprovado"/>
    <n v="36.820399999999999"/>
    <n v="28.5"/>
    <d v="2025-09-10T00:00:00"/>
    <d v="2025-09-20T00:00:00"/>
    <n v="28.5"/>
    <m/>
    <s v="6295550539320728,5"/>
    <s v="09/00012749659-2"/>
    <x v="1"/>
    <n v="28.5"/>
    <n v="0"/>
    <m/>
    <m/>
    <m/>
    <m/>
    <m/>
    <m/>
    <m/>
    <m/>
    <m/>
    <m/>
    <m/>
  </r>
  <r>
    <s v="BIFÁSICO"/>
    <s v="10/466560-0"/>
    <n v="67998302932"/>
    <n v="62955505015512"/>
    <s v="energisa_ms"/>
    <s v="Igreja do Evangelho Quadrangular"/>
    <x v="4"/>
    <s v="10/40190-145748"/>
    <s v="SIM"/>
    <n v="0"/>
    <m/>
    <m/>
    <s v="Aprovado"/>
    <n v="0"/>
    <n v="28.49"/>
    <m/>
    <m/>
    <m/>
    <s v="não emitido pela EGS"/>
    <s v="62955505015512"/>
    <m/>
    <x v="0"/>
    <n v="0"/>
    <n v="0"/>
    <m/>
    <m/>
    <m/>
    <m/>
    <m/>
    <m/>
    <m/>
    <m/>
    <m/>
    <m/>
    <m/>
  </r>
  <r>
    <s v="BIFÁSICO"/>
    <s v="10/466560-0"/>
    <n v="67998302932"/>
    <n v="62955505015512"/>
    <s v="energisa_ms"/>
    <s v="Igreja do Evangelho Quadrangular"/>
    <x v="6"/>
    <s v="10/489076-045658"/>
    <s v="SIM"/>
    <n v="39"/>
    <n v="245.91"/>
    <n v="236.41249999999999"/>
    <s v="Aprovado"/>
    <n v="37.99"/>
    <n v="28.49"/>
    <m/>
    <m/>
    <n v="28.49"/>
    <m/>
    <s v="6295550501551228,49"/>
    <m/>
    <x v="1"/>
    <n v="28.49"/>
    <n v="0"/>
    <m/>
    <m/>
    <m/>
    <m/>
    <m/>
    <m/>
    <m/>
    <m/>
    <m/>
    <m/>
    <m/>
  </r>
  <r>
    <s v="BIFÁSICO"/>
    <s v="10/175073-6"/>
    <n v="67999516782"/>
    <n v="62955505134449"/>
    <s v="energisa_ms"/>
    <s v="Igreja do Evangelho Quadrangular"/>
    <x v="6"/>
    <s v="10/29964-445901"/>
    <s v="SIM"/>
    <n v="38"/>
    <n v="109.91"/>
    <n v="100.6575"/>
    <s v="Aprovado"/>
    <n v="37.009999999999991"/>
    <n v="27.76"/>
    <m/>
    <m/>
    <n v="27.76"/>
    <m/>
    <s v="6295550513444927,76"/>
    <m/>
    <x v="1"/>
    <n v="27.76"/>
    <n v="0"/>
    <m/>
    <m/>
    <m/>
    <m/>
    <m/>
    <m/>
    <m/>
    <m/>
    <m/>
    <m/>
    <m/>
  </r>
  <r>
    <s v="BIFÁSICO"/>
    <s v="10/175073-6"/>
    <n v="67999516782"/>
    <n v="62955505134449"/>
    <s v="energisa_ms"/>
    <s v="Igreja do Evangelho Quadrangular"/>
    <x v="1"/>
    <s v="10/218777-145870"/>
    <s v="SIM"/>
    <n v="33"/>
    <n v="106.17533333333333"/>
    <n v="98.558029866666658"/>
    <s v="Aprovado"/>
    <n v="34.435333333333318"/>
    <n v="26.82"/>
    <d v="2025-09-10T00:00:00"/>
    <d v="2025-09-20T00:00:00"/>
    <n v="26.82"/>
    <m/>
    <s v="6295550513444926,82"/>
    <s v="09/00012683543-6"/>
    <x v="1"/>
    <n v="26.82"/>
    <n v="0"/>
    <m/>
    <m/>
    <m/>
    <m/>
    <m/>
    <m/>
    <m/>
    <m/>
    <m/>
    <m/>
    <m/>
  </r>
  <r>
    <s v="BIFÁSICO"/>
    <s v="10/218777-1"/>
    <n v="67999031330"/>
    <n v="62955505017051"/>
    <s v="energisa_ms"/>
    <s v="Igreja do Evangelho Quadrangular"/>
    <x v="1"/>
    <s v="10/41548-945870"/>
    <s v="SIM"/>
    <n v="30"/>
    <n v="90.717499999999987"/>
    <n v="83.292395499999984"/>
    <s v="Aprovado"/>
    <n v="32.967499999999994"/>
    <n v="25.54"/>
    <d v="2025-09-10T00:00:00"/>
    <d v="2025-09-20T00:00:00"/>
    <n v="25.54"/>
    <m/>
    <s v="6295550501705125,54"/>
    <s v="09/00012683537-8"/>
    <x v="1"/>
    <n v="25.54"/>
    <n v="0"/>
    <m/>
    <m/>
    <m/>
    <m/>
    <m/>
    <m/>
    <m/>
    <m/>
    <m/>
    <m/>
    <m/>
  </r>
  <r>
    <s v="BIFÁSICO"/>
    <s v="10/10232-7"/>
    <s v="67 996415566"/>
    <n v="62955505393207"/>
    <s v="energisa_ms"/>
    <s v="Igreja do Evangelho Quadrangular"/>
    <x v="3"/>
    <s v="10/1433087-245931"/>
    <s v="SIM"/>
    <n v="28"/>
    <n v="91.931600000000003"/>
    <n v="84.104202483001345"/>
    <s v="Aprovado"/>
    <n v="32.991600000000005"/>
    <n v="24.74"/>
    <d v="2025-07-22T00:00:00"/>
    <d v="2025-08-02T00:00:00"/>
    <n v="24.74"/>
    <m/>
    <s v="6295550539320724,74"/>
    <s v="09/00012472762-7"/>
    <x v="1"/>
    <n v="24.74"/>
    <n v="0"/>
    <s v="01/08/2025"/>
    <m/>
    <m/>
    <m/>
    <m/>
    <m/>
    <m/>
    <m/>
    <m/>
    <m/>
    <m/>
  </r>
  <r>
    <s v="BIFÁSICO"/>
    <s v="10/226667-4"/>
    <n v="67992637973"/>
    <n v="62955505040894"/>
    <s v="energisa_ms"/>
    <s v="Igreja do Evangelho Quadrangular"/>
    <x v="8"/>
    <s v="10/1548741-645689"/>
    <s v="SIM"/>
    <n v="27"/>
    <n v="87.330200000000005"/>
    <n v="79.675150000000002"/>
    <s v="Aprovado"/>
    <n v="30.620200000000001"/>
    <n v="22.97"/>
    <m/>
    <m/>
    <n v="22.97"/>
    <m/>
    <s v="6295550504089422,97"/>
    <m/>
    <x v="1"/>
    <n v="30.62"/>
    <n v="7.6500000000000021"/>
    <d v="2025-09-26T00:00:00"/>
    <m/>
    <m/>
    <m/>
    <m/>
    <m/>
    <m/>
    <m/>
    <m/>
    <m/>
    <m/>
  </r>
  <r>
    <s v="TRIFÁSICO"/>
    <s v="10/1288241-1"/>
    <n v="67991133770"/>
    <n v="62955505335851"/>
    <s v="energisa_ms"/>
    <s v="Igreja do Evangelho Quadrangular"/>
    <x v="4"/>
    <s v="10/63920-345839"/>
    <s v="SIM"/>
    <n v="0"/>
    <m/>
    <m/>
    <s v="Aprovado"/>
    <n v="0"/>
    <n v="22.65"/>
    <m/>
    <m/>
    <m/>
    <s v="não emitido pela EGS"/>
    <s v="62955505335851"/>
    <m/>
    <x v="0"/>
    <n v="0"/>
    <n v="0"/>
    <m/>
    <m/>
    <m/>
    <m/>
    <m/>
    <m/>
    <m/>
    <m/>
    <m/>
    <m/>
    <m/>
  </r>
  <r>
    <s v="TRIFÁSICO"/>
    <s v="10/1288241-1"/>
    <n v="67991133770"/>
    <n v="62955505335851"/>
    <s v="energisa_ms"/>
    <s v="Igreja do Evangelho Quadrangular"/>
    <x v="6"/>
    <s v="10/532081-745658"/>
    <s v="SIM"/>
    <n v="31"/>
    <n v="282.41000000000003"/>
    <n v="274.86"/>
    <s v="Aprovado"/>
    <n v="30.200000000000003"/>
    <n v="22.65"/>
    <m/>
    <m/>
    <n v="22.65"/>
    <m/>
    <s v="6295550533585122,65"/>
    <m/>
    <x v="1"/>
    <n v="22.65"/>
    <n v="0"/>
    <m/>
    <m/>
    <m/>
    <m/>
    <m/>
    <m/>
    <m/>
    <m/>
    <m/>
    <m/>
    <m/>
  </r>
  <r>
    <s v="TRIFÁSICO"/>
    <s v="10/908866-7"/>
    <n v="67992637973"/>
    <n v="62955505358630"/>
    <s v="energisa_ms"/>
    <s v="Igreja do Evangelho Quadrangular"/>
    <x v="5"/>
    <s v="10/276283-945870"/>
    <s v="SIM"/>
    <n v="31"/>
    <n v="167.21"/>
    <n v="159.67000000000002"/>
    <s v="Aprovado"/>
    <n v="30.159999999999997"/>
    <n v="22.62"/>
    <m/>
    <m/>
    <n v="22.62"/>
    <m/>
    <s v="6295550535863022,62"/>
    <m/>
    <x v="1"/>
    <n v="22.62"/>
    <n v="0"/>
    <m/>
    <m/>
    <m/>
    <m/>
    <m/>
    <m/>
    <m/>
    <m/>
    <m/>
    <m/>
    <m/>
  </r>
  <r>
    <s v="TRIFÁSICO"/>
    <s v="10/283183-2"/>
    <s v="16 988508102"/>
    <n v="62955505287601"/>
    <s v="energisa_ms"/>
    <s v="Igreja do Evangelho Quadrangular"/>
    <x v="5"/>
    <s v="10/1433087-245689"/>
    <s v="SIM"/>
    <n v="31"/>
    <n v="165.03"/>
    <n v="157.49250000000001"/>
    <s v="Aprovado"/>
    <n v="30.150000000000002"/>
    <n v="22.61"/>
    <m/>
    <m/>
    <n v="22.61"/>
    <m/>
    <s v="6295550528760122,61"/>
    <m/>
    <x v="1"/>
    <n v="22.61"/>
    <n v="0"/>
    <m/>
    <m/>
    <m/>
    <m/>
    <m/>
    <m/>
    <m/>
    <m/>
    <m/>
    <m/>
    <m/>
  </r>
  <r>
    <s v="TRIFÁSICO"/>
    <s v="10/1184751-4"/>
    <s v="67 96034976"/>
    <n v="62955505149047"/>
    <s v="energisa_ms"/>
    <s v="Igreja do Evangelho Quadrangular"/>
    <x v="9"/>
    <s v="10/1433087-245839"/>
    <s v="SIM"/>
    <n v="118"/>
    <n v="444.05747368421055"/>
    <n v="403.58300182026369"/>
    <s v="Aprovado"/>
    <n v="62.507473684110522"/>
    <n v="22.03"/>
    <d v="2025-11-06T00:00:00"/>
    <d v="2025-11-13T00:00:00"/>
    <n v="22.03"/>
    <m/>
    <s v="6295550514904722,03"/>
    <s v="09/00013026968-9"/>
    <x v="1"/>
    <n v="22.03"/>
    <n v="0"/>
    <m/>
    <m/>
    <m/>
    <m/>
    <m/>
    <m/>
    <m/>
    <m/>
    <m/>
    <m/>
    <m/>
  </r>
  <r>
    <s v="TRIFÁSICO"/>
    <s v="10/908866-7"/>
    <n v="0"/>
    <n v="62955505358630"/>
    <s v="energisa_ms"/>
    <s v="Igreja do Evangelho Quadrangular"/>
    <x v="0"/>
    <s v="10/252817-245717"/>
    <s v="SIM"/>
    <n v="27"/>
    <n v="177.2759375"/>
    <n v="169.65206442745389"/>
    <s v="Aprovado"/>
    <n v="28.385937500000001"/>
    <n v="20.76"/>
    <d v="2025-10-03T00:00:00"/>
    <d v="2025-10-13T00:00:00"/>
    <n v="20.76"/>
    <m/>
    <s v="6295550535863020,76"/>
    <s v="09/00012851547-3"/>
    <x v="1"/>
    <n v="20.76"/>
    <n v="0"/>
    <m/>
    <m/>
    <m/>
    <m/>
    <m/>
    <m/>
    <m/>
    <m/>
    <m/>
    <m/>
    <m/>
  </r>
  <r>
    <s v="TRIFÁSICO"/>
    <s v="10/3054052-0"/>
    <n v="67996266684"/>
    <n v="62955505312487"/>
    <s v="energisa_ms"/>
    <s v="Igreja do Evangelho Quadrangular"/>
    <x v="8"/>
    <s v="10/113971-645658"/>
    <s v="SIM"/>
    <n v="27"/>
    <n v="178.00218749999999"/>
    <n v="171.47414062499999"/>
    <s v="Aprovado"/>
    <n v="26.112187499999997"/>
    <n v="19.579999999999998"/>
    <m/>
    <m/>
    <n v="19.579999999999998"/>
    <m/>
    <s v="6295550531248719,58"/>
    <m/>
    <x v="1"/>
    <n v="19.579999999999998"/>
    <n v="0"/>
    <m/>
    <m/>
    <m/>
    <m/>
    <m/>
    <m/>
    <m/>
    <m/>
    <m/>
    <m/>
    <m/>
  </r>
  <r>
    <s v="TRIFÁSICO"/>
    <s v="10/1117293-9"/>
    <n v="0"/>
    <n v="62955505892114"/>
    <s v="energisa_ms"/>
    <s v="Igreja do Evangelho Quadrangular"/>
    <x v="2"/>
    <s v="10/908866-745901"/>
    <s v="SIM"/>
    <n v="21"/>
    <n v="165.29850000000002"/>
    <n v="159.66111116868112"/>
    <s v="Aprovado"/>
    <n v="24.948500000000003"/>
    <n v="19.309999999999999"/>
    <d v="2025-09-10T00:00:00"/>
    <d v="2025-09-20T00:00:00"/>
    <n v="19.309999999999999"/>
    <m/>
    <s v="6295550589211419,31"/>
    <s v="09/00012749661-8"/>
    <x v="1"/>
    <n v="19.309999999999999"/>
    <n v="0"/>
    <m/>
    <m/>
    <m/>
    <m/>
    <m/>
    <m/>
    <m/>
    <m/>
    <m/>
    <m/>
    <m/>
  </r>
  <r>
    <s v="TRIFÁSICO"/>
    <s v="10/15297-5"/>
    <n v="67996266684"/>
    <n v="62955505312487"/>
    <s v="energisa_ms"/>
    <s v="Igreja do Evangelho Quadrangular"/>
    <x v="3"/>
    <s v="10/191945-545748"/>
    <s v="SIM"/>
    <n v="24"/>
    <n v="443.50685393258431"/>
    <n v="437.75418463897807"/>
    <s v="Aprovado"/>
    <n v="24.246853932584273"/>
    <n v="18.190000000000001"/>
    <d v="2025-07-22T00:00:00"/>
    <d v="2025-08-02T00:00:00"/>
    <n v="18.190000000000001"/>
    <m/>
    <s v="6295550531248718,19"/>
    <s v="09/00012472773-4"/>
    <x v="1"/>
    <n v="18.190000000000001"/>
    <n v="0"/>
    <s v="05/08/2025"/>
    <m/>
    <m/>
    <m/>
    <m/>
    <m/>
    <m/>
    <m/>
    <m/>
    <m/>
    <m/>
  </r>
  <r>
    <s v="TRIFÁSICO"/>
    <s v="10/987178-1"/>
    <n v="67993496482"/>
    <n v="62955505015512"/>
    <s v="energisa_ms"/>
    <s v="Igreja do Evangelho Quadrangular"/>
    <x v="8"/>
    <s v="10/532081-745901"/>
    <s v="SIM"/>
    <n v="21"/>
    <n v="188.55560000000003"/>
    <n v="182.65670000000003"/>
    <s v="Aprovado"/>
    <n v="23.595599999999997"/>
    <n v="17.7"/>
    <m/>
    <m/>
    <n v="17.7"/>
    <m/>
    <s v="6295550501551217,7"/>
    <m/>
    <x v="1"/>
    <n v="17.7"/>
    <n v="0"/>
    <m/>
    <m/>
    <m/>
    <m/>
    <m/>
    <m/>
    <m/>
    <m/>
    <m/>
    <m/>
    <m/>
  </r>
  <r>
    <s v="TRIFÁSICO"/>
    <s v="10/501586-2"/>
    <n v="0"/>
    <n v="62955505273058"/>
    <s v="energisa_ms"/>
    <s v="Igreja do Evangelho Quadrangular"/>
    <x v="0"/>
    <s v="10/2344751-945658"/>
    <s v="SIM"/>
    <n v="21"/>
    <n v="144.96939393939394"/>
    <n v="138.5370842945797"/>
    <s v="Aprovado"/>
    <n v="23.949393939393943"/>
    <n v="17.52"/>
    <d v="2025-10-03T00:00:00"/>
    <d v="2025-10-13T00:00:00"/>
    <n v="17.52"/>
    <m/>
    <s v="6295550527305817,52"/>
    <s v="09/00012851425-2"/>
    <x v="1"/>
    <n v="17.52"/>
    <n v="0"/>
    <m/>
    <m/>
    <m/>
    <m/>
    <m/>
    <m/>
    <m/>
    <m/>
    <m/>
    <m/>
    <m/>
  </r>
  <r>
    <s v="BIFÁSICO"/>
    <s v="10/175073-6"/>
    <n v="67999516782"/>
    <n v="62955505134449"/>
    <s v="energisa_ms"/>
    <s v="Igreja do Evangelho Quadrangular"/>
    <x v="4"/>
    <s v="10/162736-345658"/>
    <s v="SIM"/>
    <n v="23"/>
    <n v="91.509999999999991"/>
    <n v="85.91"/>
    <s v="Aprovado"/>
    <n v="22.400000000000002"/>
    <n v="16.8"/>
    <m/>
    <m/>
    <n v="16.8"/>
    <m/>
    <s v="6295550513444916,8"/>
    <m/>
    <x v="1"/>
    <n v="16.8"/>
    <n v="0"/>
    <m/>
    <m/>
    <m/>
    <m/>
    <m/>
    <m/>
    <m/>
    <m/>
    <m/>
    <m/>
    <m/>
  </r>
  <r>
    <s v="TRIFÁSICO"/>
    <s v="10/505854-0"/>
    <n v="67996446178"/>
    <n v="62955505887382"/>
    <s v="energisa_ms"/>
    <s v="Igreja do Evangelho Quadrangular"/>
    <x v="4"/>
    <s v="10/257864-945689"/>
    <s v="SIM"/>
    <n v="23"/>
    <n v="136.1"/>
    <n v="130.5"/>
    <s v="Aprovado"/>
    <n v="56"/>
    <n v="16.8"/>
    <m/>
    <m/>
    <n v="16.8"/>
    <m/>
    <s v="6295550588738216,8"/>
    <m/>
    <x v="1"/>
    <n v="16.8"/>
    <n v="0"/>
    <m/>
    <m/>
    <m/>
    <m/>
    <m/>
    <m/>
    <m/>
    <m/>
    <m/>
    <m/>
    <m/>
  </r>
  <r>
    <s v="TRIFÁSICO"/>
    <s v="10/283183-2"/>
    <s v="16 988508102"/>
    <n v="62955505287601"/>
    <s v="energisa_ms"/>
    <s v="Igreja do Evangelho Quadrangular"/>
    <x v="3"/>
    <s v="10/52987-545748"/>
    <s v="SIM"/>
    <n v="22"/>
    <n v="163.26845360824743"/>
    <n v="157.97805058426238"/>
    <s v="Aprovado"/>
    <n v="22.298453608247428"/>
    <n v="16.72"/>
    <d v="2025-07-22T00:00:00"/>
    <d v="2025-08-02T00:00:00"/>
    <n v="16.72"/>
    <m/>
    <s v="6295550528760116,72"/>
    <s v="09/00012472788-2"/>
    <x v="1"/>
    <n v="16.72"/>
    <n v="0"/>
    <s v="05/08/2025"/>
    <m/>
    <m/>
    <m/>
    <m/>
    <m/>
    <m/>
    <m/>
    <m/>
    <m/>
    <m/>
  </r>
  <r>
    <s v="BIFÁSICO"/>
    <s v="10/257864-9"/>
    <n v="67981311823"/>
    <n v="62955505182176"/>
    <s v="energisa_ms"/>
    <s v="Igreja do Evangelho Quadrangular"/>
    <x v="1"/>
    <s v="10/530195-745778"/>
    <s v="SIM"/>
    <n v="17"/>
    <n v="104.2654"/>
    <n v="99.731217240000007"/>
    <s v="Aprovado"/>
    <n v="20.495400000000004"/>
    <n v="15.96"/>
    <d v="2025-09-10T00:00:00"/>
    <d v="2025-09-20T00:00:00"/>
    <n v="15.96"/>
    <m/>
    <s v="6295550518217615,96"/>
    <s v="09/00012683486-8"/>
    <x v="2"/>
    <m/>
    <n v="0"/>
    <m/>
    <s v="Cobrança Regular"/>
    <m/>
    <m/>
    <m/>
    <m/>
    <m/>
    <m/>
    <m/>
    <m/>
    <m/>
  </r>
  <r>
    <s v="TRIFÁSICO"/>
    <s v="10/1117293-9"/>
    <n v="67999516782"/>
    <n v="62955505892114"/>
    <s v="energisa_ms"/>
    <s v="Igreja do Evangelho Quadrangular"/>
    <x v="3"/>
    <s v="10/252817-245778"/>
    <s v="SIM"/>
    <n v="18"/>
    <n v="161.14240000000001"/>
    <n v="156.11204035953358"/>
    <s v="Aprovado"/>
    <n v="21.202400000000001"/>
    <n v="15.9"/>
    <d v="2025-07-22T00:00:00"/>
    <d v="2025-08-02T00:00:00"/>
    <n v="15.9"/>
    <m/>
    <s v="6295550589211415,9"/>
    <s v="09/00012472756-9"/>
    <x v="1"/>
    <n v="15.9"/>
    <n v="0"/>
    <d v="2025-09-01T00:00:00"/>
    <m/>
    <m/>
    <m/>
    <m/>
    <m/>
    <m/>
    <m/>
    <m/>
    <m/>
    <m/>
  </r>
  <r>
    <s v="TRIFÁSICO"/>
    <s v="10/252817-2"/>
    <n v="0"/>
    <n v="62955505274020"/>
    <s v="energisa_ms"/>
    <s v="Igreja do Evangelho Quadrangular"/>
    <x v="2"/>
    <s v="10/257864-945870"/>
    <s v="SIM"/>
    <n v="20"/>
    <n v="135.06701030927834"/>
    <n v="130.45130195908646"/>
    <s v="Aprovado"/>
    <n v="21.087010309278348"/>
    <n v="15.81"/>
    <d v="2025-09-10T00:00:00"/>
    <d v="2025-09-20T00:00:00"/>
    <n v="15.81"/>
    <m/>
    <s v="6295550527402015,81"/>
    <s v="09/00012749688-1"/>
    <x v="1"/>
    <n v="15.81"/>
    <n v="0"/>
    <m/>
    <m/>
    <m/>
    <m/>
    <m/>
    <m/>
    <m/>
    <m/>
    <m/>
    <m/>
    <m/>
  </r>
  <r>
    <s v="BIFÁSICO"/>
    <s v="10/10232-7"/>
    <s v="67 996415566"/>
    <n v="62955505393207"/>
    <s v="energisa_ms"/>
    <s v="Igreja do Evangelho Quadrangular"/>
    <x v="1"/>
    <s v="10/952579-145658"/>
    <s v="SIM"/>
    <n v="17"/>
    <n v="77.915400000000005"/>
    <n v="73.381217240000012"/>
    <s v="Aprovado"/>
    <n v="20.185400000000001"/>
    <n v="15.65"/>
    <d v="2025-09-10T00:00:00"/>
    <d v="2025-09-20T00:00:00"/>
    <n v="15.65"/>
    <m/>
    <s v="6295550539320715,65"/>
    <s v="09/00012683539-4"/>
    <x v="1"/>
    <n v="15.65"/>
    <n v="0"/>
    <m/>
    <m/>
    <m/>
    <m/>
    <m/>
    <m/>
    <m/>
    <m/>
    <m/>
    <m/>
    <m/>
  </r>
  <r>
    <s v="TRIFÁSICO"/>
    <s v="10/283183-2"/>
    <n v="0"/>
    <n v="62955505287601"/>
    <s v="energisa_ms"/>
    <s v="Igreja do Evangelho Quadrangular"/>
    <x v="2"/>
    <s v="10/226667-445627"/>
    <s v="SIM"/>
    <n v="18"/>
    <n v="162.23855670103094"/>
    <n v="158.07442099252265"/>
    <s v="Aprovado"/>
    <n v="20.268556701030928"/>
    <n v="14.26"/>
    <d v="2025-09-10T00:00:00"/>
    <d v="2025-09-20T00:00:00"/>
    <n v="14.26"/>
    <m/>
    <s v="6295550528760114,26"/>
    <s v="09/00012749710-3"/>
    <x v="1"/>
    <n v="14.26"/>
    <n v="0"/>
    <m/>
    <m/>
    <m/>
    <m/>
    <m/>
    <m/>
    <m/>
    <m/>
    <m/>
    <m/>
    <m/>
  </r>
  <r>
    <s v="TRIFÁSICO"/>
    <s v="10/1117293-9"/>
    <n v="67999516782"/>
    <n v="62955505892114"/>
    <s v="energisa_ms"/>
    <s v="Igreja do Evangelho Quadrangular"/>
    <x v="1"/>
    <s v="10/226667-445748"/>
    <s v="SIM"/>
    <n v="15"/>
    <n v="156.45300000000003"/>
    <n v="152.45157580000003"/>
    <s v="Aprovado"/>
    <n v="17.713000000000001"/>
    <n v="13.71"/>
    <d v="2025-09-10T00:00:00"/>
    <d v="2025-09-20T00:00:00"/>
    <n v="13.71"/>
    <m/>
    <s v="6295550589211413,71"/>
    <s v="09/00012683535-2"/>
    <x v="1"/>
    <n v="13.71"/>
    <n v="0"/>
    <d v="2025-09-01T00:00:00"/>
    <m/>
    <m/>
    <m/>
    <m/>
    <m/>
    <m/>
    <m/>
    <m/>
    <m/>
    <m/>
  </r>
  <r>
    <s v="BIFÁSICO"/>
    <s v="10/452884-0"/>
    <s v="67 996469842"/>
    <n v="62955505000167"/>
    <s v="energisa_ms"/>
    <s v="Igreja do Evangelho Quadrangular"/>
    <x v="1"/>
    <s v="10/218777-145778"/>
    <s v="SIM"/>
    <n v="14"/>
    <n v="166.31790697674418"/>
    <n v="162.58375511627906"/>
    <s v="Aprovado"/>
    <n v="16.277906976744188"/>
    <n v="12.54"/>
    <d v="2025-09-10T00:00:00"/>
    <d v="2025-09-20T00:00:00"/>
    <n v="12.54"/>
    <m/>
    <s v="6295550500016712,54"/>
    <s v="09/00012683487-6"/>
    <x v="1"/>
    <n v="12.54"/>
    <n v="0"/>
    <m/>
    <m/>
    <m/>
    <m/>
    <m/>
    <m/>
    <m/>
    <m/>
    <m/>
    <m/>
    <m/>
  </r>
  <r>
    <s v="TRIFÁSICO"/>
    <s v="10/72605-9"/>
    <n v="67996071169"/>
    <n v="62955505136492"/>
    <s v="energisa_ms"/>
    <s v="Igreja do Evangelho Quadrangular"/>
    <x v="1"/>
    <s v="10/156956-545839"/>
    <s v="SIM"/>
    <n v="14"/>
    <n v="157.70857142857142"/>
    <n v="154.47665314285715"/>
    <s v="Aprovado"/>
    <n v="15.368571428571432"/>
    <n v="12.14"/>
    <d v="2025-09-10T00:00:00"/>
    <d v="2025-09-20T00:00:00"/>
    <n v="12.14"/>
    <m/>
    <s v="6295550513649212,14"/>
    <s v="09/00012683519-6"/>
    <x v="1"/>
    <n v="12.14"/>
    <n v="0"/>
    <m/>
    <m/>
    <m/>
    <m/>
    <m/>
    <m/>
    <m/>
    <m/>
    <m/>
    <m/>
    <m/>
  </r>
  <r>
    <s v="BIFÁSICO"/>
    <s v="10/530195-7"/>
    <n v="0"/>
    <n v="62955505367117"/>
    <s v="energisa_ms"/>
    <s v="Igreja do Evangelho Quadrangular"/>
    <x v="0"/>
    <s v="10/504844-245717"/>
    <s v="SIM"/>
    <n v="15"/>
    <n v="93.410624999999996"/>
    <n v="89.177648564256174"/>
    <s v="Aprovado"/>
    <n v="16.590625000000003"/>
    <n v="11.53"/>
    <d v="2025-10-03T00:00:00"/>
    <d v="2025-10-13T00:00:00"/>
    <n v="11.53"/>
    <m/>
    <s v="6295550536711711,53"/>
    <s v="09/00012851545-7"/>
    <x v="1"/>
    <n v="11.53"/>
    <n v="0"/>
    <m/>
    <m/>
    <m/>
    <m/>
    <m/>
    <m/>
    <m/>
    <m/>
    <m/>
    <m/>
    <m/>
  </r>
  <r>
    <s v="BIFÁSICO"/>
    <s v="10/226667-4"/>
    <n v="67992637973"/>
    <n v="62955505040894"/>
    <s v="energisa_ms"/>
    <s v="Igreja do Evangelho Quadrangular"/>
    <x v="3"/>
    <s v="10/1017804-445870"/>
    <s v="SIM"/>
    <n v="14"/>
    <n v="73.59571428571428"/>
    <n v="70.014191821895579"/>
    <s v="Aprovado"/>
    <n v="15.095714285714283"/>
    <n v="11.32"/>
    <d v="2025-07-22T00:00:00"/>
    <d v="2025-08-02T00:00:00"/>
    <n v="11.32"/>
    <m/>
    <s v="6295550504089411,32"/>
    <s v="09/00012472758-5"/>
    <x v="1"/>
    <n v="11.32"/>
    <n v="0"/>
    <s v="01/08/2025"/>
    <m/>
    <m/>
    <m/>
    <m/>
    <m/>
    <m/>
    <m/>
    <m/>
    <m/>
    <m/>
  </r>
  <r>
    <s v="BIFÁSICO"/>
    <s v="10/226667-4"/>
    <n v="0"/>
    <n v="62955505040894"/>
    <s v="energisa_ms"/>
    <s v="Igreja do Evangelho Quadrangular"/>
    <x v="2"/>
    <s v="10/987178-145778"/>
    <s v="SIM"/>
    <n v="13"/>
    <n v="73.003469387755104"/>
    <n v="69.794038772988245"/>
    <s v="Aprovado"/>
    <n v="14.393469387755102"/>
    <n v="10.99"/>
    <d v="2025-09-10T00:00:00"/>
    <d v="2025-09-20T00:00:00"/>
    <n v="10.99"/>
    <m/>
    <s v="6295550504089410,99"/>
    <s v="09/00012749664-2"/>
    <x v="1"/>
    <n v="10.99"/>
    <n v="0"/>
    <m/>
    <m/>
    <m/>
    <m/>
    <m/>
    <m/>
    <m/>
    <m/>
    <m/>
    <m/>
    <m/>
  </r>
  <r>
    <s v="TRIFÁSICO"/>
    <s v="10/987178-1"/>
    <n v="67993496482"/>
    <n v="62955505015512"/>
    <s v="energisa_ms"/>
    <s v="Igreja do Evangelho Quadrangular"/>
    <x v="5"/>
    <s v="10/532723-445931"/>
    <s v="SIM"/>
    <n v="13"/>
    <n v="178.5"/>
    <n v="174.8725"/>
    <s v="Aprovado"/>
    <n v="14.509999999999998"/>
    <n v="10.88"/>
    <m/>
    <m/>
    <n v="10.88"/>
    <m/>
    <s v="6295550501551210,88"/>
    <m/>
    <x v="1"/>
    <n v="10.88"/>
    <n v="0"/>
    <d v="2025-08-26T00:00:00"/>
    <m/>
    <m/>
    <m/>
    <m/>
    <m/>
    <m/>
    <m/>
    <m/>
    <m/>
    <m/>
  </r>
  <r>
    <s v="TRIFÁSICO"/>
    <s v="10/135237-6"/>
    <n v="67996446178"/>
    <n v="62955505080098"/>
    <s v="energisa_ms"/>
    <s v="Igreja do Evangelho Quadrangular"/>
    <x v="9"/>
    <s v="10/512142-145870"/>
    <s v="SIM"/>
    <n v="12"/>
    <n v="147.54240000000001"/>
    <n v="143.46400557061179"/>
    <s v="Aprovado"/>
    <n v="14.582399999899998"/>
    <n v="10.5"/>
    <d v="2025-11-06T00:00:00"/>
    <d v="2025-11-13T00:00:00"/>
    <n v="10.5"/>
    <m/>
    <s v="6295550508009810,5"/>
    <s v="09/00013026988-7"/>
    <x v="1"/>
    <n v="10.5"/>
    <n v="0"/>
    <m/>
    <m/>
    <m/>
    <m/>
    <m/>
    <m/>
    <m/>
    <m/>
    <m/>
    <m/>
    <m/>
  </r>
  <r>
    <s v="TRIFÁSICO"/>
    <s v="10/908866-7"/>
    <n v="67992637973"/>
    <n v="62955505358630"/>
    <s v="energisa_ms"/>
    <s v="Igreja do Evangelho Quadrangular"/>
    <x v="8"/>
    <s v="10/13786-945658"/>
    <s v="SIM"/>
    <n v="14"/>
    <n v="153.23571428571429"/>
    <n v="149.81428571428572"/>
    <s v="Aprovado"/>
    <n v="13.685714285714289"/>
    <n v="10.26"/>
    <m/>
    <m/>
    <n v="10.26"/>
    <m/>
    <s v="6295550535863010,26"/>
    <m/>
    <x v="1"/>
    <n v="10.26"/>
    <n v="0"/>
    <m/>
    <m/>
    <m/>
    <m/>
    <m/>
    <m/>
    <m/>
    <m/>
    <m/>
    <m/>
    <m/>
  </r>
  <r>
    <s v="TRIFÁSICO"/>
    <s v="10/987178-1"/>
    <n v="67993496482"/>
    <n v="62955505015512"/>
    <s v="energisa_ms"/>
    <s v="Igreja do Evangelho Quadrangular"/>
    <x v="7"/>
    <s v="10/3005226-045931"/>
    <s v="SIM"/>
    <n v="12"/>
    <n v="174.07"/>
    <n v="170.7225"/>
    <s v="Aprovado"/>
    <n v="13.39"/>
    <n v="10.039999999999999"/>
    <m/>
    <m/>
    <n v="10.039999999999999"/>
    <m/>
    <s v="6295550501551210,04"/>
    <m/>
    <x v="1"/>
    <n v="10.039999999999999"/>
    <n v="0"/>
    <m/>
    <m/>
    <m/>
    <m/>
    <m/>
    <m/>
    <m/>
    <m/>
    <m/>
    <m/>
    <m/>
  </r>
  <r>
    <s v="TRIFÁSICO"/>
    <s v="10/987178-1"/>
    <n v="67993496482"/>
    <n v="62955505015512"/>
    <s v="energisa_ms"/>
    <s v="Igreja do Evangelho Quadrangular"/>
    <x v="6"/>
    <s v="10/435964-245931"/>
    <s v="SIM"/>
    <n v="9"/>
    <n v="171.82999999999998"/>
    <n v="169.32000000000002"/>
    <s v="Aprovado"/>
    <n v="10.039999999999999"/>
    <n v="7.53"/>
    <m/>
    <m/>
    <n v="7.53"/>
    <m/>
    <s v="629555050155127,53"/>
    <m/>
    <x v="1"/>
    <n v="7.53"/>
    <n v="0"/>
    <m/>
    <m/>
    <m/>
    <m/>
    <m/>
    <m/>
    <m/>
    <m/>
    <m/>
    <m/>
    <m/>
  </r>
  <r>
    <s v="BIFÁSICO"/>
    <s v="10/175073-6"/>
    <n v="67999516782"/>
    <n v="62955505134449"/>
    <s v="energisa_ms"/>
    <s v="Igreja do Evangelho Quadrangular"/>
    <x v="9"/>
    <s v="10/2338577-645778"/>
    <s v="SIM"/>
    <n v="60"/>
    <n v="139.88499999999999"/>
    <n v="122.14914151719518"/>
    <s v="Aprovado"/>
    <n v="-57.36500000000099"/>
    <n v="45.68"/>
    <d v="2025-11-06T00:00:00"/>
    <d v="2025-11-13T00:00:00"/>
    <n v="45.68"/>
    <m/>
    <s v="6295550513444945,68"/>
    <s v="09/00013026924-2"/>
    <x v="2"/>
    <m/>
    <n v="0"/>
    <m/>
    <s v="Cobrança Regular"/>
    <m/>
    <m/>
    <m/>
    <m/>
    <m/>
    <m/>
    <m/>
    <m/>
    <m/>
  </r>
  <r>
    <s v="BIFÁSICO"/>
    <s v="10/175073-6"/>
    <n v="67999516782"/>
    <n v="62955505134449"/>
    <s v="energisa_ms"/>
    <s v="Igreja do Evangelho Quadrangular"/>
    <x v="7"/>
    <s v="10/61344-845748"/>
    <s v="SIM"/>
    <n v="8"/>
    <n v="75.87"/>
    <n v="73.877500000000012"/>
    <s v="Aprovado"/>
    <n v="7.97"/>
    <n v="5.98"/>
    <m/>
    <m/>
    <n v="5.98"/>
    <m/>
    <s v="629555051344495,98"/>
    <m/>
    <x v="1"/>
    <n v="5.98"/>
    <n v="0"/>
    <m/>
    <m/>
    <m/>
    <m/>
    <m/>
    <m/>
    <m/>
    <m/>
    <m/>
    <m/>
    <m/>
  </r>
  <r>
    <s v="TRIFÁSICO"/>
    <s v="10/1433087-2"/>
    <s v="Solicitação de distrato"/>
    <n v="62955505419443"/>
    <s v="energisa_ms"/>
    <s v="Igreja do Evangelho Quadrangular"/>
    <x v="2"/>
    <s v="10/908866-745748"/>
    <s v="SIM"/>
    <n v="6"/>
    <n v="137.16920000000002"/>
    <n v="135.57409587598266"/>
    <s v="Aprovado"/>
    <n v="7.0592000000000006"/>
    <n v="5.46"/>
    <d v="2025-09-10T00:00:00"/>
    <d v="2025-09-20T00:00:00"/>
    <n v="5.46"/>
    <m/>
    <s v="629555054194435,46"/>
    <s v="09/00012749658-4"/>
    <x v="1"/>
    <n v="5.46"/>
    <n v="0"/>
    <m/>
    <m/>
    <m/>
    <m/>
    <m/>
    <m/>
    <m/>
    <m/>
    <m/>
    <m/>
    <m/>
  </r>
  <r>
    <s v="TRIFÁSICO"/>
    <s v="10/1266128-6"/>
    <n v="67991306665"/>
    <n v="62955505379395"/>
    <s v="energisa_ms"/>
    <s v="Igreja do Evangelho Quadrangular"/>
    <x v="3"/>
    <s v="10/31292-645748"/>
    <s v="SIM"/>
    <n v="7"/>
    <n v="465.06596401028276"/>
    <n v="463.37529871971458"/>
    <s v="Aprovado"/>
    <n v="7.125964010282777"/>
    <n v="5.34"/>
    <d v="2025-07-22T00:00:00"/>
    <d v="2025-08-02T00:00:00"/>
    <n v="5.34"/>
    <m/>
    <s v="629555053793955,34"/>
    <s v="09/00012472785-8"/>
    <x v="1"/>
    <n v="5.34"/>
    <n v="0"/>
    <s v="06/08/2025"/>
    <m/>
    <m/>
    <m/>
    <m/>
    <m/>
    <m/>
    <m/>
    <m/>
    <m/>
    <m/>
  </r>
  <r>
    <s v="TRIFÁSICO"/>
    <s v="10/135237-6"/>
    <n v="67996446178"/>
    <n v="62955505080098"/>
    <s v="energisa_ms"/>
    <s v="Igreja do Evangelho Quadrangular"/>
    <x v="8"/>
    <s v="10/2794432-145658"/>
    <s v="SIM"/>
    <n v="6"/>
    <n v="131.58499999999998"/>
    <n v="129.88624999999999"/>
    <s v="Aprovado"/>
    <n v="6.794999999999999"/>
    <n v="5.0999999999999996"/>
    <m/>
    <m/>
    <n v="5.0999999999999996"/>
    <m/>
    <s v="629555050800985,1"/>
    <m/>
    <x v="1"/>
    <n v="5.0999999999999996"/>
    <n v="0"/>
    <m/>
    <m/>
    <m/>
    <m/>
    <m/>
    <m/>
    <m/>
    <m/>
    <m/>
    <m/>
    <m/>
  </r>
  <r>
    <s v="BIFÁSICO"/>
    <s v="10/257864-9"/>
    <n v="67981311823"/>
    <n v="62955505182176"/>
    <s v="energisa_ms"/>
    <s v="Igreja do Evangelho Quadrangular"/>
    <x v="9"/>
    <s v="10/908866-745839"/>
    <s v="SIM"/>
    <n v="5"/>
    <n v="80.125"/>
    <n v="78.411964705398105"/>
    <s v="Aprovado"/>
    <n v="6.125"/>
    <n v="4.41"/>
    <d v="2025-11-06T00:00:00"/>
    <d v="2025-11-13T00:00:00"/>
    <n v="4.41"/>
    <m/>
    <s v="629555051821764,41"/>
    <s v="09/00013026976-2"/>
    <x v="2"/>
    <m/>
    <n v="0"/>
    <m/>
    <s v="Cobrança Regular"/>
    <m/>
    <m/>
    <m/>
    <m/>
    <m/>
    <m/>
    <m/>
    <m/>
    <m/>
  </r>
  <r>
    <s v="BIFÁSICO"/>
    <s v="10/257864-9"/>
    <n v="67981311823"/>
    <n v="62955505182176"/>
    <s v="energisa_ms"/>
    <s v="Igreja do Evangelho Quadrangular"/>
    <x v="2"/>
    <s v="10/1288241-145717"/>
    <s v="SIM"/>
    <n v="4"/>
    <n v="75.975599999999986"/>
    <n v="74.919096594195452"/>
    <s v="Aprovado"/>
    <n v="4.6755999999999993"/>
    <n v="3.62"/>
    <d v="2025-09-10T00:00:00"/>
    <d v="2025-09-20T00:00:00"/>
    <n v="3.62"/>
    <m/>
    <s v="629555051821763,62"/>
    <s v="09/00012749656-8"/>
    <x v="2"/>
    <n v="0"/>
    <n v="-3.62"/>
    <m/>
    <s v="Cobrança Regular"/>
    <m/>
    <m/>
    <m/>
    <m/>
    <m/>
    <m/>
    <m/>
    <m/>
    <m/>
  </r>
  <r>
    <s v="TRIFÁSICO"/>
    <s v="10/3030784-7"/>
    <n v="67996266684"/>
    <n v="62955505016080"/>
    <s v="energisa_ms"/>
    <s v="Igreja do Evangelho Quadrangular"/>
    <x v="1"/>
    <s v="10/1433087-245901"/>
    <s v="SIM"/>
    <n v="0"/>
    <n v="437.91000000000008"/>
    <n v="437.91000000000008"/>
    <s v="Aprovado"/>
    <n v="2.5900000000000034"/>
    <n v="2.5900000000000034"/>
    <d v="2025-09-10T00:00:00"/>
    <d v="2025-09-20T00:00:00"/>
    <n v="2.59"/>
    <m/>
    <s v="629555050160802,59"/>
    <s v="09/00012683479-3"/>
    <x v="1"/>
    <n v="2.59"/>
    <n v="0"/>
    <m/>
    <m/>
    <m/>
    <m/>
    <m/>
    <m/>
    <m/>
    <m/>
    <m/>
    <m/>
    <m/>
  </r>
  <r>
    <s v="BIFÁSICO"/>
    <s v="10/41548-9"/>
    <n v="67996687077"/>
    <n v="62955505269026"/>
    <s v="energisa_ms"/>
    <s v="Igreja do Evangelho Quadrangular"/>
    <x v="1"/>
    <s v="10/175073-645778"/>
    <s v="SIM"/>
    <n v="0"/>
    <n v="111.08"/>
    <n v="111.08"/>
    <s v="Aprovado"/>
    <n v="2"/>
    <n v="2"/>
    <d v="2025-09-10T00:00:00"/>
    <d v="2025-09-20T00:00:00"/>
    <n v="2"/>
    <m/>
    <s v="629555052690262"/>
    <s v="09/00012683518-8"/>
    <x v="1"/>
    <n v="2"/>
    <n v="0"/>
    <d v="2025-11-12T00:00:00"/>
    <m/>
    <m/>
    <m/>
    <m/>
    <m/>
    <m/>
    <m/>
    <m/>
    <m/>
    <m/>
  </r>
  <r>
    <s v="TRIFÁSICO"/>
    <s v="10/283183-2"/>
    <s v="16 988508102"/>
    <n v="62955505287601"/>
    <s v="energisa_ms"/>
    <s v="Igreja do Evangelho Quadrangular"/>
    <x v="1"/>
    <s v="10/501586-245809"/>
    <s v="SIM"/>
    <n v="2"/>
    <m/>
    <m/>
    <s v="Aprovado"/>
    <n v="2.3024000000000027"/>
    <n v="1.84"/>
    <d v="2025-09-10T00:00:00"/>
    <d v="2025-09-20T00:00:00"/>
    <n v="0"/>
    <s v="Valor abaixo do mínimo"/>
    <s v="629555052876010"/>
    <m/>
    <x v="0"/>
    <m/>
    <n v="0"/>
    <m/>
    <m/>
    <m/>
    <m/>
    <m/>
    <m/>
    <m/>
    <m/>
    <m/>
    <m/>
    <m/>
  </r>
  <r>
    <s v="BIFÁSICO"/>
    <s v="10/452884-0"/>
    <s v="67 996469842"/>
    <n v="62955505000167"/>
    <s v="energisa_ms"/>
    <s v="Igreja do Evangelho Quadrangular"/>
    <x v="9"/>
    <s v="10/260761-245809"/>
    <s v="SIM"/>
    <n v="55"/>
    <n v="126.22"/>
    <n v="107.73040598757032"/>
    <s v="Aprovado"/>
    <n v="19.599999999900014"/>
    <n v="1.1100000000000001"/>
    <d v="2025-11-06T00:00:00"/>
    <d v="2025-11-13T00:00:00"/>
    <n v="1.1100000000000001"/>
    <m/>
    <s v="629555050001671,11"/>
    <s v="09/00013026963-0"/>
    <x v="1"/>
    <n v="19.600000000000001"/>
    <n v="0"/>
    <d v="2025-12-04T00:00:00"/>
    <s v="Cobrança Regular"/>
    <m/>
    <m/>
    <m/>
    <m/>
    <m/>
    <m/>
    <m/>
    <m/>
    <m/>
  </r>
  <r>
    <s v="BIFÁSICO"/>
    <s v="10/530195-7"/>
    <n v="67999516782"/>
    <n v="62955505367117"/>
    <s v="energisa_ms"/>
    <s v="Igreja do Evangelho Quadrangular"/>
    <x v="1"/>
    <s v="10/1117293-945778"/>
    <s v="SIM"/>
    <n v="0"/>
    <m/>
    <m/>
    <s v="Aprovado"/>
    <n v="0.82999999999999829"/>
    <n v="0.82999999999999829"/>
    <d v="2025-09-10T00:00:00"/>
    <d v="2025-09-20T00:00:00"/>
    <n v="0"/>
    <s v="Valor abaixo do mínimo"/>
    <s v="629555053671170"/>
    <m/>
    <x v="0"/>
    <m/>
    <n v="0"/>
    <m/>
    <m/>
    <m/>
    <m/>
    <m/>
    <m/>
    <m/>
    <m/>
    <m/>
    <m/>
    <m/>
  </r>
  <r>
    <s v="BIFÁSICO"/>
    <s v="10/530195-7"/>
    <n v="0"/>
    <n v="62955505367117"/>
    <s v="energisa_ms"/>
    <s v="Igreja do Evangelho Quadrangular"/>
    <x v="2"/>
    <s v="10/162736-345627"/>
    <s v="SIM"/>
    <n v="0"/>
    <m/>
    <m/>
    <s v="Não emitido"/>
    <n v="0.82999999999999829"/>
    <n v="0.82999999999999829"/>
    <m/>
    <m/>
    <m/>
    <s v="Sem valor liberado para emissão"/>
    <s v="629555053671170,829999999999998"/>
    <e v="#N/A"/>
    <x v="0"/>
    <m/>
    <n v="0"/>
    <m/>
    <m/>
    <m/>
    <m/>
    <m/>
    <m/>
    <m/>
    <m/>
    <m/>
    <m/>
    <m/>
  </r>
  <r>
    <s v="TRIFÁSICO"/>
    <s v="10/252817-2"/>
    <n v="67992637973"/>
    <n v="62955505274020"/>
    <s v="energisa_ms"/>
    <s v="Igreja do Evangelho Quadrangular"/>
    <x v="1"/>
    <s v="10/466560-045901"/>
    <s v="SIM"/>
    <n v="0"/>
    <m/>
    <m/>
    <s v="Aprovado"/>
    <n v="0.66000000000000369"/>
    <n v="0.66000000000000369"/>
    <d v="2025-09-10T00:00:00"/>
    <d v="2025-09-20T00:00:00"/>
    <n v="0"/>
    <s v="Valor abaixo do mínimo"/>
    <s v="629555052740200"/>
    <m/>
    <x v="0"/>
    <m/>
    <n v="0"/>
    <m/>
    <m/>
    <m/>
    <m/>
    <m/>
    <m/>
    <m/>
    <m/>
    <m/>
    <m/>
    <m/>
  </r>
  <r>
    <s v="BIFÁSICO"/>
    <s v="10/226667-4"/>
    <n v="67992637973"/>
    <n v="62955505040894"/>
    <s v="energisa_ms"/>
    <s v="Igreja do Evangelho Quadrangular"/>
    <x v="1"/>
    <s v="10/283183-245931"/>
    <s v="SIM"/>
    <n v="0"/>
    <m/>
    <m/>
    <s v="Aprovado"/>
    <n v="0.1899999999999995"/>
    <n v="0.1899999999999995"/>
    <d v="2025-09-10T00:00:00"/>
    <d v="2025-09-20T00:00:00"/>
    <n v="0"/>
    <s v="Valor abaixo do mínimo"/>
    <s v="629555050408940"/>
    <m/>
    <x v="0"/>
    <m/>
    <n v="0"/>
    <m/>
    <m/>
    <m/>
    <m/>
    <m/>
    <m/>
    <m/>
    <m/>
    <m/>
    <m/>
    <m/>
  </r>
  <r>
    <s v="BIFÁSICO"/>
    <s v="10/10232-7"/>
    <s v="67 996415566"/>
    <n v="62955505393207"/>
    <s v="energisa_ms"/>
    <s v="Igreja do Evangelho Quadrangular"/>
    <x v="10"/>
    <s v="10/237441-145901"/>
    <s v="SIM"/>
    <n v="32"/>
    <m/>
    <m/>
    <s v="Não emitido"/>
    <n v="35.796799999999998"/>
    <n v="0"/>
    <m/>
    <m/>
    <m/>
    <s v="Sem valor liberado para emissão"/>
    <s v="62955505393207"/>
    <m/>
    <x v="0"/>
    <n v="0"/>
    <n v="0"/>
    <m/>
    <m/>
    <n v="283032"/>
    <n v="502"/>
    <s v="Igreja do Evangelho Quadrangular"/>
    <s v="'62955505015199'"/>
    <n v="2227.79"/>
    <m/>
    <s v="A Unidade Consumidora 10/364440-8 economizou R$742,6 na fatura referente à jun/2025  consumindo 2579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1035655-8"/>
    <n v="67996135721"/>
    <n v="62955505182257"/>
    <s v="energisa_ms"/>
    <s v="Igreja do Evangelho Quadrangular"/>
    <x v="10"/>
    <s v="10/135237-645901"/>
    <s v="SIM"/>
    <n v="246"/>
    <m/>
    <m/>
    <s v="Não emitido"/>
    <n v="275.48106382978727"/>
    <n v="0"/>
    <m/>
    <m/>
    <m/>
    <s v="Sem valor liberado para emissão"/>
    <s v="62955505182257"/>
    <m/>
    <x v="0"/>
    <n v="0"/>
    <n v="0"/>
    <m/>
    <m/>
    <n v="283032"/>
    <n v="502"/>
    <s v="Igreja do Evangelho Quadrangular"/>
    <s v="'62955505393207'"/>
    <n v="676.11"/>
    <m/>
    <s v="A Unidade Consumidora 10/5202-7 economizou R$225,37 na fatura referente à jun/2025  consumindo 777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1117293-9"/>
    <n v="67999516782"/>
    <n v="62955505892114"/>
    <s v="energisa_ms"/>
    <s v="Igreja do Evangelho Quadrangular"/>
    <x v="10"/>
    <s v="10/512142-145901"/>
    <s v="SIM"/>
    <n v="61"/>
    <m/>
    <m/>
    <s v="Não emitido"/>
    <n v="68.2547"/>
    <n v="0"/>
    <m/>
    <m/>
    <m/>
    <s v="Sem valor liberado para emissão"/>
    <s v="62955505892114"/>
    <m/>
    <x v="0"/>
    <n v="0"/>
    <n v="0"/>
    <m/>
    <m/>
    <n v="283032"/>
    <n v="502"/>
    <s v="Igreja do Evangelho Quadrangular"/>
    <s v="'62955505017213'"/>
    <n v="159.65"/>
    <m/>
    <s v="A Unidade Consumidora 10/1672452-8 economizou R$53,22 na fatura referente à jun/2025  consumindo 183 kWh em créditos de energia renovável conforme fatura de energia. A economia foi de 25% em relação ao que seria pago para a Energisa considerando os créditos consumidos. Atenção: Mantenha as contas da Energisa em dia para evitar cortes."/>
    <s v="regiao371@gmail.com"/>
    <m/>
  </r>
  <r>
    <s v="TRIFÁSICO"/>
    <s v="10/113971-6"/>
    <n v="67996575782"/>
    <n v="62955505015601"/>
    <s v="energisa_ms"/>
    <s v="Igreja do Evangelho Quadrangular"/>
    <x v="10"/>
    <s v="10/31292-645901"/>
    <s v="SIM"/>
    <n v="145"/>
    <m/>
    <m/>
    <s v="Não emitido"/>
    <n v="164.37932330827067"/>
    <n v="0"/>
    <m/>
    <m/>
    <m/>
    <s v="Sem valor liberado para emissão"/>
    <s v="62955505015601"/>
    <m/>
    <x v="0"/>
    <n v="0"/>
    <n v="0"/>
    <m/>
    <m/>
    <n v="283032"/>
    <n v="502"/>
    <s v="Igreja do Evangelho Quadrangular"/>
    <s v="'62955505067660'"/>
    <n v="251.23"/>
    <m/>
    <s v="A Unidade Consumidora 10/29964-4 economizou R$83,74 na fatura referente à jun/2025  consumindo 288 kWh em créditos de energia renovável conforme fatura de energia. A economia foi de 25% em relação ao que seria pago para a Energisa considerando os créditos consumidos. Atenção: Mantenha as contas da Energisa em dia para evitar cortes."/>
    <s v="ieqcatedral@hotmail.com; regiao.357@hotmail.com"/>
    <m/>
  </r>
  <r>
    <s v="TRIFÁSICO"/>
    <s v="10/1184751-4"/>
    <s v="67 96034976"/>
    <n v="62955505149047"/>
    <s v="energisa_ms"/>
    <s v="Igreja do Evangelho Quadrangular"/>
    <x v="10"/>
    <s v="10/3054052-045901"/>
    <s v="SIM"/>
    <n v="96"/>
    <m/>
    <m/>
    <s v="Não emitido"/>
    <n v="108.75319999999999"/>
    <n v="0"/>
    <m/>
    <m/>
    <m/>
    <s v="Sem valor liberado para emissão"/>
    <s v="62955505149047"/>
    <m/>
    <x v="0"/>
    <n v="0"/>
    <n v="0"/>
    <m/>
    <m/>
    <n v="283032"/>
    <n v="502"/>
    <s v="Igreja do Evangelho Quadrangular"/>
    <s v="'62955505215791'"/>
    <n v="291"/>
    <m/>
    <s v="A Unidade Consumidora 10/191945-5 economizou R$97 na fatura referente à jun/2025  consumindo 329 kWh em créditos de energia renovável conforme fatura de energia. A economia foi de 25% em relação ao que seria pago para a Energisa considerando os créditos consumidos. Atenção: Mantenha as contas da Energisa em dia para evitar cortes."/>
    <s v="ieqpopularnova@hotmail.com; regiao.357@hotmail.com"/>
    <m/>
  </r>
  <r>
    <s v="TRIFÁSICO"/>
    <s v="10/135237-6"/>
    <n v="67996446178"/>
    <n v="62955505080098"/>
    <s v="energisa_ms"/>
    <s v="Igreja do Evangelho Quadrangular"/>
    <x v="10"/>
    <s v="10/505854-045901"/>
    <s v="SIM"/>
    <n v="38"/>
    <m/>
    <m/>
    <s v="Não emitido"/>
    <n v="42.776199999999996"/>
    <n v="0"/>
    <m/>
    <m/>
    <m/>
    <s v="Sem valor liberado para emissão"/>
    <s v="62955505080098"/>
    <m/>
    <x v="0"/>
    <n v="0"/>
    <n v="0"/>
    <m/>
    <m/>
    <n v="283032"/>
    <n v="502"/>
    <s v="Igreja do Evangelho Quadrangular"/>
    <s v="'62955505367117'"/>
    <n v="41.14"/>
    <m/>
    <s v="A Unidade Consumidora 10/510330-4 economizou R$13,71 na fatura referente à jun/2025  consumindo 47 kWh em créditos de energia renovável conforme fatura de energia. A economia foi de 25% em relação ao que seria pago para a Energisa considerando os créditos consumidos. Atenção: Mantenha as contas da Energisa em dia para evitar cortes."/>
    <s v="ieqreg349cassi@gmail.com"/>
    <m/>
  </r>
  <r>
    <s v="MONOFÁSICO"/>
    <s v="10/1548741-6"/>
    <s v="67 81355403"/>
    <n v="62955505084751"/>
    <s v="energisa_ms"/>
    <s v="Igreja do Evangelho Quadrangular"/>
    <x v="10"/>
    <s v="10/364440-845839"/>
    <s v="SIM"/>
    <n v="126"/>
    <m/>
    <m/>
    <s v="Aprovado"/>
    <n v="141.56400000000005"/>
    <n v="0"/>
    <m/>
    <m/>
    <m/>
    <s v="Sem valor liberado para emissão"/>
    <s v="62955505084751"/>
    <m/>
    <x v="0"/>
    <n v="0"/>
    <n v="0"/>
    <m/>
    <m/>
    <n v="283032"/>
    <n v="502"/>
    <s v="Igreja do Evangelho Quadrangular"/>
    <s v="'62955505016080'"/>
    <n v="152.16999999999999"/>
    <m/>
    <s v="A Unidade Consumidora 10/3030784-7 economizou R$50,72 na fatura referente à jun/2025  consumindo 176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156956-5"/>
    <s v="67 998338301"/>
    <n v="62955505015350"/>
    <s v="energisa_ms"/>
    <s v="Igreja do Evangelho Quadrangular"/>
    <x v="10"/>
    <s v="10/364440-845870"/>
    <s v="SIM"/>
    <n v="391"/>
    <m/>
    <m/>
    <s v="Aprovado"/>
    <n v="442.43230000000005"/>
    <n v="0"/>
    <m/>
    <m/>
    <m/>
    <s v="Sem valor liberado para emissão"/>
    <s v="62955505015350"/>
    <m/>
    <x v="0"/>
    <n v="0"/>
    <n v="0"/>
    <m/>
    <m/>
    <n v="283032"/>
    <n v="502"/>
    <s v="Igreja do Evangelho Quadrangular"/>
    <s v="'62955505419443'"/>
    <n v="56.18"/>
    <m/>
    <s v="A Unidade Consumidora 10/3092868-3 economizou R$18,73 na fatura referente à jun/2025  consumindo 64 kWh em créditos de energia renovável conforme fatura de energia. A economia foi de 25% em relação ao que seria pago para a Energisa considerando os créditos consumidos. Atenção: Mantenha as contas da Energisa em dia para evitar cortes."/>
    <s v="iranetesoaresieq@outlook.com; regiao.357@hotmail.com"/>
    <m/>
  </r>
  <r>
    <s v="TRIFÁSICO"/>
    <s v="10/2794432-1"/>
    <n v="67991162146"/>
    <n v="62955505015199"/>
    <s v="energisa_ms"/>
    <s v="Igreja do Evangelho Quadrangular"/>
    <x v="10"/>
    <s v="10/364440-845901"/>
    <s v="SIM"/>
    <n v="0"/>
    <m/>
    <m/>
    <s v="Aprovado"/>
    <n v="0"/>
    <n v="0"/>
    <m/>
    <m/>
    <m/>
    <s v="Sem valor liberado para emissão"/>
    <s v="62955505015199"/>
    <m/>
    <x v="0"/>
    <n v="0"/>
    <n v="0"/>
    <m/>
    <m/>
    <n v="283032"/>
    <n v="502"/>
    <s v="Igreja do Evangelho Quadrangular"/>
    <s v="'62955505177504'"/>
    <n v="111.32"/>
    <m/>
    <s v="A Unidade Consumidora 10/276283-9 economizou R$37,11 na fatura referente à jun/2025  consumindo 126 kWh em créditos de energia renovável conforme fatura de energia. A economia foi de 25% em relação ao que seria pago para a Energisa considerando os créditos consumidos. Atenção: Mantenha as contas da Energisa em dia para evitar cortes."/>
    <s v="dal_ge@hotmail.com"/>
    <m/>
  </r>
  <r>
    <s v="TRIFÁSICO"/>
    <s v="10/162736-3"/>
    <n v="67996150274"/>
    <n v="62955505197360"/>
    <s v="energisa_ms"/>
    <s v="Igreja do Evangelho Quadrangular"/>
    <x v="10"/>
    <s v="10/364440-845809"/>
    <s v="SIM"/>
    <n v="135"/>
    <m/>
    <m/>
    <s v="Aprovado"/>
    <n v="152.0265"/>
    <n v="0"/>
    <m/>
    <m/>
    <m/>
    <s v="Sem valor liberado para emissão"/>
    <s v="62955505197360"/>
    <m/>
    <x v="0"/>
    <n v="0"/>
    <n v="0"/>
    <m/>
    <m/>
    <n v="283032"/>
    <n v="502"/>
    <s v="Igreja do Evangelho Quadrangular"/>
    <s v="'62955505359360'"/>
    <n v="176.97"/>
    <m/>
    <s v="A Unidade Consumidora 10/532723-4 economizou R$58,99 na fatura referente à jun/2025  consumindo 221 kWh em créditos de energia renovável conforme fatura de energia. A economia foi de 25% em relação ao que seria pago para a Energisa considerando os créditos consumidos. Atenção: Mantenha as contas da Energisa em dia para evitar cortes."/>
    <s v="Ieqcelsapucaia@gmail.com; quadrangular994@gmail.com"/>
    <m/>
  </r>
  <r>
    <s v="TRIFÁSICO"/>
    <s v="10/1672452-8"/>
    <n v="67992637973"/>
    <n v="62955505017213"/>
    <s v="energisa_ms"/>
    <s v="Igreja do Evangelho Quadrangular"/>
    <x v="10"/>
    <s v="10/5202-745717"/>
    <s v="SIM"/>
    <n v="277"/>
    <m/>
    <m/>
    <s v="Aprovado"/>
    <n v="313.21649999999994"/>
    <n v="0"/>
    <m/>
    <m/>
    <m/>
    <s v="Sem valor liberado para emissão"/>
    <s v="62955505017213"/>
    <m/>
    <x v="0"/>
    <n v="0"/>
    <n v="0"/>
    <m/>
    <m/>
    <n v="283032"/>
    <n v="502"/>
    <s v="Igreja do Evangelho Quadrangular"/>
    <s v="'62955505182257'"/>
    <n v="156.34"/>
    <m/>
    <s v="A Unidade Consumidora 10/1035655-8 economizou R$52,11 na fatura referente à jun/2025  consumindo 198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1695011-5"/>
    <n v="67991767866"/>
    <n v="62955505461210"/>
    <s v="energisa_ms"/>
    <s v="Igreja do Evangelho Quadrangular"/>
    <x v="10"/>
    <s v="10/364440-845748"/>
    <s v="SIM"/>
    <n v="256"/>
    <m/>
    <m/>
    <s v="Aprovado"/>
    <n v="289.68452830188676"/>
    <n v="0"/>
    <m/>
    <m/>
    <m/>
    <s v="Sem valor liberado para emissão"/>
    <s v="62955505461210"/>
    <m/>
    <x v="0"/>
    <n v="0"/>
    <n v="0"/>
    <m/>
    <m/>
    <n v="283032"/>
    <n v="502"/>
    <s v="Igreja do Evangelho Quadrangular"/>
    <s v="'62955505193534'"/>
    <n v="108.76"/>
    <m/>
    <s v="A Unidade Consumidora 10/532081-7 economizou R$36,25 na fatura referente à jun/2025  consumindo 125 kWh em créditos de energia renovável conforme fatura de energia. A economia foi de 25% em relação ao que seria pago para a Energisa considerando os créditos consumidos. Atenção: Mantenha as contas da Energisa em dia para evitar cortes."/>
    <s v="evaniabenites@hotmail.com"/>
    <m/>
  </r>
  <r>
    <s v="TRIFÁSICO"/>
    <s v="10/1698130-0"/>
    <n v="67991767866"/>
    <n v="62955505461210"/>
    <s v="energisa_ms"/>
    <s v="Igreja do Evangelho Quadrangular"/>
    <x v="10"/>
    <s v="10/364440-845717"/>
    <s v="SIM"/>
    <n v="223"/>
    <m/>
    <m/>
    <s v="Aprovado"/>
    <n v="252.32190000000006"/>
    <n v="0"/>
    <m/>
    <m/>
    <m/>
    <s v="Sem valor liberado para emissão"/>
    <s v="62955505461210"/>
    <m/>
    <x v="0"/>
    <n v="0"/>
    <n v="0"/>
    <m/>
    <m/>
    <n v="283032"/>
    <n v="502"/>
    <s v="Igreja do Evangelho Quadrangular"/>
    <s v="'62955505015350'"/>
    <n v="77.55"/>
    <m/>
    <s v="A Unidade Consumidora 10/156956-5 economizou R$25,85 na fatura referente à jun/2025  consumindo 89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18015-8"/>
    <n v="67996266684"/>
    <n v="62955505016080"/>
    <s v="energisa_ms"/>
    <s v="Igreja do Evangelho Quadrangular"/>
    <x v="10"/>
    <s v="10/364440-845689"/>
    <s v="SIM"/>
    <n v="739"/>
    <m/>
    <m/>
    <s v="Aprovado"/>
    <n v="827.61053398058255"/>
    <n v="0"/>
    <m/>
    <m/>
    <m/>
    <s v="Sem valor liberado para emissão"/>
    <s v="62955505016080"/>
    <m/>
    <x v="0"/>
    <n v="0"/>
    <n v="0"/>
    <m/>
    <m/>
    <n v="283032"/>
    <n v="502"/>
    <s v="Igreja do Evangelho Quadrangular"/>
    <s v="'62955505016080'"/>
    <n v="172.74"/>
    <m/>
    <s v="A Unidade Consumidora 10/511753-6 economizou R$57,58 na fatura referente à jun/2025  consumindo 210 kWh em créditos de energia renovável conforme fatura de energia. A economia foi de 25% em relação ao que seria pago para a Energisa considerando os créditos consumidos. Atenção: Mantenha as contas da Energisa em dia para evitar cortes."/>
    <s v="quadrangular994@gmail.com"/>
    <m/>
  </r>
  <r>
    <s v="TRIFÁSICO"/>
    <s v="10/191945-5"/>
    <s v="67 81355403"/>
    <n v="62955505215791"/>
    <s v="energisa_ms"/>
    <s v="Igreja do Evangelho Quadrangular"/>
    <x v="10"/>
    <s v="10/364440-845658"/>
    <s v="SIM"/>
    <n v="493"/>
    <m/>
    <m/>
    <s v="Aprovado"/>
    <n v="551.84623217922604"/>
    <n v="0"/>
    <m/>
    <m/>
    <m/>
    <s v="Sem valor liberado para emissão"/>
    <s v="62955505215791"/>
    <m/>
    <x v="0"/>
    <n v="0"/>
    <n v="0"/>
    <m/>
    <m/>
    <n v="283032"/>
    <n v="502"/>
    <s v="Igreja do Evangelho Quadrangular"/>
    <s v="'62955505402710'"/>
    <n v="222.49"/>
    <m/>
    <s v="A Unidade Consumidora 10/931327-1 economizou R$74,16 na fatura referente à jun/2025  consumindo 273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BIFÁSICO"/>
    <s v="10/1939035-0"/>
    <s v=" 67 91285460"/>
    <n v="62955505419443"/>
    <s v="energisa_ms"/>
    <s v="Igreja do Evangelho Quadrangular"/>
    <x v="10"/>
    <s v="10/364440-845778"/>
    <s v="SIM"/>
    <n v="401"/>
    <m/>
    <m/>
    <s v="Aprovado"/>
    <n v="452.58240000000001"/>
    <n v="0"/>
    <m/>
    <m/>
    <m/>
    <s v="Sem valor liberado para emissão"/>
    <s v="62955505419443"/>
    <m/>
    <x v="0"/>
    <n v="0"/>
    <n v="0"/>
    <m/>
    <m/>
    <n v="283032"/>
    <n v="502"/>
    <s v="Igreja do Evangelho Quadrangular"/>
    <s v="'62955505461210'"/>
    <n v="95.85"/>
    <m/>
    <s v="A Unidade Consumidora 10/1698130-0 economizou R$31,95 na fatura referente à jun/2025  consumindo 110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202838-9"/>
    <n v="67992637973"/>
    <n v="62955505016403"/>
    <s v="energisa_ms"/>
    <s v="Igreja do Evangelho Quadrangular"/>
    <x v="10"/>
    <s v="10/5202-745931"/>
    <s v="SIM"/>
    <n v="385"/>
    <m/>
    <m/>
    <s v="Aprovado"/>
    <n v="433.28146666666669"/>
    <n v="0"/>
    <m/>
    <m/>
    <m/>
    <s v="Sem valor liberado para emissão"/>
    <s v="62955505016403"/>
    <m/>
    <x v="0"/>
    <n v="0"/>
    <n v="0"/>
    <m/>
    <m/>
    <n v="283032"/>
    <n v="502"/>
    <s v="Igreja do Evangelho Quadrangular"/>
    <s v="'62955505091456'"/>
    <n v="83.17"/>
    <m/>
    <s v="A Unidade Consumidora 10/150263-2 economizou R$27,72 na fatura referente à jun/2025  consumindo 104 kWh em créditos de energia renovável conforme fatura de energia. A economia foi de 25% em relação ao que seria pago para a Energisa considerando os créditos consumidos. Atenção: Mantenha as contas da Energisa em dia para evitar cortes."/>
    <s v="prmarcelo.quadrangular@gmail.com"/>
    <m/>
  </r>
  <r>
    <s v="BIFÁSICO"/>
    <s v="10/218777-1"/>
    <n v="67999031330"/>
    <n v="62955505017051"/>
    <s v="energisa_ms"/>
    <s v="Igreja do Evangelho Quadrangular"/>
    <x v="10"/>
    <s v="10/5202-745748"/>
    <s v="SIM"/>
    <n v="108"/>
    <m/>
    <m/>
    <s v="Aprovado"/>
    <n v="122.69999999999999"/>
    <n v="0"/>
    <m/>
    <m/>
    <m/>
    <s v="Sem valor liberado para emissão"/>
    <s v="62955505017051"/>
    <m/>
    <x v="0"/>
    <n v="0"/>
    <n v="0"/>
    <m/>
    <m/>
    <n v="283032"/>
    <n v="502"/>
    <s v="Igreja do Evangelho Quadrangular"/>
    <s v="'62955505149047'"/>
    <n v="194.07"/>
    <m/>
    <s v="A Unidade Consumidora 10/1184751-4 economizou R$64,69 na fatura referente à jun/2025  consumindo 223 kWh em créditos de energia renovável conforme fatura de energia. A economia foi de 25% em relação ao que seria pago para a Energisa considerando os créditos consumidos. Atenção: Mantenha as contas da Energisa em dia para evitar cortes."/>
    <m/>
    <m/>
  </r>
  <r>
    <s v="BIFÁSICO"/>
    <s v="10/226667-4"/>
    <n v="67992637973"/>
    <n v="62955505040894"/>
    <s v="energisa_ms"/>
    <s v="Igreja do Evangelho Quadrangular"/>
    <x v="10"/>
    <s v="10/5202-745689"/>
    <s v="SIM"/>
    <n v="83"/>
    <m/>
    <m/>
    <s v="Aprovado"/>
    <n v="93.48"/>
    <n v="0"/>
    <m/>
    <m/>
    <m/>
    <s v="Sem valor liberado para emissão"/>
    <s v="62955505040894"/>
    <m/>
    <x v="0"/>
    <n v="0"/>
    <n v="0"/>
    <m/>
    <m/>
    <n v="283032"/>
    <n v="502"/>
    <s v="Igreja do Evangelho Quadrangular"/>
    <s v="'62955505461210'"/>
    <n v="40.090000000000003"/>
    <m/>
    <s v="A Unidade Consumidora 10/1695011-5 economizou R$13,36 na fatura referente à jun/2025  consumindo 46 kWh em créditos de energia renovável conforme fatura de energia. A economia foi de 25% em relação ao que seria pago para a Energisa considerando os créditos consumidos. Atenção: Mantenha as contas da Energisa em dia para evitar cortes."/>
    <s v="monicadossantosfonseca@hotmail.com"/>
    <m/>
  </r>
  <r>
    <s v="TRIFÁSICO"/>
    <s v="10/237441-1"/>
    <n v="67992637973"/>
    <n v="62955505017213"/>
    <s v="energisa_ms"/>
    <s v="Igreja do Evangelho Quadrangular"/>
    <x v="10"/>
    <s v="10/2605731-545658"/>
    <s v="SIM"/>
    <n v="283"/>
    <m/>
    <m/>
    <s v="Aprovado"/>
    <n v="318.52190000000002"/>
    <n v="0"/>
    <m/>
    <m/>
    <m/>
    <s v="Sem valor liberado para emissão"/>
    <s v="62955505017213"/>
    <m/>
    <x v="0"/>
    <n v="0"/>
    <n v="0"/>
    <m/>
    <m/>
    <n v="283032"/>
    <n v="502"/>
    <s v="Igreja do Evangelho Quadrangular"/>
    <s v="'62955505892114'"/>
    <n v="15.9"/>
    <m/>
    <s v="A Unidade Consumidora 10/1117293-9 economizou R$5,3 na fatura referente à jun/2025  consumindo 18 kWh em créditos de energia renovável conforme fatura de energia. A economia foi de 25% em relação ao que seria pago para a Energisa considerando os créditos consumidos. Atenção: Mantenha as contas da Energisa em dia para evitar cortes."/>
    <s v="gigiepeter@live.com; regiao371@gmail.com"/>
    <m/>
  </r>
  <r>
    <s v="BIFÁSICO"/>
    <s v="10/257864-9"/>
    <n v="67981311823"/>
    <n v="62955505182176"/>
    <s v="energisa_ms"/>
    <s v="Igreja do Evangelho Quadrangular"/>
    <x v="10"/>
    <s v="10/364440-845931"/>
    <s v="SIM"/>
    <n v="186"/>
    <m/>
    <m/>
    <s v="Aprovado"/>
    <n v="210.53880000000001"/>
    <n v="0"/>
    <m/>
    <m/>
    <m/>
    <s v="Sem valor liberado para emissão"/>
    <s v="62955505182176"/>
    <m/>
    <x v="0"/>
    <n v="0"/>
    <n v="0"/>
    <m/>
    <m/>
    <n v="283032"/>
    <n v="502"/>
    <s v="Igreja do Evangelho Quadrangular"/>
    <s v="'62955505273058'"/>
    <n v="43.54"/>
    <m/>
    <s v="A Unidade Consumidora 10/501586-2 economizou R$14,51 na fatura referente à jun/2025  consumindo 53 kWh em créditos de energia renovável conforme fatura de energia. A economia foi de 25% em relação ao que seria pago para a Energisa considerando os créditos consumidos. Atenção: Mantenha as contas da Energisa em dia para evitar cortes."/>
    <s v="prmarcelo.quadrangular@gmail.com"/>
    <m/>
  </r>
  <r>
    <s v="TRIFÁSICO"/>
    <s v="10/2599101-9"/>
    <n v="67991120875"/>
    <n v="62955505379395"/>
    <s v="energisa_ms"/>
    <s v="Igreja do Evangelho Quadrangular"/>
    <x v="10"/>
    <s v="10/5202-745778"/>
    <s v="SIM"/>
    <n v="513"/>
    <m/>
    <m/>
    <s v="Aprovado"/>
    <n v="582.99"/>
    <n v="0"/>
    <m/>
    <m/>
    <m/>
    <s v="Sem valor liberado para emissão"/>
    <s v="62955505379395"/>
    <m/>
    <x v="0"/>
    <n v="0"/>
    <n v="0"/>
    <m/>
    <m/>
    <n v="283032"/>
    <n v="502"/>
    <s v="Igreja do Evangelho Quadrangular"/>
    <s v="'62955505040894'"/>
    <n v="11.32"/>
    <m/>
    <s v="A Unidade Consumidora 10/226667-4 economizou R$3,77 na fatura referente à jun/2025  consumindo 14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2605731-5"/>
    <n v="67992637973"/>
    <n v="62955505017213"/>
    <s v="energisa_ms"/>
    <s v="Igreja do Evangelho Quadrangular"/>
    <x v="10"/>
    <s v="10/2605731-545689"/>
    <s v="SIM"/>
    <n v="616"/>
    <m/>
    <m/>
    <s v="Aprovado"/>
    <n v="688.65148669796554"/>
    <n v="0"/>
    <m/>
    <m/>
    <m/>
    <s v="Sem valor liberado para emissão"/>
    <s v="62955505017213"/>
    <m/>
    <x v="0"/>
    <n v="0"/>
    <n v="0"/>
    <m/>
    <m/>
    <n v="283032"/>
    <n v="502"/>
    <s v="Igreja do Evangelho Quadrangular"/>
    <s v="'62955505017051'"/>
    <n v="35.4"/>
    <m/>
    <s v="A Unidade Consumidora 10/218777-1 economizou R$11,8 na fatura referente à jun/2025  consumindo 44 kWh em créditos de energia renovável conforme fatura de energia. A economia foi de 25% em relação ao que seria pago para a Energisa considerando os créditos consumidos. Atenção: Mantenha as contas da Energisa em dia para evitar cortes."/>
    <s v="pastordamilton@gmail.com"/>
    <m/>
  </r>
  <r>
    <s v="TRIFÁSICO"/>
    <s v="10/276283-9"/>
    <s v="46 999066691"/>
    <n v="62955505177504"/>
    <s v="energisa_ms"/>
    <s v="Igreja do Evangelho Quadrangular"/>
    <x v="10"/>
    <s v="10/2599101-945717"/>
    <s v="SIM"/>
    <n v="265"/>
    <m/>
    <m/>
    <s v="Aprovado"/>
    <n v="296.46250000000003"/>
    <n v="0"/>
    <m/>
    <m/>
    <m/>
    <s v="Sem valor liberado para emissão"/>
    <s v="62955505177504"/>
    <m/>
    <x v="0"/>
    <n v="0"/>
    <n v="0"/>
    <m/>
    <m/>
    <n v="283032"/>
    <n v="502"/>
    <s v="Igreja do Evangelho Quadrangular"/>
    <s v="'62955505084751'"/>
    <n v="84.82"/>
    <m/>
    <s v="A Unidade Consumidora 10/1548741-6 economizou R$28,27 na fatura referente à jun/2025  consumindo 100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29964-4"/>
    <n v="67996266684"/>
    <n v="62955505067660"/>
    <s v="energisa_ms"/>
    <s v="Igreja do Evangelho Quadrangular"/>
    <x v="10"/>
    <s v="10/2605731-545931"/>
    <s v="SIM"/>
    <n v="697"/>
    <m/>
    <m/>
    <s v="Aprovado"/>
    <n v="788.20619999999997"/>
    <n v="0"/>
    <m/>
    <m/>
    <m/>
    <s v="Sem valor liberado para emissão"/>
    <s v="62955505067660"/>
    <m/>
    <x v="0"/>
    <n v="0"/>
    <n v="0"/>
    <m/>
    <m/>
    <n v="283032"/>
    <n v="502"/>
    <s v="Igreja do Evangelho Quadrangular"/>
    <s v="'62955505182176'"/>
    <n v="42.69"/>
    <m/>
    <s v="A Unidade Consumidora 10/257864-9 economizou R$14,23 na fatura referente à jun/2025  consumindo 49 kWh em créditos de energia renovável conforme fatura de energia. A economia foi de 25% em relação ao que seria pago para a Energisa considerando os créditos consumidos. Atenção: Mantenha as contas da Energisa em dia para evitar cortes."/>
    <s v="gelcimarsouza1220@gmail.com"/>
    <m/>
  </r>
  <r>
    <e v="#N/A"/>
    <s v="10/3005226-0"/>
    <e v="#N/A"/>
    <n v="62955505057789"/>
    <s v="energisa_ms"/>
    <s v="Igreja do Evangelho Quadrangular"/>
    <x v="10"/>
    <s v="10/2599101-945931"/>
    <s v="SIM"/>
    <n v="0"/>
    <m/>
    <m/>
    <s v="Aprovado"/>
    <n v="0"/>
    <n v="0"/>
    <m/>
    <m/>
    <m/>
    <s v="Sem valor liberado para emissão"/>
    <s v="62955505057789"/>
    <m/>
    <x v="0"/>
    <n v="0"/>
    <n v="0"/>
    <m/>
    <m/>
    <n v="283032"/>
    <n v="502"/>
    <s v="Igreja do Evangelho Quadrangular"/>
    <s v="'62955505393207'"/>
    <n v="24.74"/>
    <m/>
    <s v="A Unidade Consumidora 10/10232-7 economizou R$8,25 na fatura referente à jun/2025  consumindo 28 kWh em créditos de energia renovável conforme fatura de energia. A economia foi de 25% em relação ao que seria pago para a Energisa considerando os créditos consumidos. Atenção: Mantenha as contas da Energisa em dia para evitar cortes."/>
    <s v="prjmar@outlook.com; regiao371@gmail.com"/>
    <m/>
  </r>
  <r>
    <s v="TRIFÁSICO"/>
    <s v="10/3030784-7"/>
    <n v="67996266684"/>
    <n v="62955505016080"/>
    <s v="energisa_ms"/>
    <s v="Igreja do Evangelho Quadrangular"/>
    <x v="10"/>
    <s v="10/5202-745658"/>
    <s v="SIM"/>
    <n v="526"/>
    <m/>
    <m/>
    <s v="Aprovado"/>
    <n v="598.80719999999997"/>
    <n v="0"/>
    <m/>
    <m/>
    <m/>
    <s v="Sem valor liberado para emissão"/>
    <s v="62955505016080"/>
    <m/>
    <x v="0"/>
    <n v="0"/>
    <n v="0"/>
    <m/>
    <m/>
    <n v="283032"/>
    <n v="502"/>
    <s v="Igreja do Evangelho Quadrangular"/>
    <s v="'62955505000167'"/>
    <n v="110.4"/>
    <m/>
    <s v="A Unidade Consumidora 10/384823-1 economizou R$36,8 na fatura referente à jun/2025  consumindo 135 kWh em créditos de energia renovável conforme fatura de energia. A economia foi de 25% em relação ao que seria pago para a Energisa considerando os créditos consumidos. Atenção: Mantenha as contas da Energisa em dia para evitar cortes."/>
    <s v="igrejaquadrangularmaracaju1@hotmail.com"/>
    <m/>
  </r>
  <r>
    <s v="TRIFÁSICO"/>
    <s v="10/3092868-3"/>
    <s v=" 67 91285460"/>
    <n v="62955505419443"/>
    <s v="energisa_ms"/>
    <s v="Igreja do Evangelho Quadrangular"/>
    <x v="10"/>
    <s v="10/18015-845931"/>
    <s v="SIM"/>
    <n v="283"/>
    <m/>
    <m/>
    <s v="Aprovado"/>
    <n v="318.50774999999999"/>
    <n v="0"/>
    <m/>
    <m/>
    <m/>
    <s v="Sem valor liberado para emissão"/>
    <s v="62955505419443"/>
    <m/>
    <x v="0"/>
    <n v="0"/>
    <n v="0"/>
    <m/>
    <m/>
    <n v="283032"/>
    <n v="502"/>
    <s v="Igreja do Evangelho Quadrangular"/>
    <s v="'62955505379395'"/>
    <n v="313.64999999999998"/>
    <m/>
    <s v="A Unidade Consumidora 10/2599101-9 economizou R$104,55 na fatura referente à jun/2025  consumindo 362 kWh em créditos de energia renovável conforme fatura de energia. A economia foi de 25% em relação ao que seria pago para a Energisa considerando os créditos consumidos. Atenção: Mantenha as contas da Energisa em dia para evitar cortes."/>
    <s v="pr.josepires@hotmail.com"/>
    <m/>
  </r>
  <r>
    <e v="#N/A"/>
    <s v="10/3214521-1"/>
    <e v="#N/A"/>
    <n v="62955505017051"/>
    <s v="energisa_ms"/>
    <s v="Igreja do Evangelho Quadrangular"/>
    <x v="10"/>
    <s v="10/3170252-545717"/>
    <s v="SIM"/>
    <n v="0"/>
    <m/>
    <m/>
    <s v="Não emitido"/>
    <n v="0"/>
    <n v="0"/>
    <m/>
    <m/>
    <m/>
    <s v="Sem valor liberado para emissão"/>
    <s v="62955505017051"/>
    <m/>
    <x v="0"/>
    <n v="0"/>
    <n v="0"/>
    <m/>
    <m/>
    <n v="283032"/>
    <n v="502"/>
    <s v="Igreja do Evangelho Quadrangular"/>
    <s v="'62955505016403'"/>
    <n v="73.739999999999995"/>
    <m/>
    <s v="A Unidade Consumidora 10/202838-9 economizou R$24,58 na fatura referente à jun/2025  consumindo 84 kWh em créditos de energia renovável conforme fatura de energia. A economia foi de 25% em relação ao que seria pago para a Energisa considerando os créditos consumidos. Atenção: Mantenha as contas da Energisa em dia para evitar cortes."/>
    <s v="neivaldocastro@hotmail.com"/>
    <m/>
  </r>
  <r>
    <s v="TRIFÁSICO"/>
    <s v="10/364440-8"/>
    <n v="67991120875"/>
    <n v="62955505015199"/>
    <s v="energisa_ms"/>
    <s v="Igreja do Evangelho Quadrangular"/>
    <x v="10"/>
    <s v="10/18015-845658"/>
    <s v="SIM"/>
    <n v="2565"/>
    <m/>
    <m/>
    <s v="Aprovado"/>
    <n v="2907.8510000000001"/>
    <n v="0"/>
    <m/>
    <m/>
    <m/>
    <s v="Sem valor liberado para emissão"/>
    <s v="62955505015199"/>
    <m/>
    <x v="0"/>
    <n v="0"/>
    <n v="0"/>
    <m/>
    <m/>
    <n v="283032"/>
    <n v="502"/>
    <s v="Igreja do Evangelho Quadrangular"/>
    <s v="'62955505419443'"/>
    <n v="180.56"/>
    <m/>
    <s v="A Unidade Consumidora 10/1939035-0 economizou R$60,19 na fatura referente à jun/2025  consumindo 218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MONOFÁSICO"/>
    <s v="10/384823-1"/>
    <n v="67999159477"/>
    <n v="62955505000167"/>
    <s v="energisa_ms"/>
    <s v="Igreja do Evangelho Quadrangular"/>
    <x v="10"/>
    <s v="10/2605731-545901"/>
    <s v="SIM"/>
    <n v="50"/>
    <m/>
    <m/>
    <s v="Aprovado"/>
    <n v="56.643333333333331"/>
    <n v="0"/>
    <m/>
    <m/>
    <m/>
    <s v="Sem valor liberado para emissão"/>
    <s v="62955505000167"/>
    <m/>
    <x v="0"/>
    <n v="0"/>
    <n v="0"/>
    <m/>
    <m/>
    <n v="283032"/>
    <n v="502"/>
    <s v="Igreja do Evangelho Quadrangular"/>
    <s v="'62955505017213'"/>
    <n v="368.83"/>
    <m/>
    <s v="A Unidade Consumidora 10/2605731-5 economizou R$122,94 na fatura referente à jun/2025  consumindo 417 kWh em créditos de energia renovável conforme fatura de energia. A economia foi de 25% em relação ao que seria pago para a Energisa considerando os créditos consumidos. Atenção: Mantenha as contas da Energisa em dia para evitar cortes."/>
    <s v="pastoreliasmn@hotmail.com"/>
    <m/>
  </r>
  <r>
    <s v="BIFÁSICO"/>
    <s v="10/452884-0"/>
    <s v="67 996469842"/>
    <n v="62955505000167"/>
    <s v="energisa_ms"/>
    <s v="Igreja do Evangelho Quadrangular"/>
    <x v="10"/>
    <s v="10/18015-845901"/>
    <s v="SIM"/>
    <n v="114"/>
    <m/>
    <m/>
    <s v="Aprovado"/>
    <n v="127.40960000000001"/>
    <n v="0"/>
    <m/>
    <m/>
    <m/>
    <s v="Sem valor liberado para emissão"/>
    <s v="62955505000167"/>
    <m/>
    <x v="0"/>
    <n v="0"/>
    <n v="0"/>
    <m/>
    <m/>
    <n v="283032"/>
    <n v="502"/>
    <s v="Igreja do Evangelho Quadrangular"/>
    <s v="'62955505057789'"/>
    <n v="216.9"/>
    <m/>
    <s v="A Unidade Consumidora 10/3005226-0 economizou R$72,3 na fatura referente à jun/2025  consumindo 260 kWh em créditos de energia renovável conforme fatura de energia. A economia foi de 25% em relação ao que seria pago para a Energisa considerando os créditos consumidos. Atenção: Mantenha as contas da Energisa em dia para evitar cortes."/>
    <s v="katiaconceicaogomes2020@gmail.com; israelregiao302@gmail.com"/>
    <m/>
  </r>
  <r>
    <s v="TRIFÁSICO"/>
    <s v="10/501586-2"/>
    <s v="67 92480766"/>
    <n v="62955505273058"/>
    <s v="energisa_ms"/>
    <s v="Igreja do Evangelho Quadrangular"/>
    <x v="10"/>
    <s v="10/202838-945717"/>
    <s v="SIM"/>
    <n v="110"/>
    <m/>
    <m/>
    <s v="Aprovado"/>
    <n v="124.70500000000001"/>
    <n v="0"/>
    <m/>
    <m/>
    <m/>
    <s v="Sem valor liberado para emissão"/>
    <s v="62955505273058"/>
    <m/>
    <x v="0"/>
    <n v="0"/>
    <n v="0"/>
    <m/>
    <m/>
    <n v="283032"/>
    <n v="502"/>
    <s v="Igreja do Evangelho Quadrangular"/>
    <s v="'62955505058599'"/>
    <n v="118.91"/>
    <m/>
    <s v="A Unidade Consumidora 10/76927-3 economizou R$39,64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"/>
    <s v="scr_prmarcal@hotmail.com"/>
    <m/>
  </r>
  <r>
    <s v="TRIFÁSICO"/>
    <s v="10/510330-4"/>
    <n v="67992637973"/>
    <n v="62955505367117"/>
    <s v="energisa_ms"/>
    <s v="Igreja do Evangelho Quadrangular"/>
    <x v="10"/>
    <s v="10/3170252-545658"/>
    <s v="SIM"/>
    <n v="256"/>
    <m/>
    <m/>
    <s v="Não emitido"/>
    <n v="288.86233393177736"/>
    <n v="0"/>
    <m/>
    <m/>
    <m/>
    <s v="Sem valor liberado para emissão"/>
    <s v="62955505367117"/>
    <m/>
    <x v="0"/>
    <n v="0"/>
    <n v="0"/>
    <m/>
    <m/>
    <n v="283032"/>
    <n v="502"/>
    <s v="Igreja do Evangelho Quadrangular"/>
    <s v="'62955505113875'"/>
    <n v="164.56"/>
    <m/>
    <s v="A Unidade Consumidora 10/142353-2 economizou R$54,85 na fatura referente à jun/2025  consumindo 217 kWh em créditos de energia renovável conforme fatura de energia. A economia foi de 25% em relação ao que seria pago para a Energisa considerando os créditos consumidos. Atenção: Mantenha as contas da Energisa em dia para evitar cortes."/>
    <s v="regiao371@gmail.com"/>
    <m/>
  </r>
  <r>
    <s v="BIFÁSICO"/>
    <s v="10/511753-6"/>
    <n v="67996266684"/>
    <n v="62955505016080"/>
    <s v="energisa_ms"/>
    <s v="Igreja do Evangelho Quadrangular"/>
    <x v="10"/>
    <s v="10/2599101-945901"/>
    <s v="SIM"/>
    <n v="203"/>
    <m/>
    <m/>
    <s v="Aprovado"/>
    <n v="230.65000000000003"/>
    <n v="0"/>
    <m/>
    <m/>
    <m/>
    <s v="Sem valor liberado para emissão"/>
    <s v="62955505016080"/>
    <m/>
    <x v="0"/>
    <n v="0"/>
    <n v="0"/>
    <m/>
    <m/>
    <n v="283032"/>
    <n v="502"/>
    <s v="Igreja do Evangelho Quadrangular"/>
    <s v="'62955505357405'"/>
    <n v="58.93"/>
    <m/>
    <s v="A Unidade Consumidora 10/435964-2 economizou R$19,64 na fatura referente à jun/2025  consumindo 78 kWh em créditos de energia renovável conforme fatura de energia. A economia foi de 25% em relação ao que seria pago para a Energisa considerando os créditos consumidos. Atenção: Mantenha as contas da Energisa em dia para evitar cortes."/>
    <s v="Ieqcelsapucaia@gmail.com; quadrangular994@gmail.com"/>
    <m/>
  </r>
  <r>
    <s v="TRIFÁSICO"/>
    <s v="10/513413-5"/>
    <n v="67992637973"/>
    <n v="62955505321630"/>
    <s v="energisa_ms"/>
    <s v="Igreja do Evangelho Quadrangular"/>
    <x v="10"/>
    <s v="10/2247256-745689"/>
    <s v="SIM"/>
    <n v="299"/>
    <m/>
    <m/>
    <s v="Aprovado"/>
    <n v="339.77708661417324"/>
    <n v="0"/>
    <m/>
    <m/>
    <m/>
    <s v="Sem valor liberado para emissão"/>
    <s v="62955505321630"/>
    <m/>
    <x v="0"/>
    <n v="0"/>
    <n v="0"/>
    <m/>
    <m/>
    <n v="283032"/>
    <n v="502"/>
    <s v="Igreja do Evangelho Quadrangular"/>
    <s v="'62955505016918'"/>
    <n v="177.43"/>
    <m/>
    <s v="A Unidade Consumidora 10/1081489-5 economizou R$59,14 na fatura referente à jun/2025  consumindo 237 kWh em créditos de energia renovável conforme fatura de energia. A economia foi de 25% em relação ao que seria pago para a Energisa considerando os créditos consumidos. Atenção: Mantenha as contas da Energisa em dia para evitar cortes."/>
    <s v="pastordill@hotmail.com"/>
    <m/>
  </r>
  <r>
    <s v="TRIFÁSICO"/>
    <s v="10/5202-7"/>
    <s v="67 996469842"/>
    <n v="62955505393207"/>
    <s v="energisa_ms"/>
    <s v="Igreja do Evangelho Quadrangular"/>
    <x v="10"/>
    <s v="10/202838-945689"/>
    <s v="SIM"/>
    <n v="1283"/>
    <m/>
    <m/>
    <s v="Aprovado"/>
    <n v="1453.4993350168349"/>
    <n v="0"/>
    <m/>
    <m/>
    <m/>
    <s v="Sem valor liberado para emissão"/>
    <s v="62955505393207"/>
    <m/>
    <x v="0"/>
    <n v="0"/>
    <n v="0"/>
    <m/>
    <m/>
    <n v="283032"/>
    <n v="502"/>
    <s v="Igreja do Evangelho Quadrangular"/>
    <s v="'62955505312487'"/>
    <n v="18.190000000000001"/>
    <m/>
    <s v="A Unidade Consumidora 10/15297-5 economizou R$6,06 na fatura referente à jun/2025  consumindo 24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532081-7"/>
    <s v="67 992321318"/>
    <n v="62955505193534"/>
    <s v="energisa_ms"/>
    <s v="Igreja do Evangelho Quadrangular"/>
    <x v="10"/>
    <s v="10/18015-845689"/>
    <s v="SIM"/>
    <n v="337"/>
    <m/>
    <m/>
    <s v="Aprovado"/>
    <n v="381.73050000000001"/>
    <n v="0"/>
    <m/>
    <m/>
    <m/>
    <s v="Sem valor liberado para emissão"/>
    <s v="62955505193534"/>
    <m/>
    <x v="0"/>
    <n v="0"/>
    <n v="0"/>
    <m/>
    <m/>
    <n v="283032"/>
    <n v="502"/>
    <s v="Igreja do Evangelho Quadrangular"/>
    <s v="'62955505016080'"/>
    <n v="177.43"/>
    <m/>
    <s v="A Unidade Consumidora 10/489076-0 economizou R$59,14 na fatura referente à jun/2025  consumindo 237 kWh em créditos de energia renovável conforme fatura de energia. A economia foi de 25% em relação ao que seria pago para a Energisa considerando os créditos consumidos. Atenção: Mantenha as contas da Energisa em dia para evitar cortes."/>
    <s v="igrejaquadrangularmaracaju1@hotmail.com"/>
    <m/>
  </r>
  <r>
    <s v="TRIFÁSICO"/>
    <s v="10/532723-4"/>
    <n v="67996446178"/>
    <n v="62955505359360"/>
    <s v="energisa_ms"/>
    <s v="Igreja do Evangelho Quadrangular"/>
    <x v="10"/>
    <s v="10/2599101-945748"/>
    <s v="SIM"/>
    <n v="246"/>
    <m/>
    <m/>
    <s v="Aprovado"/>
    <n v="275.20955752212393"/>
    <n v="0"/>
    <m/>
    <m/>
    <m/>
    <s v="Sem valor liberado para emissão"/>
    <s v="62955505359360"/>
    <m/>
    <x v="0"/>
    <n v="0"/>
    <n v="0"/>
    <m/>
    <m/>
    <n v="283032"/>
    <n v="502"/>
    <s v="Igreja do Evangelho Quadrangular"/>
    <s v="'62955505182257'"/>
    <n v="93.23"/>
    <m/>
    <s v="A Unidade Consumidora 10/69319-2 economizou R$31,08 na fatura referente à jun/2025  consumindo 123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931327-1"/>
    <s v="67 992158055"/>
    <n v="62955505402710"/>
    <s v="energisa_ms"/>
    <s v="Igreja do Evangelho Quadrangular"/>
    <x v="10"/>
    <s v="10/5202-745809"/>
    <s v="SIM"/>
    <n v="180"/>
    <m/>
    <m/>
    <s v="Aprovado"/>
    <n v="202.57600000000002"/>
    <n v="0"/>
    <m/>
    <m/>
    <m/>
    <s v="Sem valor liberado para emissão"/>
    <s v="62955505402710"/>
    <m/>
    <x v="0"/>
    <n v="0"/>
    <n v="0"/>
    <m/>
    <m/>
    <n v="283032"/>
    <n v="502"/>
    <s v="Igreja do Evangelho Quadrangular"/>
    <s v="'62955505182257'"/>
    <n v="119.11"/>
    <m/>
    <s v="A Unidade Consumidora 10/480529-7 economizou R$39,7 na fatura referente à jun/2025  consumindo 158 kWh em créditos de energia renovável conforme fatura de energia. A economia foi de 25% em relação ao que seria pago para a Energisa considerando os créditos consumidos. Atenção: Mantenha as contas da Energisa em dia para evitar cortes."/>
    <s v="evaniabenites@hotmail.com"/>
    <m/>
  </r>
  <r>
    <s v="TRIFÁSICO"/>
    <s v="10/987178-1"/>
    <n v="67993496482"/>
    <n v="62955505015512"/>
    <s v="energisa_ms"/>
    <s v="Igreja do Evangelho Quadrangular"/>
    <x v="10"/>
    <s v="10/5202-745901"/>
    <s v="SIM"/>
    <n v="35"/>
    <m/>
    <m/>
    <s v="Aprovado"/>
    <n v="39.795000000000002"/>
    <n v="0"/>
    <m/>
    <m/>
    <m/>
    <s v="Sem valor liberado para emissão"/>
    <s v="62955505015512"/>
    <m/>
    <x v="0"/>
    <n v="0"/>
    <n v="0"/>
    <m/>
    <m/>
    <n v="283032"/>
    <n v="502"/>
    <s v="Igreja do Evangelho Quadrangular"/>
    <s v="'62955505182257'"/>
    <n v="177.24"/>
    <m/>
    <s v="A Unidade Consumidora 10/3139326-7 economizou R$59,08 na fatura referente à jun/2025  consumindo 237 kWh em créditos de energia renovável conforme fatura de energia. A economia foi de 25% em relação ao que seria pago para a Energisa considerando os créditos consumidos. Atenção: Mantenha as contas da Energisa em dia para evitar cortes."/>
    <s v="igrejaquadrangularmaracaju1@hotmail.com"/>
    <m/>
  </r>
  <r>
    <n v="0"/>
    <s v="10/104720-8"/>
    <n v="67991767866"/>
    <n v="62955505091456"/>
    <s v="energisa_ms"/>
    <s v="Igreja do Evangelho Quadrangular"/>
    <x v="10"/>
    <s v="10/191945-545931"/>
    <s v="SIM"/>
    <n v="0"/>
    <m/>
    <m/>
    <s v="Aprovado"/>
    <n v="0"/>
    <n v="0"/>
    <m/>
    <m/>
    <m/>
    <s v="Sem valor liberado para emissão"/>
    <s v="62955505091456"/>
    <m/>
    <x v="0"/>
    <n v="0"/>
    <n v="0"/>
    <m/>
    <m/>
    <n v="283032"/>
    <n v="502"/>
    <s v="Igreja do Evangelho Quadrangular"/>
    <s v="'62955505213233'"/>
    <n v="194.17"/>
    <m/>
    <s v="A Unidade Consumidora 10/399338-3 economizou R$64,72 na fatura referente à jun/2025  consumindo 257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MONOFÁSICO"/>
    <s v="10/150263-2"/>
    <n v="67992337953"/>
    <n v="62955505091456"/>
    <s v="energisa_ms"/>
    <s v="Igreja do Evangelho Quadrangular"/>
    <x v="10"/>
    <s v="10/29964-445778"/>
    <s v="SIM"/>
    <n v="0"/>
    <m/>
    <m/>
    <s v="Aprovado"/>
    <n v="0"/>
    <n v="0"/>
    <m/>
    <m/>
    <m/>
    <s v="Sem valor liberado para emissão"/>
    <s v="62955505091456"/>
    <m/>
    <x v="0"/>
    <n v="0"/>
    <n v="0"/>
    <m/>
    <m/>
    <n v="283032"/>
    <n v="502"/>
    <s v="Igreja do Evangelho Quadrangular"/>
    <s v="'62955505274020'"/>
    <n v="38.68"/>
    <m/>
    <s v="A Unidade Consumidora 10/252817-2 economizou R$12,89 na fatura referente à jun/2025  consumindo 51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s v="TRIFÁSICO"/>
    <s v="10/135237-6"/>
    <n v="67996446178"/>
    <n v="62955505080098"/>
    <s v="energisa_ms"/>
    <s v="Igreja do Evangelho Quadrangular"/>
    <x v="7"/>
    <s v="10/2605731-545717"/>
    <s v="SIM"/>
    <n v="0"/>
    <m/>
    <m/>
    <s v="Aprovado"/>
    <n v="0"/>
    <n v="0"/>
    <m/>
    <m/>
    <m/>
    <s v="Sem valor liberado para emissão"/>
    <s v="62955505080098"/>
    <m/>
    <x v="0"/>
    <n v="0"/>
    <n v="0"/>
    <m/>
    <m/>
    <n v="283032"/>
    <n v="502"/>
    <s v="Igreja do Evangelho Quadrangular"/>
    <s v="'62955505379395'"/>
    <n v="5.34"/>
    <m/>
    <s v="A Unidade Consumidora 10/1266128-6 economizou R$1,78 na fatura referente à jun/2025  consumindo 7 kWh em créditos de energia renovável conforme fatura de energia. A economia foi de 25% em relação ao que seria pago para a Energisa considerando os créditos consumidos. Atenção: Mantenha as contas da Energisa em dia para evitar cortes."/>
    <s v="regiao359@gmail.com"/>
    <m/>
  </r>
  <r>
    <e v="#N/A"/>
    <s v="10/3005226-0"/>
    <e v="#N/A"/>
    <n v="62955505057789"/>
    <s v="energisa_ms"/>
    <s v="Igreja do Evangelho Quadrangular"/>
    <x v="7"/>
    <s v="10/276283-945658"/>
    <s v="SIM"/>
    <n v="0"/>
    <m/>
    <m/>
    <s v="Aprovado"/>
    <n v="0"/>
    <n v="0"/>
    <m/>
    <m/>
    <m/>
    <s v="Sem valor liberado para emissão"/>
    <s v="62955505057789"/>
    <m/>
    <x v="0"/>
    <n v="0"/>
    <n v="0"/>
    <m/>
    <m/>
    <m/>
    <m/>
    <m/>
    <m/>
    <m/>
    <m/>
    <m/>
    <m/>
    <m/>
  </r>
  <r>
    <e v="#N/A"/>
    <s v="10/3214521-1"/>
    <e v="#N/A"/>
    <n v="62955505017051"/>
    <s v="energisa_ms"/>
    <s v="Igreja do Evangelho Quadrangular"/>
    <x v="7"/>
    <s v="10/3092868-345717"/>
    <s v="SIM"/>
    <n v="0"/>
    <m/>
    <m/>
    <s v="Aprovado"/>
    <n v="0"/>
    <n v="0"/>
    <m/>
    <m/>
    <m/>
    <s v="Sem valor liberado para emissão"/>
    <s v="62955505017051"/>
    <m/>
    <x v="0"/>
    <n v="0"/>
    <n v="0"/>
    <m/>
    <m/>
    <m/>
    <m/>
    <m/>
    <m/>
    <m/>
    <m/>
    <m/>
    <m/>
    <m/>
  </r>
  <r>
    <n v="0"/>
    <s v="10/104720-8"/>
    <n v="67991767866"/>
    <n v="62955505091456"/>
    <s v="energisa_ms"/>
    <s v="Igreja do Evangelho Quadrangular"/>
    <x v="7"/>
    <s v="10/15297-545901"/>
    <s v="SIM"/>
    <n v="0"/>
    <m/>
    <m/>
    <s v="Aprovado"/>
    <n v="0"/>
    <n v="0"/>
    <m/>
    <m/>
    <m/>
    <s v="Sem valor liberado para emissão"/>
    <s v="62955505091456"/>
    <m/>
    <x v="0"/>
    <n v="0"/>
    <n v="0"/>
    <m/>
    <m/>
    <m/>
    <m/>
    <m/>
    <m/>
    <m/>
    <m/>
    <m/>
    <m/>
    <m/>
  </r>
  <r>
    <s v="MONOFÁSICO"/>
    <s v="10/150263-2"/>
    <n v="67992337953"/>
    <n v="62955505091456"/>
    <s v="energisa_ms"/>
    <s v="Igreja do Evangelho Quadrangular"/>
    <x v="7"/>
    <s v="10/2599101-945658"/>
    <s v="SIM"/>
    <n v="175"/>
    <m/>
    <m/>
    <s v="Aprovado"/>
    <n v="179.40999999999997"/>
    <n v="0"/>
    <m/>
    <m/>
    <m/>
    <s v="Sem valor liberado para emissão"/>
    <s v="62955505091456"/>
    <m/>
    <x v="0"/>
    <n v="0"/>
    <n v="0"/>
    <m/>
    <m/>
    <m/>
    <m/>
    <m/>
    <m/>
    <m/>
    <m/>
    <m/>
    <m/>
    <m/>
  </r>
  <r>
    <e v="#N/A"/>
    <s v="10/10731-8"/>
    <e v="#N/A"/>
    <n v="62955505393207"/>
    <s v="energisa_ms"/>
    <s v="Igreja do Evangelho Quadrangular"/>
    <x v="7"/>
    <s v="10/2605731-545839"/>
    <s v="SIM"/>
    <n v="0"/>
    <m/>
    <m/>
    <s v="Aprovado"/>
    <n v="0"/>
    <n v="0"/>
    <m/>
    <m/>
    <m/>
    <s v="Sem valor liberado para emissão"/>
    <s v="62955505393207"/>
    <m/>
    <x v="0"/>
    <n v="0"/>
    <n v="0"/>
    <m/>
    <m/>
    <m/>
    <m/>
    <m/>
    <m/>
    <m/>
    <m/>
    <m/>
    <m/>
    <m/>
  </r>
  <r>
    <s v="TRIFÁSICO"/>
    <s v="10/3054052-0"/>
    <n v="67996266684"/>
    <n v="62955505312487"/>
    <s v="energisa_ms"/>
    <s v="Igreja do Evangelho Quadrangular"/>
    <x v="7"/>
    <s v="10/1695011-545839"/>
    <s v="SIM"/>
    <n v="0"/>
    <m/>
    <m/>
    <s v="Aprovado"/>
    <n v="0"/>
    <n v="0"/>
    <m/>
    <m/>
    <m/>
    <s v="Sem valor liberado para emissão"/>
    <s v="62955505312487"/>
    <m/>
    <x v="0"/>
    <n v="0"/>
    <n v="0"/>
    <m/>
    <m/>
    <m/>
    <m/>
    <m/>
    <m/>
    <m/>
    <m/>
    <m/>
    <m/>
    <m/>
  </r>
  <r>
    <s v="TRIFÁSICO"/>
    <s v="10/505854-0"/>
    <n v="67996446178"/>
    <n v="62955505887382"/>
    <s v="energisa_ms"/>
    <s v="Igreja do Evangelho Quadrangular"/>
    <x v="7"/>
    <s v="10/156956-545689"/>
    <s v="SIM"/>
    <n v="0"/>
    <m/>
    <m/>
    <s v="Aprovado"/>
    <n v="0"/>
    <n v="0"/>
    <m/>
    <m/>
    <m/>
    <s v="Sem valor liberado para emissão"/>
    <s v="62955505887382"/>
    <m/>
    <x v="0"/>
    <n v="0"/>
    <n v="0"/>
    <m/>
    <m/>
    <m/>
    <m/>
    <m/>
    <m/>
    <m/>
    <m/>
    <m/>
    <m/>
    <m/>
  </r>
  <r>
    <s v="TRIFÁSICO"/>
    <s v="10/69319-2"/>
    <n v="67998363594"/>
    <n v="62955505182257"/>
    <s v="energisa_ms"/>
    <s v="Igreja do Evangelho Quadrangular"/>
    <x v="7"/>
    <s v="10/1674177-945901"/>
    <s v="SIM"/>
    <n v="0"/>
    <m/>
    <m/>
    <s v="Aprovado"/>
    <n v="0"/>
    <n v="0"/>
    <m/>
    <m/>
    <m/>
    <s v="Sem valor liberado para emissão"/>
    <s v="62955505182257"/>
    <m/>
    <x v="0"/>
    <n v="0"/>
    <n v="0"/>
    <m/>
    <m/>
    <m/>
    <m/>
    <m/>
    <m/>
    <m/>
    <m/>
    <m/>
    <m/>
    <m/>
  </r>
  <r>
    <e v="#N/A"/>
    <s v="10/925970-6"/>
    <e v="#N/A"/>
    <n v="62955505057789"/>
    <s v="energisa_ms"/>
    <s v="Igreja do Evangelho Quadrangular"/>
    <x v="7"/>
    <s v="10/202838-945658"/>
    <s v="SIM"/>
    <n v="0"/>
    <m/>
    <m/>
    <s v="Aprovado"/>
    <n v="0"/>
    <n v="0"/>
    <m/>
    <m/>
    <m/>
    <s v="Sem valor liberado para emissão"/>
    <s v="62955505057789"/>
    <m/>
    <x v="0"/>
    <n v="0"/>
    <n v="0"/>
    <m/>
    <m/>
    <m/>
    <m/>
    <m/>
    <m/>
    <m/>
    <m/>
    <m/>
    <m/>
    <m/>
  </r>
  <r>
    <e v="#N/A"/>
    <s v="10/2344751-9"/>
    <e v="#N/A"/>
    <n v="62955505135500"/>
    <s v="energisa_ms"/>
    <s v="Igreja do Evangelho Quadrangular"/>
    <x v="7"/>
    <s v="10/252817-245658"/>
    <s v="SIM"/>
    <n v="0"/>
    <m/>
    <m/>
    <s v="Aprovado"/>
    <n v="0"/>
    <n v="0"/>
    <m/>
    <m/>
    <m/>
    <s v="Sem valor liberado para emissão"/>
    <s v="62955505135500"/>
    <m/>
    <x v="0"/>
    <n v="0"/>
    <n v="0"/>
    <m/>
    <m/>
    <m/>
    <m/>
    <m/>
    <m/>
    <m/>
    <m/>
    <m/>
    <m/>
    <m/>
  </r>
  <r>
    <e v="#N/A"/>
    <s v="10/2338577-6"/>
    <e v="#N/A"/>
    <n v="62955505017213"/>
    <s v="energisa_ms"/>
    <s v="Igreja do Evangelho Quadrangular"/>
    <x v="7"/>
    <s v="10/15297-545658"/>
    <s v="SIM"/>
    <n v="0"/>
    <m/>
    <m/>
    <s v="Aprovado"/>
    <n v="0"/>
    <n v="0"/>
    <m/>
    <m/>
    <m/>
    <s v="Sem valor liberado para emissão"/>
    <s v="62955505017213"/>
    <m/>
    <x v="0"/>
    <n v="0"/>
    <n v="0"/>
    <m/>
    <m/>
    <m/>
    <m/>
    <m/>
    <m/>
    <m/>
    <m/>
    <m/>
    <m/>
    <m/>
  </r>
  <r>
    <n v="0"/>
    <s v="10/104720-8"/>
    <n v="67991767866"/>
    <n v="62955505091456"/>
    <s v="energisa_ms"/>
    <s v="Igreja do Evangelho Quadrangular"/>
    <x v="6"/>
    <s v="10/276283-945901"/>
    <s v="SIM"/>
    <n v="0"/>
    <m/>
    <m/>
    <s v="Aprovado"/>
    <n v="0"/>
    <n v="0"/>
    <m/>
    <m/>
    <m/>
    <s v="Sem valor liberado para emissão"/>
    <s v="62955505091456"/>
    <m/>
    <x v="0"/>
    <n v="0"/>
    <n v="0"/>
    <m/>
    <m/>
    <m/>
    <m/>
    <m/>
    <m/>
    <m/>
    <m/>
    <m/>
    <m/>
    <m/>
  </r>
  <r>
    <s v="MONOFÁSICO"/>
    <s v="10/150263-2"/>
    <n v="67992337953"/>
    <n v="62955505091456"/>
    <s v="energisa_ms"/>
    <s v="Igreja do Evangelho Quadrangular"/>
    <x v="6"/>
    <s v="10/1939035-045748"/>
    <s v="SIM"/>
    <n v="0"/>
    <m/>
    <m/>
    <s v="Aprovado"/>
    <n v="134.56"/>
    <n v="0"/>
    <m/>
    <m/>
    <m/>
    <s v="Sem valor liberado para emissão"/>
    <s v="62955505091456"/>
    <m/>
    <x v="0"/>
    <n v="0"/>
    <n v="0"/>
    <m/>
    <m/>
    <m/>
    <m/>
    <m/>
    <m/>
    <m/>
    <m/>
    <m/>
    <m/>
    <m/>
  </r>
  <r>
    <e v="#N/A"/>
    <s v="10/925970-6"/>
    <e v="#N/A"/>
    <n v="62955505057789"/>
    <s v="energisa_ms"/>
    <s v="Igreja do Evangelho Quadrangular"/>
    <x v="6"/>
    <s v="10/931327-145717"/>
    <s v="SIM"/>
    <n v="0"/>
    <m/>
    <m/>
    <s v="Aprovado"/>
    <n v="0"/>
    <n v="0"/>
    <m/>
    <m/>
    <m/>
    <s v="Sem valor liberado para emissão"/>
    <s v="62955505057789"/>
    <m/>
    <x v="0"/>
    <n v="0"/>
    <n v="0"/>
    <m/>
    <m/>
    <m/>
    <m/>
    <m/>
    <m/>
    <m/>
    <m/>
    <m/>
    <m/>
    <m/>
  </r>
  <r>
    <e v="#N/A"/>
    <s v="10/10731-8"/>
    <e v="#N/A"/>
    <n v="62955505393207"/>
    <s v="energisa_ms"/>
    <s v="Igreja do Evangelho Quadrangular"/>
    <x v="6"/>
    <s v="10/504844-245778"/>
    <s v="SIM"/>
    <n v="0"/>
    <m/>
    <m/>
    <s v="Aprovado"/>
    <n v="0"/>
    <n v="0"/>
    <m/>
    <m/>
    <m/>
    <s v="Sem valor liberado para emissão"/>
    <s v="62955505393207"/>
    <m/>
    <x v="0"/>
    <n v="0"/>
    <n v="0"/>
    <m/>
    <m/>
    <m/>
    <m/>
    <m/>
    <m/>
    <m/>
    <m/>
    <m/>
    <m/>
    <m/>
  </r>
  <r>
    <s v="TRIFÁSICO"/>
    <s v="10/76927-3"/>
    <s v="67 999373813"/>
    <n v="62955505058599"/>
    <s v="energisa_ms"/>
    <s v="Igreja do Evangelho Quadrangular"/>
    <x v="6"/>
    <s v="10/260761-245778"/>
    <s v="SIM"/>
    <n v="0"/>
    <m/>
    <m/>
    <s v="Aprovado"/>
    <n v="0"/>
    <n v="0"/>
    <m/>
    <m/>
    <m/>
    <s v="Sem valor liberado para emissão"/>
    <s v="62955505058599"/>
    <m/>
    <x v="0"/>
    <n v="0"/>
    <n v="0"/>
    <m/>
    <m/>
    <m/>
    <m/>
    <m/>
    <m/>
    <m/>
    <m/>
    <m/>
    <m/>
    <m/>
  </r>
  <r>
    <s v="BIFÁSICO"/>
    <s v="10/142353-2"/>
    <n v="67992899434"/>
    <n v="62955505113875"/>
    <s v="energisa_ms"/>
    <s v="Igreja do Evangelho Quadrangular"/>
    <x v="6"/>
    <s v="10/1266128-645717"/>
    <s v="SIM"/>
    <n v="0"/>
    <m/>
    <m/>
    <s v="Aprovado"/>
    <n v="0"/>
    <n v="0"/>
    <m/>
    <m/>
    <m/>
    <s v="Sem valor liberado para emissão"/>
    <s v="62955505113875"/>
    <m/>
    <x v="0"/>
    <n v="0"/>
    <n v="0"/>
    <m/>
    <m/>
    <m/>
    <m/>
    <m/>
    <m/>
    <m/>
    <m/>
    <m/>
    <m/>
    <m/>
  </r>
  <r>
    <s v="BIFÁSICO"/>
    <s v="10/1081489-5"/>
    <n v="67996446178"/>
    <n v="62955505016918"/>
    <s v="energisa_ms"/>
    <s v="Igreja do Evangelho Quadrangular"/>
    <x v="6"/>
    <s v="10/1081489-545748"/>
    <s v="SIM"/>
    <n v="0"/>
    <m/>
    <m/>
    <s v="Aprovado"/>
    <n v="0"/>
    <n v="0"/>
    <m/>
    <m/>
    <m/>
    <s v="Sem valor liberado para emissão"/>
    <s v="62955505016918"/>
    <m/>
    <x v="0"/>
    <n v="0"/>
    <n v="0"/>
    <m/>
    <m/>
    <m/>
    <m/>
    <m/>
    <m/>
    <m/>
    <m/>
    <m/>
    <m/>
    <m/>
  </r>
  <r>
    <s v="TRIFÁSICO"/>
    <s v="10/15297-5"/>
    <n v="67996266684"/>
    <n v="62955505312487"/>
    <s v="energisa_ms"/>
    <s v="Igreja do Evangelho Quadrangular"/>
    <x v="6"/>
    <s v="10/3139326-745748"/>
    <s v="SIM"/>
    <n v="0"/>
    <m/>
    <m/>
    <s v="Aprovado"/>
    <n v="0"/>
    <n v="0"/>
    <m/>
    <m/>
    <m/>
    <s v="Sem valor liberado para emissão"/>
    <s v="62955505312487"/>
    <m/>
    <x v="0"/>
    <n v="0"/>
    <n v="0"/>
    <m/>
    <m/>
    <m/>
    <m/>
    <m/>
    <m/>
    <m/>
    <m/>
    <m/>
    <m/>
    <m/>
  </r>
  <r>
    <s v="TRIFÁSICO"/>
    <s v="10/8777-5"/>
    <s v="67 992319530"/>
    <n v="62955505122432"/>
    <s v="energisa_ms"/>
    <s v="Igreja do Evangelho Quadrangular"/>
    <x v="6"/>
    <s v="10/142353-245748"/>
    <s v="SIM"/>
    <n v="0"/>
    <m/>
    <m/>
    <s v="Aprovado"/>
    <n v="0"/>
    <n v="0"/>
    <m/>
    <m/>
    <m/>
    <s v="Sem valor liberado para emissão"/>
    <s v="62955505122432"/>
    <m/>
    <x v="0"/>
    <n v="0"/>
    <n v="0"/>
    <m/>
    <m/>
    <m/>
    <m/>
    <m/>
    <m/>
    <m/>
    <m/>
    <m/>
    <m/>
    <m/>
  </r>
  <r>
    <s v="TRIFÁSICO"/>
    <s v="10/489076-0"/>
    <n v="67996266684"/>
    <n v="62955505016080"/>
    <s v="energisa_ms"/>
    <s v="Igreja do Evangelho Quadrangular"/>
    <x v="6"/>
    <s v="10/3556072-145931"/>
    <s v="SIM"/>
    <n v="0"/>
    <m/>
    <m/>
    <s v="Aprovado"/>
    <n v="0"/>
    <n v="0"/>
    <m/>
    <m/>
    <m/>
    <s v="Sem valor liberado para emissão"/>
    <s v="62955505016080"/>
    <m/>
    <x v="0"/>
    <n v="0"/>
    <n v="0"/>
    <m/>
    <m/>
    <m/>
    <m/>
    <m/>
    <m/>
    <m/>
    <m/>
    <m/>
    <m/>
    <m/>
  </r>
  <r>
    <s v="TRIFÁSICO"/>
    <s v="10/504844-2"/>
    <n v="67992637973"/>
    <n v="62955505354481"/>
    <s v="energisa_ms"/>
    <s v="Igreja do Evangelho Quadrangular"/>
    <x v="6"/>
    <s v="10/3123706-845931"/>
    <s v="SIM"/>
    <n v="0"/>
    <m/>
    <m/>
    <s v="Aprovado"/>
    <n v="0"/>
    <n v="0"/>
    <m/>
    <m/>
    <m/>
    <s v="Sem valor liberado para emissão"/>
    <s v="62955505354481"/>
    <m/>
    <x v="0"/>
    <n v="0"/>
    <n v="0"/>
    <m/>
    <m/>
    <m/>
    <m/>
    <m/>
    <m/>
    <m/>
    <m/>
    <m/>
    <m/>
    <m/>
  </r>
  <r>
    <s v="TRIFÁSICO"/>
    <s v="10/280638-8"/>
    <s v="67 81355403"/>
    <n v="62955505843253"/>
    <s v="energisa_ms"/>
    <s v="Igreja do Evangelho Quadrangular"/>
    <x v="6"/>
    <s v="10/1017804-445901"/>
    <s v="SIM"/>
    <n v="0"/>
    <m/>
    <m/>
    <s v="Aprovado"/>
    <n v="0"/>
    <n v="0"/>
    <m/>
    <m/>
    <m/>
    <s v="Sem valor liberado para emissão"/>
    <s v="62955505843253"/>
    <m/>
    <x v="0"/>
    <n v="0"/>
    <n v="0"/>
    <m/>
    <m/>
    <m/>
    <m/>
    <m/>
    <m/>
    <m/>
    <m/>
    <m/>
    <m/>
    <m/>
  </r>
  <r>
    <s v="TRIFÁSICO"/>
    <s v="10/69319-2"/>
    <n v="67998363594"/>
    <n v="62955505182257"/>
    <s v="energisa_ms"/>
    <s v="Igreja do Evangelho Quadrangular"/>
    <x v="6"/>
    <s v="10/109074-545901"/>
    <s v="SIM"/>
    <n v="0"/>
    <m/>
    <m/>
    <s v="Aprovado"/>
    <n v="0"/>
    <n v="0"/>
    <m/>
    <m/>
    <m/>
    <s v="Sem valor liberado para emissão"/>
    <s v="62955505182257"/>
    <m/>
    <x v="0"/>
    <n v="0"/>
    <n v="0"/>
    <m/>
    <m/>
    <m/>
    <m/>
    <m/>
    <m/>
    <m/>
    <m/>
    <m/>
    <m/>
    <m/>
  </r>
  <r>
    <s v="TRIFÁSICO"/>
    <s v="10/480529-7"/>
    <n v="6796411024"/>
    <n v="62955505182257"/>
    <s v="energisa_ms"/>
    <s v="Igreja do Evangelho Quadrangular"/>
    <x v="6"/>
    <s v="10/280638-845931"/>
    <s v="SIM"/>
    <n v="0"/>
    <m/>
    <m/>
    <s v="Aprovado"/>
    <n v="0"/>
    <n v="0"/>
    <m/>
    <m/>
    <m/>
    <s v="Sem valor liberado para emissão"/>
    <s v="62955505182257"/>
    <m/>
    <x v="0"/>
    <n v="0"/>
    <n v="0"/>
    <m/>
    <m/>
    <m/>
    <m/>
    <m/>
    <m/>
    <m/>
    <m/>
    <m/>
    <m/>
    <m/>
  </r>
  <r>
    <s v="TRIFÁSICO"/>
    <s v="10/3139326-7"/>
    <n v="67999361728"/>
    <n v="62955505182257"/>
    <s v="energisa_ms"/>
    <s v="Igreja do Evangelho Quadrangular"/>
    <x v="6"/>
    <s v="10/1035655-845901"/>
    <s v="SIM"/>
    <n v="0"/>
    <m/>
    <m/>
    <s v="Aprovado"/>
    <n v="0"/>
    <n v="0"/>
    <m/>
    <m/>
    <m/>
    <s v="Sem valor liberado para emissão"/>
    <s v="62955505182257"/>
    <m/>
    <x v="0"/>
    <n v="0"/>
    <n v="0"/>
    <m/>
    <m/>
    <m/>
    <m/>
    <m/>
    <m/>
    <m/>
    <m/>
    <m/>
    <m/>
    <m/>
  </r>
  <r>
    <s v="TRIFÁSICO"/>
    <s v="10/399338-3"/>
    <n v="67991060202"/>
    <n v="62955505213233"/>
    <s v="energisa_ms"/>
    <s v="Igreja do Evangelho Quadrangular"/>
    <x v="6"/>
    <s v="10/931327-145778"/>
    <s v="SIM"/>
    <n v="0"/>
    <m/>
    <m/>
    <s v="Aprovado"/>
    <n v="0"/>
    <n v="0"/>
    <m/>
    <m/>
    <m/>
    <s v="Sem valor liberado para emissão"/>
    <s v="62955505213233"/>
    <m/>
    <x v="0"/>
    <n v="0"/>
    <n v="0"/>
    <m/>
    <m/>
    <m/>
    <m/>
    <m/>
    <m/>
    <m/>
    <m/>
    <m/>
    <m/>
    <m/>
  </r>
  <r>
    <s v="BIFÁSICO"/>
    <s v="10/61344-8"/>
    <n v="67999998719"/>
    <n v="62955505015431"/>
    <s v="energisa_ms"/>
    <s v="Igreja do Evangelho Quadrangular"/>
    <x v="6"/>
    <s v="10/29964-445809"/>
    <s v="SIM"/>
    <n v="0"/>
    <m/>
    <m/>
    <s v="Aprovado"/>
    <n v="0"/>
    <n v="0"/>
    <m/>
    <m/>
    <m/>
    <s v="Sem valor liberado para emissão"/>
    <s v="62955505015431"/>
    <m/>
    <x v="0"/>
    <n v="0"/>
    <n v="0"/>
    <m/>
    <m/>
    <m/>
    <m/>
    <m/>
    <m/>
    <m/>
    <m/>
    <m/>
    <m/>
    <m/>
  </r>
  <r>
    <s v="TRIFÁSICO"/>
    <s v="10/252817-2"/>
    <n v="67992637973"/>
    <n v="62955505274020"/>
    <s v="energisa_ms"/>
    <s v="Igreja do Evangelho Quadrangular"/>
    <x v="6"/>
    <s v="10/15297-545748"/>
    <s v="SIM"/>
    <n v="0"/>
    <m/>
    <m/>
    <s v="Aprovado"/>
    <n v="0"/>
    <n v="0"/>
    <m/>
    <m/>
    <m/>
    <s v="Sem valor liberado para emissão"/>
    <s v="62955505274020"/>
    <m/>
    <x v="0"/>
    <n v="0"/>
    <n v="0"/>
    <m/>
    <m/>
    <m/>
    <m/>
    <m/>
    <m/>
    <m/>
    <m/>
    <m/>
    <m/>
    <m/>
  </r>
  <r>
    <s v="TRIFÁSICO"/>
    <s v="10/81222-2"/>
    <s v="67 992491551"/>
    <n v="62955505015946"/>
    <s v="energisa_ms"/>
    <s v="Igreja do Evangelho Quadrangular"/>
    <x v="6"/>
    <s v="10/3030784-745778"/>
    <s v="SIM"/>
    <n v="0"/>
    <m/>
    <m/>
    <s v="Aprovado"/>
    <n v="0"/>
    <n v="0"/>
    <m/>
    <m/>
    <m/>
    <s v="Sem valor liberado para emissão"/>
    <s v="62955505015946"/>
    <m/>
    <x v="0"/>
    <n v="0"/>
    <n v="0"/>
    <m/>
    <m/>
    <m/>
    <m/>
    <m/>
    <m/>
    <m/>
    <m/>
    <m/>
    <m/>
    <m/>
  </r>
  <r>
    <s v="TRIFÁSICO"/>
    <s v="10/1674177-9"/>
    <s v="67 993047635"/>
    <n v="62955505016160"/>
    <s v="energisa_ms"/>
    <s v="Igreja do Evangelho Quadrangular"/>
    <x v="6"/>
    <s v="10/3139326-745839"/>
    <s v="SIM"/>
    <n v="0"/>
    <m/>
    <m/>
    <s v="Aprovado"/>
    <n v="0"/>
    <n v="0"/>
    <m/>
    <m/>
    <m/>
    <s v="Sem valor liberado para emissão"/>
    <s v="62955505016160"/>
    <m/>
    <x v="0"/>
    <n v="0"/>
    <n v="0"/>
    <m/>
    <m/>
    <m/>
    <m/>
    <m/>
    <m/>
    <m/>
    <m/>
    <m/>
    <m/>
    <m/>
  </r>
  <r>
    <s v="TRIFÁSICO"/>
    <s v="10/72605-9"/>
    <n v="67996071169"/>
    <n v="62955505136492"/>
    <s v="energisa_ms"/>
    <s v="Igreja do Evangelho Quadrangular"/>
    <x v="6"/>
    <s v="10/156956-545658"/>
    <s v="SIM"/>
    <n v="0"/>
    <m/>
    <m/>
    <s v="Aprovado"/>
    <n v="0"/>
    <n v="0"/>
    <m/>
    <m/>
    <m/>
    <s v="Sem valor liberado para emissão"/>
    <s v="62955505136492"/>
    <m/>
    <x v="0"/>
    <n v="0"/>
    <n v="0"/>
    <m/>
    <m/>
    <m/>
    <m/>
    <m/>
    <m/>
    <m/>
    <m/>
    <m/>
    <m/>
    <m/>
  </r>
  <r>
    <s v="BIFÁSICO"/>
    <s v="10/40190-1"/>
    <n v="67996859014"/>
    <n v="62955505177504"/>
    <s v="energisa_ms"/>
    <s v="Igreja do Evangelho Quadrangular"/>
    <x v="6"/>
    <s v="10/489076-045870"/>
    <s v="SIM"/>
    <n v="0"/>
    <m/>
    <m/>
    <s v="Aprovado"/>
    <n v="0"/>
    <n v="0"/>
    <m/>
    <m/>
    <m/>
    <s v="Sem valor liberado para emissão"/>
    <s v="62955505177504"/>
    <m/>
    <x v="0"/>
    <n v="0"/>
    <n v="0"/>
    <m/>
    <m/>
    <m/>
    <m/>
    <m/>
    <m/>
    <m/>
    <m/>
    <m/>
    <m/>
    <m/>
  </r>
  <r>
    <s v="TRIFÁSICO"/>
    <s v="10/1266128-6"/>
    <n v="67991306665"/>
    <n v="62955505379395"/>
    <s v="energisa_ms"/>
    <s v="Igreja do Evangelho Quadrangular"/>
    <x v="6"/>
    <s v="10/260761-245870"/>
    <s v="SIM"/>
    <n v="0"/>
    <m/>
    <m/>
    <s v="Aprovado"/>
    <n v="0"/>
    <n v="0"/>
    <m/>
    <m/>
    <m/>
    <s v="Sem valor liberado para emissão"/>
    <s v="62955505379395"/>
    <m/>
    <x v="0"/>
    <n v="0"/>
    <n v="0"/>
    <m/>
    <m/>
    <m/>
    <m/>
    <m/>
    <m/>
    <m/>
    <m/>
    <m/>
    <m/>
    <m/>
  </r>
  <r>
    <s v="TRIFÁSICO"/>
    <s v="10/127464-6"/>
    <n v="67996150274"/>
    <n v="62955505331198"/>
    <s v="energisa_ms"/>
    <s v="Igreja do Evangelho Quadrangular"/>
    <x v="6"/>
    <s v="10/257864-945901"/>
    <s v="SIM"/>
    <n v="0"/>
    <m/>
    <m/>
    <s v="Aprovado"/>
    <n v="0"/>
    <n v="0"/>
    <m/>
    <m/>
    <m/>
    <s v="Sem valor liberado para emissão"/>
    <s v="62955505331198"/>
    <m/>
    <x v="0"/>
    <n v="0"/>
    <n v="0"/>
    <m/>
    <m/>
    <m/>
    <m/>
    <m/>
    <m/>
    <m/>
    <m/>
    <m/>
    <m/>
    <m/>
  </r>
  <r>
    <s v="TRIFÁSICO"/>
    <s v="10/24514-2"/>
    <n v="67996266684"/>
    <n v="62955505157066"/>
    <s v="energisa_ms"/>
    <s v="Igreja do Evangelho Quadrangular"/>
    <x v="6"/>
    <s v="10/3040565-845901"/>
    <s v="SIM"/>
    <n v="0"/>
    <m/>
    <m/>
    <s v="Aprovado"/>
    <n v="0"/>
    <n v="0"/>
    <m/>
    <m/>
    <m/>
    <s v="Sem valor liberado para emissão"/>
    <s v="62955505157066"/>
    <m/>
    <x v="0"/>
    <n v="0"/>
    <n v="0"/>
    <m/>
    <m/>
    <m/>
    <m/>
    <m/>
    <m/>
    <m/>
    <m/>
    <m/>
    <m/>
    <m/>
  </r>
  <r>
    <s v="BIFÁSICO"/>
    <s v="10/13786-9"/>
    <n v="67996266684"/>
    <n v="62955505197521"/>
    <s v="energisa_ms"/>
    <s v="Igreja do Evangelho Quadrangular"/>
    <x v="6"/>
    <s v="10/15297-545870"/>
    <s v="SIM"/>
    <n v="0"/>
    <m/>
    <m/>
    <s v="Aprovado"/>
    <n v="0"/>
    <n v="0"/>
    <m/>
    <m/>
    <m/>
    <s v="Sem valor liberado para emissão"/>
    <s v="62955505197521"/>
    <m/>
    <x v="0"/>
    <n v="0"/>
    <n v="0"/>
    <m/>
    <m/>
    <m/>
    <m/>
    <m/>
    <m/>
    <m/>
    <m/>
    <m/>
    <m/>
    <m/>
  </r>
  <r>
    <s v="TRIFÁSICO"/>
    <s v="10/63920-3"/>
    <n v="67981263396"/>
    <n v="62955505135500"/>
    <s v="energisa_ms"/>
    <s v="Igreja do Evangelho Quadrangular"/>
    <x v="6"/>
    <s v="10/532723-445748"/>
    <s v="SIM"/>
    <n v="0"/>
    <m/>
    <m/>
    <s v="Aprovado"/>
    <n v="0"/>
    <n v="0"/>
    <m/>
    <m/>
    <m/>
    <s v="Sem valor liberado para emissão"/>
    <s v="62955505135500"/>
    <m/>
    <x v="0"/>
    <n v="0"/>
    <n v="0"/>
    <m/>
    <m/>
    <m/>
    <m/>
    <m/>
    <m/>
    <m/>
    <m/>
    <m/>
    <m/>
    <m/>
  </r>
  <r>
    <s v="TRIFÁSICO"/>
    <s v="10/3123706-8"/>
    <n v="67999516782"/>
    <n v="62955505375721"/>
    <s v="energisa_ms"/>
    <s v="Igreja do Evangelho Quadrangular"/>
    <x v="6"/>
    <s v="10/3040565-845931"/>
    <s v="SIM"/>
    <n v="0"/>
    <m/>
    <m/>
    <s v="Aprovado"/>
    <n v="0"/>
    <n v="0"/>
    <m/>
    <m/>
    <m/>
    <s v="Sem valor liberado para emissão"/>
    <s v="62955505375721"/>
    <m/>
    <x v="0"/>
    <n v="0"/>
    <n v="0"/>
    <m/>
    <m/>
    <m/>
    <m/>
    <m/>
    <m/>
    <m/>
    <m/>
    <m/>
    <m/>
    <m/>
  </r>
  <r>
    <s v="BIFÁSICO"/>
    <s v="10/129490-9"/>
    <s v=","/>
    <n v="62955505405140"/>
    <s v="energisa_ms"/>
    <s v="Igreja do Evangelho Quadrangular"/>
    <x v="6"/>
    <s v="10/142353-245778"/>
    <s v="SIM"/>
    <n v="0"/>
    <m/>
    <m/>
    <s v="Aprovado"/>
    <n v="0"/>
    <n v="0"/>
    <m/>
    <m/>
    <m/>
    <s v="Sem valor liberado para emissão"/>
    <s v="62955505405140"/>
    <m/>
    <x v="0"/>
    <n v="0"/>
    <n v="0"/>
    <m/>
    <m/>
    <m/>
    <m/>
    <m/>
    <m/>
    <m/>
    <m/>
    <m/>
    <m/>
    <m/>
  </r>
  <r>
    <e v="#N/A"/>
    <s v="10/2338577-6"/>
    <e v="#N/A"/>
    <n v="62955505017213"/>
    <s v="energisa_ms"/>
    <s v="Igreja do Evangelho Quadrangular"/>
    <x v="6"/>
    <s v="10/3123706-845839"/>
    <s v="SIM"/>
    <n v="0"/>
    <m/>
    <m/>
    <s v="Aprovado"/>
    <n v="0"/>
    <n v="0"/>
    <m/>
    <m/>
    <m/>
    <s v="Sem valor liberado para emissão"/>
    <s v="62955505017213"/>
    <m/>
    <x v="0"/>
    <n v="0"/>
    <n v="0"/>
    <m/>
    <m/>
    <m/>
    <m/>
    <m/>
    <m/>
    <m/>
    <m/>
    <m/>
    <m/>
    <m/>
  </r>
  <r>
    <s v="BIFÁSICO"/>
    <s v="10/41548-9"/>
    <n v="67996687077"/>
    <n v="62955505269026"/>
    <s v="energisa_ms"/>
    <s v="Igreja do Evangelho Quadrangular"/>
    <x v="6"/>
    <s v="10/127464-645809"/>
    <s v="SIM"/>
    <n v="0"/>
    <m/>
    <m/>
    <s v="Aprovado"/>
    <n v="0"/>
    <n v="0"/>
    <m/>
    <m/>
    <m/>
    <s v="Sem valor liberado para emissão"/>
    <s v="62955505269026"/>
    <m/>
    <x v="0"/>
    <n v="0"/>
    <n v="0"/>
    <m/>
    <m/>
    <m/>
    <m/>
    <m/>
    <m/>
    <m/>
    <m/>
    <m/>
    <m/>
    <m/>
  </r>
  <r>
    <s v="TRIFÁSICO"/>
    <s v="10/52987-5"/>
    <n v="67996983476"/>
    <n v="62955505182257"/>
    <s v="energisa_ms"/>
    <s v="Igreja do Evangelho Quadrangular"/>
    <x v="6"/>
    <s v="10/142353-245931"/>
    <s v="SIM"/>
    <n v="0"/>
    <m/>
    <m/>
    <s v="Aprovado"/>
    <n v="0"/>
    <n v="0"/>
    <m/>
    <m/>
    <m/>
    <s v="Sem valor liberado para emissão"/>
    <s v="62955505182257"/>
    <m/>
    <x v="0"/>
    <n v="0"/>
    <n v="0"/>
    <m/>
    <m/>
    <m/>
    <m/>
    <m/>
    <m/>
    <m/>
    <m/>
    <m/>
    <m/>
    <m/>
  </r>
  <r>
    <s v="BIFÁSICO"/>
    <s v="10/341308-5"/>
    <n v="67993249456"/>
    <n v="62955505239119"/>
    <s v="energisa_ms"/>
    <s v="Igreja do Evangelho Quadrangular"/>
    <x v="6"/>
    <s v="10/3005226-045689"/>
    <s v="SIM"/>
    <n v="0"/>
    <m/>
    <m/>
    <s v="Não emitido"/>
    <n v="0"/>
    <n v="0"/>
    <m/>
    <m/>
    <m/>
    <s v="Sem valor liberado para emissão"/>
    <s v="62955505239119"/>
    <m/>
    <x v="0"/>
    <n v="0"/>
    <n v="0"/>
    <m/>
    <m/>
    <m/>
    <m/>
    <m/>
    <m/>
    <m/>
    <m/>
    <m/>
    <m/>
    <m/>
  </r>
  <r>
    <s v="TRIFÁSICO"/>
    <s v="10/512142-1"/>
    <s v="67 81355403"/>
    <n v="62955505189340"/>
    <s v="energisa_ms"/>
    <s v="Igreja do Evangelho Quadrangular"/>
    <x v="6"/>
    <s v="10/81222-245748"/>
    <s v="SIM"/>
    <n v="0"/>
    <m/>
    <m/>
    <s v="Aprovado"/>
    <n v="0"/>
    <n v="0"/>
    <m/>
    <m/>
    <m/>
    <s v="Sem valor liberado para emissão"/>
    <s v="62955505189340"/>
    <m/>
    <x v="0"/>
    <n v="0"/>
    <n v="0"/>
    <m/>
    <m/>
    <m/>
    <m/>
    <m/>
    <m/>
    <m/>
    <m/>
    <m/>
    <m/>
    <m/>
  </r>
  <r>
    <s v="BIFÁSICO"/>
    <s v="10/239312-2"/>
    <n v="67996711972"/>
    <n v="62955505016594"/>
    <s v="energisa_ms"/>
    <s v="Igreja do Evangelho Quadrangular"/>
    <x v="6"/>
    <s v="10/3030784-745901"/>
    <s v="SIM"/>
    <n v="0"/>
    <m/>
    <m/>
    <s v="Aprovado"/>
    <n v="0"/>
    <n v="0"/>
    <m/>
    <m/>
    <m/>
    <s v="Sem valor liberado para emissão"/>
    <s v="62955505016594"/>
    <m/>
    <x v="0"/>
    <n v="0"/>
    <n v="0"/>
    <m/>
    <m/>
    <m/>
    <m/>
    <m/>
    <m/>
    <m/>
    <m/>
    <m/>
    <m/>
    <m/>
  </r>
  <r>
    <s v="BIFÁSICO"/>
    <s v="10/109074-5"/>
    <s v="67 91751433"/>
    <n v="62955505000167"/>
    <s v="energisa_ms"/>
    <s v="Igreja do Evangelho Quadrangular"/>
    <x v="6"/>
    <s v="10/1939035-045931"/>
    <s v="SIM"/>
    <n v="0"/>
    <m/>
    <m/>
    <s v="Aprovado"/>
    <n v="0"/>
    <n v="0"/>
    <m/>
    <m/>
    <m/>
    <s v="Sem valor liberado para emissão"/>
    <s v="62955505000167"/>
    <m/>
    <x v="0"/>
    <n v="0"/>
    <n v="0"/>
    <m/>
    <m/>
    <m/>
    <m/>
    <m/>
    <m/>
    <m/>
    <m/>
    <m/>
    <m/>
    <m/>
  </r>
  <r>
    <s v="BIFÁSICO"/>
    <s v="10/1130988-7"/>
    <n v="67992637973"/>
    <n v="62955505040894"/>
    <s v="energisa_ms"/>
    <s v="Igreja do Evangelho Quadrangular"/>
    <x v="6"/>
    <s v="10/511753-645931"/>
    <s v="SIM"/>
    <n v="0"/>
    <m/>
    <m/>
    <s v="Aprovado"/>
    <n v="0"/>
    <n v="0"/>
    <m/>
    <m/>
    <m/>
    <s v="Sem valor liberado para emissão"/>
    <s v="62955505040894"/>
    <m/>
    <x v="0"/>
    <n v="0"/>
    <n v="0"/>
    <m/>
    <m/>
    <m/>
    <m/>
    <m/>
    <m/>
    <m/>
    <m/>
    <m/>
    <m/>
    <m/>
  </r>
  <r>
    <s v="TRIFÁSICO"/>
    <s v="10/78338-1"/>
    <s v="67 984742936"/>
    <n v="62955505016837"/>
    <s v="energisa_ms"/>
    <s v="Igreja do Evangelho Quadrangular"/>
    <x v="6"/>
    <s v="10/276283-945931"/>
    <s v="SIM"/>
    <n v="0"/>
    <m/>
    <m/>
    <s v="Aprovado"/>
    <n v="0"/>
    <n v="0"/>
    <m/>
    <m/>
    <m/>
    <s v="Sem valor liberado para emissão"/>
    <s v="62955505016837"/>
    <m/>
    <x v="0"/>
    <n v="0"/>
    <n v="0"/>
    <m/>
    <m/>
    <m/>
    <m/>
    <m/>
    <m/>
    <m/>
    <m/>
    <m/>
    <m/>
    <m/>
  </r>
  <r>
    <s v="BIFÁSICO"/>
    <s v="10/3040565-8"/>
    <n v="67996135721"/>
    <n v="62955505015431"/>
    <s v="energisa_ms"/>
    <s v="Igreja do Evangelho Quadrangular"/>
    <x v="6"/>
    <s v="10/513413-545689"/>
    <s v="SIM"/>
    <n v="0"/>
    <m/>
    <m/>
    <s v="Aprovado"/>
    <n v="0"/>
    <n v="0"/>
    <m/>
    <m/>
    <m/>
    <s v="Sem valor liberado para emissão"/>
    <s v="62955505015431"/>
    <m/>
    <x v="0"/>
    <n v="0"/>
    <n v="0"/>
    <m/>
    <m/>
    <m/>
    <m/>
    <m/>
    <m/>
    <m/>
    <m/>
    <m/>
    <m/>
    <m/>
  </r>
  <r>
    <s v="TRIFÁSICO"/>
    <s v="10/395471-6"/>
    <n v="67992876000"/>
    <n v="62955505248886"/>
    <s v="energisa_ms"/>
    <s v="Igreja do Evangelho Quadrangular"/>
    <x v="6"/>
    <s v="10/1698130-045689"/>
    <s v="SIM"/>
    <n v="0"/>
    <m/>
    <m/>
    <s v="Aprovado"/>
    <n v="0"/>
    <n v="0"/>
    <m/>
    <m/>
    <m/>
    <s v="Sem valor liberado para emissão"/>
    <s v="62955505248886"/>
    <m/>
    <x v="0"/>
    <n v="0"/>
    <n v="0"/>
    <m/>
    <m/>
    <m/>
    <m/>
    <m/>
    <m/>
    <m/>
    <m/>
    <m/>
    <m/>
    <m/>
  </r>
  <r>
    <s v="BIFÁSICO"/>
    <s v="10/3125732-2"/>
    <n v="65999839279"/>
    <n v="62955505015512"/>
    <s v="energisa_ms"/>
    <s v="Igreja do Evangelho Quadrangular"/>
    <x v="6"/>
    <s v="10/1184751-445717"/>
    <s v="SIM"/>
    <n v="0"/>
    <m/>
    <m/>
    <s v="Aprovado"/>
    <n v="0"/>
    <n v="0"/>
    <m/>
    <m/>
    <m/>
    <s v="Sem valor liberado para emissão"/>
    <s v="62955505015512"/>
    <m/>
    <x v="0"/>
    <n v="0"/>
    <n v="0"/>
    <m/>
    <m/>
    <m/>
    <m/>
    <m/>
    <m/>
    <m/>
    <m/>
    <m/>
    <m/>
    <m/>
  </r>
  <r>
    <e v="#N/A"/>
    <s v="10/2344751-9"/>
    <e v="#N/A"/>
    <n v="62955505135500"/>
    <s v="energisa_ms"/>
    <s v="Igreja do Evangelho Quadrangular"/>
    <x v="6"/>
    <s v="10/511753-645717"/>
    <s v="SIM"/>
    <n v="0"/>
    <m/>
    <m/>
    <s v="Aprovado"/>
    <n v="0"/>
    <n v="0"/>
    <m/>
    <m/>
    <m/>
    <s v="Sem valor liberado para emissão"/>
    <s v="62955505135500"/>
    <m/>
    <x v="0"/>
    <n v="0"/>
    <n v="0"/>
    <m/>
    <m/>
    <m/>
    <m/>
    <m/>
    <m/>
    <m/>
    <m/>
    <m/>
    <m/>
    <m/>
  </r>
  <r>
    <n v="0"/>
    <s v="10/104720-8"/>
    <n v="67991767866"/>
    <n v="62955505091456"/>
    <s v="energisa_ms"/>
    <s v="Igreja do Evangelho Quadrangular"/>
    <x v="4"/>
    <s v="10/931327-145809"/>
    <s v="SIM"/>
    <n v="0"/>
    <m/>
    <m/>
    <s v="Aprovado"/>
    <n v="0"/>
    <n v="0"/>
    <m/>
    <m/>
    <m/>
    <s v="Sem valor liberado para emissão"/>
    <s v="62955505091456"/>
    <m/>
    <x v="0"/>
    <n v="0"/>
    <n v="0"/>
    <m/>
    <m/>
    <m/>
    <m/>
    <m/>
    <m/>
    <m/>
    <m/>
    <m/>
    <m/>
    <m/>
  </r>
  <r>
    <e v="#N/A"/>
    <s v="10/10731-8"/>
    <e v="#N/A"/>
    <n v="62955505393207"/>
    <s v="energisa_ms"/>
    <s v="Igreja do Evangelho Quadrangular"/>
    <x v="4"/>
    <s v="10/81222-245658"/>
    <s v="SIM"/>
    <n v="0"/>
    <m/>
    <m/>
    <s v="Aprovado"/>
    <n v="0"/>
    <n v="0"/>
    <m/>
    <m/>
    <m/>
    <s v="Sem valor liberado para emissão"/>
    <s v="62955505393207"/>
    <m/>
    <x v="0"/>
    <n v="0"/>
    <n v="0"/>
    <m/>
    <m/>
    <m/>
    <m/>
    <m/>
    <m/>
    <m/>
    <m/>
    <m/>
    <m/>
    <m/>
  </r>
  <r>
    <s v="TRIFÁSICO"/>
    <s v="10/76927-3"/>
    <s v="67 999373813"/>
    <n v="62955505058599"/>
    <s v="energisa_ms"/>
    <s v="Igreja do Evangelho Quadrangular"/>
    <x v="4"/>
    <s v="10/341308-545778"/>
    <s v="SIM"/>
    <n v="0"/>
    <m/>
    <m/>
    <s v="Aprovado"/>
    <n v="0"/>
    <n v="0"/>
    <m/>
    <m/>
    <m/>
    <s v="Sem valor liberado para emissão"/>
    <s v="62955505058599"/>
    <m/>
    <x v="0"/>
    <n v="0"/>
    <n v="0"/>
    <m/>
    <m/>
    <m/>
    <m/>
    <m/>
    <m/>
    <m/>
    <m/>
    <m/>
    <m/>
    <m/>
  </r>
  <r>
    <s v="BIFÁSICO"/>
    <s v="10/142353-2"/>
    <n v="67992899434"/>
    <n v="62955505113875"/>
    <s v="energisa_ms"/>
    <s v="Igreja do Evangelho Quadrangular"/>
    <x v="4"/>
    <s v="10/1266128-645658"/>
    <s v="SIM"/>
    <n v="0"/>
    <m/>
    <m/>
    <s v="Aprovado"/>
    <n v="0"/>
    <n v="0"/>
    <m/>
    <m/>
    <m/>
    <s v="Sem valor liberado para emissão"/>
    <s v="62955505113875"/>
    <m/>
    <x v="0"/>
    <n v="0"/>
    <n v="0"/>
    <m/>
    <m/>
    <m/>
    <m/>
    <m/>
    <m/>
    <m/>
    <m/>
    <m/>
    <m/>
    <m/>
  </r>
  <r>
    <s v="BIFÁSICO"/>
    <s v="10/1081489-5"/>
    <n v="67996446178"/>
    <n v="62955505016918"/>
    <s v="energisa_ms"/>
    <s v="Igreja do Evangelho Quadrangular"/>
    <x v="4"/>
    <s v="10/510330-445748"/>
    <s v="SIM"/>
    <n v="0"/>
    <m/>
    <m/>
    <s v="Aprovado"/>
    <n v="0"/>
    <n v="0"/>
    <m/>
    <m/>
    <m/>
    <s v="Sem valor liberado para emissão"/>
    <s v="62955505016918"/>
    <m/>
    <x v="0"/>
    <n v="0"/>
    <n v="0"/>
    <m/>
    <m/>
    <m/>
    <m/>
    <m/>
    <m/>
    <m/>
    <m/>
    <m/>
    <m/>
    <m/>
  </r>
  <r>
    <s v="TRIFÁSICO"/>
    <s v="10/15297-5"/>
    <n v="67996266684"/>
    <n v="62955505312487"/>
    <s v="energisa_ms"/>
    <s v="Igreja do Evangelho Quadrangular"/>
    <x v="4"/>
    <s v="10/280638-845717"/>
    <s v="SIM"/>
    <n v="0"/>
    <m/>
    <m/>
    <s v="Aprovado"/>
    <n v="0"/>
    <n v="0"/>
    <m/>
    <m/>
    <m/>
    <s v="Sem valor liberado para emissão"/>
    <s v="62955505312487"/>
    <m/>
    <x v="0"/>
    <n v="0"/>
    <n v="0"/>
    <m/>
    <m/>
    <m/>
    <m/>
    <m/>
    <m/>
    <m/>
    <m/>
    <m/>
    <m/>
    <m/>
  </r>
  <r>
    <s v="TRIFÁSICO"/>
    <s v="10/8777-5"/>
    <s v="67 992319530"/>
    <n v="62955505122432"/>
    <s v="energisa_ms"/>
    <s v="Igreja do Evangelho Quadrangular"/>
    <x v="4"/>
    <s v="10/3040565-845717"/>
    <s v="SIM"/>
    <n v="0"/>
    <m/>
    <m/>
    <s v="Aprovado"/>
    <n v="0"/>
    <n v="0"/>
    <m/>
    <m/>
    <m/>
    <s v="Sem valor liberado para emissão"/>
    <s v="62955505122432"/>
    <m/>
    <x v="0"/>
    <n v="0"/>
    <n v="0"/>
    <m/>
    <m/>
    <m/>
    <m/>
    <m/>
    <m/>
    <m/>
    <m/>
    <m/>
    <m/>
    <m/>
  </r>
  <r>
    <s v="TRIFÁSICO"/>
    <s v="10/489076-0"/>
    <n v="67996266684"/>
    <n v="62955505016080"/>
    <s v="energisa_ms"/>
    <s v="Igreja do Evangelho Quadrangular"/>
    <x v="4"/>
    <s v="10/1130988-745931"/>
    <s v="SIM"/>
    <n v="0"/>
    <m/>
    <m/>
    <s v="Aprovado"/>
    <n v="0"/>
    <n v="0"/>
    <m/>
    <m/>
    <m/>
    <s v="Sem valor liberado para emissão"/>
    <s v="62955505016080"/>
    <m/>
    <x v="0"/>
    <n v="0"/>
    <n v="0"/>
    <m/>
    <m/>
    <m/>
    <m/>
    <m/>
    <m/>
    <m/>
    <m/>
    <m/>
    <m/>
    <m/>
  </r>
  <r>
    <s v="TRIFÁSICO"/>
    <s v="10/504844-2"/>
    <n v="67992637973"/>
    <n v="62955505354481"/>
    <s v="energisa_ms"/>
    <s v="Igreja do Evangelho Quadrangular"/>
    <x v="4"/>
    <s v="10/1035655-845748"/>
    <s v="SIM"/>
    <n v="0"/>
    <m/>
    <m/>
    <s v="Aprovado"/>
    <n v="0"/>
    <n v="0"/>
    <m/>
    <m/>
    <m/>
    <s v="Sem valor liberado para emissão"/>
    <s v="62955505354481"/>
    <m/>
    <x v="0"/>
    <n v="0"/>
    <n v="0"/>
    <m/>
    <m/>
    <m/>
    <m/>
    <m/>
    <m/>
    <m/>
    <m/>
    <m/>
    <m/>
    <m/>
  </r>
  <r>
    <s v="TRIFÁSICO"/>
    <s v="10/69319-2"/>
    <n v="67998363594"/>
    <n v="62955505182257"/>
    <s v="energisa_ms"/>
    <s v="Igreja do Evangelho Quadrangular"/>
    <x v="4"/>
    <s v="10/489076-045901"/>
    <s v="SIM"/>
    <n v="0"/>
    <m/>
    <m/>
    <s v="Aprovado"/>
    <n v="0"/>
    <n v="0"/>
    <m/>
    <m/>
    <m/>
    <s v="Sem valor liberado para emissão"/>
    <s v="62955505182257"/>
    <m/>
    <x v="0"/>
    <n v="0"/>
    <n v="0"/>
    <m/>
    <m/>
    <m/>
    <m/>
    <m/>
    <m/>
    <m/>
    <m/>
    <m/>
    <m/>
    <m/>
  </r>
  <r>
    <s v="TRIFÁSICO"/>
    <s v="10/480529-7"/>
    <n v="6796411024"/>
    <n v="62955505182257"/>
    <s v="energisa_ms"/>
    <s v="Igreja do Evangelho Quadrangular"/>
    <x v="4"/>
    <s v="10/532723-445870"/>
    <s v="SIM"/>
    <n v="0"/>
    <m/>
    <m/>
    <s v="Aprovado"/>
    <n v="0"/>
    <n v="0"/>
    <m/>
    <m/>
    <m/>
    <s v="Sem valor liberado para emissão"/>
    <s v="62955505182257"/>
    <m/>
    <x v="0"/>
    <n v="0"/>
    <n v="0"/>
    <m/>
    <m/>
    <m/>
    <m/>
    <m/>
    <m/>
    <m/>
    <m/>
    <m/>
    <m/>
    <m/>
  </r>
  <r>
    <s v="TRIFÁSICO"/>
    <s v="10/3139326-7"/>
    <n v="67999361728"/>
    <n v="62955505182257"/>
    <s v="energisa_ms"/>
    <s v="Igreja do Evangelho Quadrangular"/>
    <x v="4"/>
    <s v="10/40190-145839"/>
    <s v="SIM"/>
    <n v="0"/>
    <m/>
    <m/>
    <s v="Aprovado"/>
    <n v="0"/>
    <n v="0"/>
    <m/>
    <m/>
    <m/>
    <s v="Sem valor liberado para emissão"/>
    <s v="62955505182257"/>
    <m/>
    <x v="0"/>
    <n v="0"/>
    <n v="0"/>
    <m/>
    <m/>
    <m/>
    <m/>
    <m/>
    <m/>
    <m/>
    <m/>
    <m/>
    <m/>
    <m/>
  </r>
  <r>
    <s v="TRIFÁSICO"/>
    <s v="10/399338-3"/>
    <n v="67991060202"/>
    <n v="62955505213233"/>
    <s v="energisa_ms"/>
    <s v="Igreja do Evangelho Quadrangular"/>
    <x v="4"/>
    <s v="10/129490-945901"/>
    <s v="SIM"/>
    <n v="0"/>
    <m/>
    <m/>
    <s v="Aprovado"/>
    <n v="0"/>
    <n v="0"/>
    <m/>
    <m/>
    <m/>
    <s v="Sem valor liberado para emissão"/>
    <s v="62955505213233"/>
    <m/>
    <x v="0"/>
    <n v="0"/>
    <n v="0"/>
    <m/>
    <m/>
    <m/>
    <m/>
    <m/>
    <m/>
    <m/>
    <m/>
    <m/>
    <m/>
    <m/>
  </r>
  <r>
    <s v="TRIFÁSICO"/>
    <s v="10/252817-2"/>
    <n v="67992637973"/>
    <n v="62955505274020"/>
    <s v="energisa_ms"/>
    <s v="Igreja do Evangelho Quadrangular"/>
    <x v="4"/>
    <s v="10/3005226-045901"/>
    <s v="SIM"/>
    <n v="0"/>
    <m/>
    <m/>
    <s v="Não emitido"/>
    <n v="0"/>
    <n v="0"/>
    <m/>
    <m/>
    <m/>
    <s v="Sem valor liberado para emissão"/>
    <s v="62955505274020"/>
    <m/>
    <x v="0"/>
    <n v="0"/>
    <n v="0"/>
    <m/>
    <m/>
    <m/>
    <m/>
    <m/>
    <m/>
    <m/>
    <m/>
    <m/>
    <m/>
    <m/>
  </r>
  <r>
    <s v="TRIFÁSICO"/>
    <s v="10/81222-2"/>
    <s v="67 992491551"/>
    <n v="62955505015946"/>
    <s v="energisa_ms"/>
    <s v="Igreja do Evangelho Quadrangular"/>
    <x v="4"/>
    <s v="10/399338-345809"/>
    <s v="SIM"/>
    <n v="0"/>
    <m/>
    <m/>
    <s v="Aprovado"/>
    <n v="0"/>
    <n v="0"/>
    <m/>
    <m/>
    <m/>
    <s v="Sem valor liberado para emissão"/>
    <s v="62955505015946"/>
    <m/>
    <x v="0"/>
    <n v="0"/>
    <n v="0"/>
    <m/>
    <m/>
    <m/>
    <m/>
    <m/>
    <m/>
    <m/>
    <m/>
    <m/>
    <m/>
    <m/>
  </r>
  <r>
    <s v="TRIFÁSICO"/>
    <s v="10/1674177-9"/>
    <s v="67 993047635"/>
    <n v="62955505016160"/>
    <s v="energisa_ms"/>
    <s v="Igreja do Evangelho Quadrangular"/>
    <x v="4"/>
    <s v="10/1184751-445809"/>
    <s v="SIM"/>
    <n v="0"/>
    <m/>
    <m/>
    <s v="Aprovado"/>
    <n v="0"/>
    <n v="0"/>
    <m/>
    <m/>
    <m/>
    <s v="Sem valor liberado para emissão"/>
    <s v="62955505016160"/>
    <m/>
    <x v="0"/>
    <n v="0"/>
    <n v="0"/>
    <m/>
    <m/>
    <m/>
    <m/>
    <m/>
    <m/>
    <m/>
    <m/>
    <m/>
    <m/>
    <m/>
  </r>
  <r>
    <s v="TRIFÁSICO"/>
    <s v="10/72605-9"/>
    <n v="67996071169"/>
    <n v="62955505136492"/>
    <s v="energisa_ms"/>
    <s v="Igreja do Evangelho Quadrangular"/>
    <x v="4"/>
    <s v="10/395471-645931"/>
    <s v="SIM"/>
    <n v="0"/>
    <m/>
    <m/>
    <s v="Aprovado"/>
    <n v="0"/>
    <n v="0"/>
    <m/>
    <m/>
    <m/>
    <s v="Sem valor liberado para emissão"/>
    <s v="62955505136492"/>
    <m/>
    <x v="0"/>
    <n v="0"/>
    <n v="0"/>
    <m/>
    <m/>
    <m/>
    <m/>
    <m/>
    <m/>
    <m/>
    <m/>
    <m/>
    <m/>
    <m/>
  </r>
  <r>
    <s v="BIFÁSICO"/>
    <s v="10/40190-1"/>
    <n v="67996859014"/>
    <n v="62955505177504"/>
    <s v="energisa_ms"/>
    <s v="Igreja do Evangelho Quadrangular"/>
    <x v="4"/>
    <s v="10/13786-945901"/>
    <s v="SIM"/>
    <n v="0"/>
    <m/>
    <m/>
    <s v="Aprovado"/>
    <n v="0"/>
    <n v="0"/>
    <m/>
    <m/>
    <m/>
    <s v="Sem valor liberado para emissão"/>
    <s v="62955505177504"/>
    <m/>
    <x v="0"/>
    <n v="0"/>
    <n v="0"/>
    <m/>
    <m/>
    <m/>
    <m/>
    <m/>
    <m/>
    <m/>
    <m/>
    <m/>
    <m/>
    <m/>
  </r>
  <r>
    <s v="TRIFÁSICO"/>
    <s v="10/127464-6"/>
    <n v="67996150274"/>
    <n v="62955505331198"/>
    <s v="energisa_ms"/>
    <s v="Igreja do Evangelho Quadrangular"/>
    <x v="4"/>
    <s v="10/480529-745931"/>
    <s v="SIM"/>
    <n v="0"/>
    <m/>
    <m/>
    <s v="Aprovado"/>
    <n v="0"/>
    <n v="0"/>
    <m/>
    <m/>
    <m/>
    <s v="Sem valor liberado para emissão"/>
    <s v="62955505331198"/>
    <m/>
    <x v="0"/>
    <n v="0"/>
    <n v="0"/>
    <m/>
    <m/>
    <m/>
    <m/>
    <m/>
    <m/>
    <m/>
    <m/>
    <m/>
    <m/>
    <m/>
  </r>
  <r>
    <s v="TRIFÁSICO"/>
    <s v="10/24514-2"/>
    <n v="67996266684"/>
    <n v="62955505157066"/>
    <s v="energisa_ms"/>
    <s v="Igreja do Evangelho Quadrangular"/>
    <x v="4"/>
    <s v="10/41548-945931"/>
    <s v="SIM"/>
    <n v="0"/>
    <m/>
    <m/>
    <s v="Aprovado"/>
    <n v="0"/>
    <n v="0"/>
    <m/>
    <m/>
    <m/>
    <s v="Sem valor liberado para emissão"/>
    <s v="62955505157066"/>
    <m/>
    <x v="0"/>
    <n v="0"/>
    <n v="0"/>
    <m/>
    <m/>
    <m/>
    <m/>
    <m/>
    <m/>
    <m/>
    <m/>
    <m/>
    <m/>
    <m/>
  </r>
  <r>
    <s v="BIFÁSICO"/>
    <s v="10/13786-9"/>
    <n v="67996266684"/>
    <n v="62955505197521"/>
    <s v="energisa_ms"/>
    <s v="Igreja do Evangelho Quadrangular"/>
    <x v="4"/>
    <s v="10/1184751-445689"/>
    <s v="SIM"/>
    <n v="0"/>
    <m/>
    <m/>
    <s v="Aprovado"/>
    <n v="0"/>
    <n v="0"/>
    <m/>
    <m/>
    <m/>
    <s v="Sem valor liberado para emissão"/>
    <s v="62955505197521"/>
    <m/>
    <x v="0"/>
    <n v="0"/>
    <n v="0"/>
    <m/>
    <m/>
    <m/>
    <m/>
    <m/>
    <m/>
    <m/>
    <m/>
    <m/>
    <m/>
    <m/>
  </r>
  <r>
    <s v="TRIFÁSICO"/>
    <s v="10/63920-3"/>
    <n v="67981263396"/>
    <n v="62955505135500"/>
    <s v="energisa_ms"/>
    <s v="Igreja do Evangelho Quadrangular"/>
    <x v="4"/>
    <s v="10/1184751-445748"/>
    <s v="SIM"/>
    <n v="0"/>
    <m/>
    <m/>
    <s v="Aprovado"/>
    <n v="0"/>
    <n v="0"/>
    <m/>
    <m/>
    <m/>
    <s v="Sem valor liberado para emissão"/>
    <s v="62955505135500"/>
    <m/>
    <x v="0"/>
    <n v="0"/>
    <n v="0"/>
    <m/>
    <m/>
    <m/>
    <m/>
    <m/>
    <m/>
    <m/>
    <m/>
    <m/>
    <m/>
    <m/>
  </r>
  <r>
    <e v="#N/A"/>
    <s v="10/2338577-6"/>
    <e v="#N/A"/>
    <n v="62955505017213"/>
    <s v="energisa_ms"/>
    <s v="Igreja do Evangelho Quadrangular"/>
    <x v="4"/>
    <s v="10/1017804-445839"/>
    <s v="SIM"/>
    <n v="0"/>
    <m/>
    <m/>
    <s v="Aprovado"/>
    <n v="0"/>
    <n v="0"/>
    <m/>
    <m/>
    <m/>
    <s v="Sem valor liberado para emissão"/>
    <s v="62955505017213"/>
    <m/>
    <x v="0"/>
    <n v="0"/>
    <n v="0"/>
    <m/>
    <m/>
    <m/>
    <m/>
    <m/>
    <m/>
    <m/>
    <m/>
    <m/>
    <m/>
    <m/>
  </r>
  <r>
    <s v="BIFÁSICO"/>
    <s v="10/41548-9"/>
    <n v="67996687077"/>
    <n v="62955505269026"/>
    <s v="energisa_ms"/>
    <s v="Igreja do Evangelho Quadrangular"/>
    <x v="4"/>
    <s v="10/18015-845748"/>
    <s v="SIM"/>
    <n v="0"/>
    <m/>
    <m/>
    <s v="Aprovado"/>
    <n v="0"/>
    <n v="0"/>
    <m/>
    <m/>
    <m/>
    <s v="Sem valor liberado para emissão"/>
    <s v="62955505269026"/>
    <m/>
    <x v="0"/>
    <n v="0"/>
    <n v="0"/>
    <m/>
    <m/>
    <m/>
    <m/>
    <m/>
    <m/>
    <m/>
    <m/>
    <m/>
    <m/>
    <m/>
  </r>
  <r>
    <s v="TRIFÁSICO"/>
    <s v="10/52987-5"/>
    <n v="67996983476"/>
    <n v="62955505182257"/>
    <s v="energisa_ms"/>
    <s v="Igreja do Evangelho Quadrangular"/>
    <x v="4"/>
    <s v="10/1672452-845658"/>
    <s v="SIM"/>
    <n v="0"/>
    <m/>
    <m/>
    <s v="Aprovado"/>
    <n v="0"/>
    <n v="0"/>
    <m/>
    <m/>
    <m/>
    <s v="Sem valor liberado para emissão"/>
    <s v="62955505182257"/>
    <m/>
    <x v="0"/>
    <n v="0"/>
    <n v="0"/>
    <m/>
    <m/>
    <m/>
    <m/>
    <m/>
    <m/>
    <m/>
    <m/>
    <m/>
    <m/>
    <m/>
  </r>
  <r>
    <s v="BIFÁSICO"/>
    <s v="10/341308-5"/>
    <n v="67993249456"/>
    <n v="62955505239119"/>
    <s v="energisa_ms"/>
    <s v="Igreja do Evangelho Quadrangular"/>
    <x v="4"/>
    <s v="10/81222-245809"/>
    <s v="SIM"/>
    <n v="0"/>
    <m/>
    <m/>
    <s v="Aprovado"/>
    <n v="0"/>
    <n v="0"/>
    <m/>
    <m/>
    <m/>
    <s v="Sem valor liberado para emissão"/>
    <s v="62955505239119"/>
    <m/>
    <x v="0"/>
    <n v="0"/>
    <n v="0"/>
    <m/>
    <m/>
    <m/>
    <m/>
    <m/>
    <m/>
    <m/>
    <m/>
    <m/>
    <m/>
    <m/>
  </r>
  <r>
    <s v="TRIFÁSICO"/>
    <s v="10/512142-1"/>
    <s v="67 81355403"/>
    <n v="62955505189340"/>
    <s v="energisa_ms"/>
    <s v="Igreja do Evangelho Quadrangular"/>
    <x v="4"/>
    <s v="10/237441-145717"/>
    <s v="SIM"/>
    <n v="0"/>
    <m/>
    <m/>
    <s v="Aprovado"/>
    <n v="0"/>
    <n v="0"/>
    <m/>
    <m/>
    <m/>
    <s v="Sem valor liberado para emissão"/>
    <s v="62955505189340"/>
    <m/>
    <x v="0"/>
    <n v="0"/>
    <n v="0"/>
    <m/>
    <m/>
    <m/>
    <m/>
    <m/>
    <m/>
    <m/>
    <m/>
    <m/>
    <m/>
    <m/>
  </r>
  <r>
    <s v="BIFÁSICO"/>
    <s v="10/239312-2"/>
    <n v="67996711972"/>
    <n v="62955505016594"/>
    <s v="energisa_ms"/>
    <s v="Igreja do Evangelho Quadrangular"/>
    <x v="4"/>
    <s v="10/156956-545748"/>
    <s v="SIM"/>
    <n v="0"/>
    <m/>
    <m/>
    <s v="Aprovado"/>
    <n v="0"/>
    <n v="0"/>
    <m/>
    <m/>
    <m/>
    <s v="Sem valor liberado para emissão"/>
    <s v="62955505016594"/>
    <m/>
    <x v="0"/>
    <n v="0"/>
    <n v="0"/>
    <m/>
    <m/>
    <m/>
    <m/>
    <m/>
    <m/>
    <m/>
    <m/>
    <m/>
    <m/>
    <m/>
  </r>
  <r>
    <s v="BIFÁSICO"/>
    <s v="10/109074-5"/>
    <s v="67 91751433"/>
    <n v="62955505000167"/>
    <s v="energisa_ms"/>
    <s v="Igreja do Evangelho Quadrangular"/>
    <x v="4"/>
    <s v="10/239312-245870"/>
    <s v="SIM"/>
    <n v="0"/>
    <m/>
    <m/>
    <s v="Aprovado"/>
    <n v="0"/>
    <n v="0"/>
    <m/>
    <m/>
    <m/>
    <s v="Sem valor liberado para emissão"/>
    <s v="62955505000167"/>
    <m/>
    <x v="0"/>
    <n v="0"/>
    <n v="0"/>
    <m/>
    <m/>
    <m/>
    <m/>
    <m/>
    <m/>
    <m/>
    <m/>
    <m/>
    <m/>
    <m/>
  </r>
  <r>
    <s v="TRIFÁSICO"/>
    <s v="10/78338-1"/>
    <s v="67 984742936"/>
    <n v="62955505016837"/>
    <s v="energisa_ms"/>
    <s v="Igreja do Evangelho Quadrangular"/>
    <x v="4"/>
    <s v="10/3005226-045870"/>
    <s v="SIM"/>
    <n v="0"/>
    <m/>
    <m/>
    <s v="Não emitido"/>
    <n v="0"/>
    <n v="0"/>
    <m/>
    <m/>
    <m/>
    <s v="Sem valor liberado para emissão"/>
    <s v="62955505016837"/>
    <m/>
    <x v="0"/>
    <n v="0"/>
    <n v="0"/>
    <m/>
    <m/>
    <m/>
    <m/>
    <m/>
    <m/>
    <m/>
    <m/>
    <m/>
    <m/>
    <m/>
  </r>
  <r>
    <s v="TRIFÁSICO"/>
    <s v="10/395471-6"/>
    <n v="67992876000"/>
    <n v="62955505248886"/>
    <s v="energisa_ms"/>
    <s v="Igreja do Evangelho Quadrangular"/>
    <x v="4"/>
    <s v="10/1081489-545809"/>
    <s v="SIM"/>
    <n v="0"/>
    <m/>
    <m/>
    <s v="Aprovado"/>
    <n v="0"/>
    <n v="0"/>
    <m/>
    <m/>
    <m/>
    <s v="Sem valor liberado para emissão"/>
    <s v="62955505248886"/>
    <m/>
    <x v="0"/>
    <n v="0"/>
    <n v="0"/>
    <m/>
    <m/>
    <m/>
    <m/>
    <m/>
    <m/>
    <m/>
    <m/>
    <m/>
    <m/>
    <m/>
  </r>
  <r>
    <s v="BIFÁSICO"/>
    <s v="10/3125732-2"/>
    <n v="65999839279"/>
    <n v="62955505015512"/>
    <s v="energisa_ms"/>
    <s v="Igreja do Evangelho Quadrangular"/>
    <x v="4"/>
    <s v="10/3139326-745809"/>
    <s v="SIM"/>
    <n v="0"/>
    <m/>
    <m/>
    <s v="Aprovado"/>
    <n v="0"/>
    <n v="0"/>
    <m/>
    <m/>
    <m/>
    <s v="Sem valor liberado para emissão"/>
    <s v="62955505015512"/>
    <m/>
    <x v="0"/>
    <n v="0"/>
    <n v="0"/>
    <m/>
    <m/>
    <m/>
    <m/>
    <m/>
    <m/>
    <m/>
    <m/>
    <m/>
    <m/>
    <m/>
  </r>
  <r>
    <e v="#N/A"/>
    <s v="10/2344751-9"/>
    <e v="#N/A"/>
    <n v="62955505135500"/>
    <s v="energisa_ms"/>
    <s v="Igreja do Evangelho Quadrangular"/>
    <x v="4"/>
    <s v="10/532723-445809"/>
    <s v="SIM"/>
    <n v="0"/>
    <m/>
    <m/>
    <s v="Aprovado"/>
    <n v="0"/>
    <n v="0"/>
    <m/>
    <m/>
    <m/>
    <s v="Sem valor liberado para emissão"/>
    <s v="62955505135500"/>
    <m/>
    <x v="0"/>
    <n v="0"/>
    <n v="0"/>
    <m/>
    <m/>
    <m/>
    <m/>
    <m/>
    <m/>
    <m/>
    <m/>
    <m/>
    <m/>
    <m/>
  </r>
  <r>
    <s v="TRIFÁSICO"/>
    <s v="10/908866-7"/>
    <n v="67992637973"/>
    <n v="62955505358630"/>
    <s v="energisa_ms"/>
    <s v="Igreja do Evangelho Quadrangular"/>
    <x v="4"/>
    <s v="10/3123706-845717"/>
    <s v="SIM"/>
    <n v="0"/>
    <m/>
    <m/>
    <s v="Aprovado"/>
    <n v="0"/>
    <n v="0"/>
    <m/>
    <m/>
    <m/>
    <s v="Sem valor liberado para emissão"/>
    <s v="62955505358630"/>
    <m/>
    <x v="0"/>
    <n v="0"/>
    <n v="0"/>
    <m/>
    <m/>
    <m/>
    <m/>
    <m/>
    <m/>
    <m/>
    <m/>
    <m/>
    <m/>
    <m/>
  </r>
  <r>
    <s v="TRIFÁSICO"/>
    <s v="10/513413-5"/>
    <n v="67992637973"/>
    <n v="62955505321630"/>
    <s v="energisa_ms"/>
    <s v="Igreja do Evangelho Quadrangular"/>
    <x v="5"/>
    <s v="10/239312-245748"/>
    <s v="SIM"/>
    <n v="0"/>
    <m/>
    <m/>
    <s v="Aprovado"/>
    <n v="0"/>
    <n v="0"/>
    <m/>
    <m/>
    <m/>
    <s v="Sem valor liberado para emissão"/>
    <s v="62955505321630"/>
    <m/>
    <x v="0"/>
    <n v="0"/>
    <n v="0"/>
    <m/>
    <m/>
    <m/>
    <m/>
    <m/>
    <m/>
    <m/>
    <m/>
    <m/>
    <m/>
    <m/>
  </r>
  <r>
    <n v="0"/>
    <s v="10/104720-8"/>
    <n v="67991767866"/>
    <n v="62955505091456"/>
    <s v="energisa_ms"/>
    <s v="Igreja do Evangelho Quadrangular"/>
    <x v="5"/>
    <s v="10/511753-645809"/>
    <s v="SIM"/>
    <n v="0"/>
    <m/>
    <m/>
    <s v="Aprovado"/>
    <n v="0"/>
    <n v="0"/>
    <m/>
    <m/>
    <m/>
    <s v="Sem valor liberado para emissão"/>
    <s v="62955505091456"/>
    <m/>
    <x v="0"/>
    <n v="0"/>
    <n v="0"/>
    <m/>
    <m/>
    <m/>
    <m/>
    <m/>
    <m/>
    <m/>
    <m/>
    <m/>
    <m/>
    <m/>
  </r>
  <r>
    <s v="TRIFÁSICO"/>
    <s v="10/113971-6"/>
    <n v="67996575782"/>
    <n v="62955505015601"/>
    <s v="energisa_ms"/>
    <s v="Igreja do Evangelho Quadrangular"/>
    <x v="5"/>
    <s v="10/480529-745901"/>
    <s v="SIM"/>
    <n v="0"/>
    <m/>
    <m/>
    <s v="Aprovado"/>
    <n v="0"/>
    <n v="0"/>
    <m/>
    <m/>
    <m/>
    <s v="Sem valor liberado para emissão"/>
    <s v="62955505015601"/>
    <m/>
    <x v="0"/>
    <n v="0"/>
    <n v="0"/>
    <m/>
    <m/>
    <m/>
    <m/>
    <m/>
    <m/>
    <m/>
    <m/>
    <m/>
    <m/>
    <m/>
  </r>
  <r>
    <e v="#N/A"/>
    <s v="10/3170252-5"/>
    <e v="#N/A"/>
    <n v="62955505035629"/>
    <s v="energisa_ms"/>
    <s v="Igreja do Evangelho Quadrangular"/>
    <x v="5"/>
    <s v="10/1698130-045748"/>
    <s v="SIM"/>
    <n v="0"/>
    <m/>
    <m/>
    <s v="Aprovado"/>
    <n v="959.21"/>
    <n v="0"/>
    <m/>
    <m/>
    <m/>
    <s v="Sem valor liberado para emissão"/>
    <s v="62955505035629"/>
    <m/>
    <x v="0"/>
    <n v="0"/>
    <n v="0"/>
    <m/>
    <m/>
    <m/>
    <m/>
    <m/>
    <m/>
    <m/>
    <m/>
    <m/>
    <m/>
    <m/>
  </r>
  <r>
    <e v="#N/A"/>
    <s v="10/10731-8"/>
    <e v="#N/A"/>
    <n v="62955505393207"/>
    <s v="energisa_ms"/>
    <s v="Igreja do Evangelho Quadrangular"/>
    <x v="5"/>
    <s v="10/1035655-845809"/>
    <s v="SIM"/>
    <n v="0"/>
    <m/>
    <m/>
    <s v="Aprovado"/>
    <n v="0"/>
    <n v="0"/>
    <m/>
    <m/>
    <m/>
    <s v="Sem valor liberado para emissão"/>
    <s v="62955505393207"/>
    <m/>
    <x v="0"/>
    <n v="0"/>
    <n v="0"/>
    <m/>
    <m/>
    <m/>
    <m/>
    <m/>
    <m/>
    <m/>
    <m/>
    <m/>
    <m/>
    <m/>
  </r>
  <r>
    <s v="TRIFÁSICO"/>
    <s v="10/505854-0"/>
    <n v="67996446178"/>
    <n v="62955505887382"/>
    <s v="energisa_ms"/>
    <s v="Igreja do Evangelho Quadrangular"/>
    <x v="5"/>
    <s v="10/3123706-845748"/>
    <s v="SIM"/>
    <n v="0"/>
    <m/>
    <m/>
    <s v="Aprovado"/>
    <n v="0"/>
    <n v="0"/>
    <m/>
    <m/>
    <m/>
    <s v="Sem valor liberado para emissão"/>
    <s v="62955505887382"/>
    <m/>
    <x v="0"/>
    <n v="0"/>
    <n v="0"/>
    <m/>
    <m/>
    <m/>
    <m/>
    <m/>
    <m/>
    <m/>
    <m/>
    <m/>
    <m/>
    <m/>
  </r>
  <r>
    <e v="#N/A"/>
    <s v="10/2338577-6"/>
    <e v="#N/A"/>
    <n v="62955505017213"/>
    <s v="energisa_ms"/>
    <s v="Igreja do Evangelho Quadrangular"/>
    <x v="5"/>
    <s v="10/69319-245901"/>
    <s v="SIM"/>
    <n v="0"/>
    <m/>
    <m/>
    <s v="Aprovado"/>
    <n v="0"/>
    <n v="0"/>
    <m/>
    <m/>
    <m/>
    <s v="Sem valor liberado para emissão"/>
    <s v="62955505017213"/>
    <m/>
    <x v="0"/>
    <n v="0"/>
    <n v="0"/>
    <m/>
    <m/>
    <m/>
    <m/>
    <m/>
    <m/>
    <m/>
    <m/>
    <m/>
    <m/>
    <m/>
  </r>
  <r>
    <s v="TRIFÁSICO"/>
    <s v="10/512142-1"/>
    <s v="67 81355403"/>
    <n v="62955505189340"/>
    <s v="energisa_ms"/>
    <s v="Igreja do Evangelho Quadrangular"/>
    <x v="5"/>
    <s v="10/109074-545931"/>
    <s v="SIM"/>
    <n v="0"/>
    <m/>
    <m/>
    <s v="Aprovado"/>
    <n v="0"/>
    <n v="0"/>
    <m/>
    <m/>
    <m/>
    <s v="Sem valor liberado para emissão"/>
    <s v="62955505189340"/>
    <m/>
    <x v="0"/>
    <n v="0"/>
    <n v="0"/>
    <m/>
    <m/>
    <m/>
    <m/>
    <m/>
    <m/>
    <m/>
    <m/>
    <m/>
    <m/>
    <m/>
  </r>
  <r>
    <s v="TRIFÁSICO"/>
    <s v="10/3054052-0"/>
    <n v="67996266684"/>
    <n v="62955505312487"/>
    <s v="energisa_ms"/>
    <s v="Igreja do Evangelho Quadrangular"/>
    <x v="5"/>
    <s v="10/2247256-745748"/>
    <s v="SIM"/>
    <n v="0"/>
    <m/>
    <m/>
    <s v="Aprovado"/>
    <n v="0"/>
    <n v="0"/>
    <m/>
    <m/>
    <m/>
    <s v="Sem valor liberado para emissão"/>
    <s v="62955505312487"/>
    <m/>
    <x v="0"/>
    <n v="99.811360544217678"/>
    <n v="99.811360544217678"/>
    <m/>
    <m/>
    <m/>
    <m/>
    <m/>
    <m/>
    <m/>
    <m/>
    <m/>
    <m/>
    <m/>
  </r>
  <r>
    <e v="#N/A"/>
    <s v="10/2344751-9"/>
    <e v="#N/A"/>
    <n v="62955505135500"/>
    <s v="energisa_ms"/>
    <s v="Igreja do Evangelho Quadrangular"/>
    <x v="5"/>
    <s v="10/931327-145901"/>
    <s v="SIM"/>
    <n v="0"/>
    <m/>
    <m/>
    <s v="Aprovado"/>
    <n v="0"/>
    <n v="0"/>
    <m/>
    <m/>
    <m/>
    <s v="Sem valor liberado para emissão"/>
    <s v="62955505135500"/>
    <m/>
    <x v="0"/>
    <n v="91.55117647058826"/>
    <n v="91.55117647058826"/>
    <m/>
    <m/>
    <m/>
    <m/>
    <m/>
    <m/>
    <m/>
    <m/>
    <m/>
    <m/>
    <m/>
  </r>
  <r>
    <s v="TRIFÁSICO"/>
    <s v="10/513413-5"/>
    <n v="67992637973"/>
    <n v="62955505321630"/>
    <s v="energisa_ms"/>
    <s v="Igreja do Evangelho Quadrangular"/>
    <x v="8"/>
    <s v="10/18015-845778"/>
    <s v="SIM"/>
    <n v="0"/>
    <m/>
    <m/>
    <s v="Aprovado"/>
    <n v="0"/>
    <n v="0"/>
    <m/>
    <m/>
    <s v=""/>
    <s v="Sem valor liberado para emissão"/>
    <s v="62955505321630"/>
    <m/>
    <x v="0"/>
    <n v="0"/>
    <n v="0"/>
    <m/>
    <m/>
    <m/>
    <m/>
    <m/>
    <m/>
    <m/>
    <m/>
    <m/>
    <m/>
    <m/>
  </r>
  <r>
    <n v="0"/>
    <s v="10/104720-8"/>
    <n v="67991767866"/>
    <n v="62955505091456"/>
    <s v="energisa_ms"/>
    <s v="Igreja do Evangelho Quadrangular"/>
    <x v="8"/>
    <s v="10/162736-345931"/>
    <s v="SIM"/>
    <n v="0"/>
    <m/>
    <m/>
    <s v="Aprovado"/>
    <n v="0"/>
    <n v="0"/>
    <m/>
    <m/>
    <m/>
    <s v="Sem valor liberado para emissão"/>
    <s v="62955505091456"/>
    <m/>
    <x v="0"/>
    <n v="0"/>
    <n v="0"/>
    <m/>
    <m/>
    <m/>
    <m/>
    <m/>
    <m/>
    <m/>
    <m/>
    <m/>
    <m/>
    <m/>
  </r>
  <r>
    <s v="TRIFÁSICO"/>
    <s v="10/113971-6"/>
    <n v="67996575782"/>
    <n v="62955505015601"/>
    <s v="energisa_ms"/>
    <s v="Igreja do Evangelho Quadrangular"/>
    <x v="8"/>
    <s v="10/3556072-145839"/>
    <s v="SIM"/>
    <n v="0"/>
    <m/>
    <m/>
    <s v="Não emitido"/>
    <n v="0"/>
    <n v="0"/>
    <m/>
    <m/>
    <s v=""/>
    <s v="Sem valor liberado para emissão"/>
    <s v="62955505015601"/>
    <m/>
    <x v="0"/>
    <n v="0"/>
    <n v="0"/>
    <m/>
    <m/>
    <m/>
    <m/>
    <m/>
    <m/>
    <m/>
    <m/>
    <m/>
    <m/>
    <m/>
  </r>
  <r>
    <s v="TRIFÁSICO"/>
    <s v="10/1433087-2"/>
    <s v=" 67 91285460"/>
    <n v="62955505419443"/>
    <s v="energisa_ms"/>
    <s v="Igreja do Evangelho Quadrangular"/>
    <x v="8"/>
    <s v="10/10232-745748"/>
    <s v="SIM"/>
    <n v="0"/>
    <m/>
    <m/>
    <s v="Aprovado"/>
    <n v="0"/>
    <n v="0"/>
    <m/>
    <m/>
    <s v=""/>
    <s v="Sem valor liberado para emissão"/>
    <s v="62955505419443"/>
    <m/>
    <x v="0"/>
    <n v="0"/>
    <n v="0"/>
    <m/>
    <m/>
    <m/>
    <m/>
    <m/>
    <m/>
    <m/>
    <m/>
    <m/>
    <m/>
    <m/>
  </r>
  <r>
    <e v="#N/A"/>
    <s v="10/3170252-5"/>
    <e v="#N/A"/>
    <n v="62955505035629"/>
    <s v="energisa_ms"/>
    <s v="Igreja do Evangelho Quadrangular"/>
    <x v="8"/>
    <s v="10/40190-145809"/>
    <s v="SIM"/>
    <n v="0"/>
    <m/>
    <m/>
    <s v="Aprovado"/>
    <n v="959.21"/>
    <n v="0"/>
    <m/>
    <m/>
    <m/>
    <s v="Sem valor liberado para emissão"/>
    <s v="62955505035629"/>
    <m/>
    <x v="0"/>
    <n v="0"/>
    <n v="0"/>
    <m/>
    <m/>
    <m/>
    <m/>
    <m/>
    <m/>
    <m/>
    <m/>
    <m/>
    <m/>
    <m/>
  </r>
  <r>
    <e v="#N/A"/>
    <s v="10/2247256-7"/>
    <e v="#N/A"/>
    <n v="62955505015199"/>
    <s v="energisa_ms"/>
    <s v="Igreja do Evangelho Quadrangular"/>
    <x v="8"/>
    <s v="10/257864-945748"/>
    <s v="SIM"/>
    <n v="0"/>
    <m/>
    <m/>
    <s v="Aprovado"/>
    <n v="0"/>
    <n v="0"/>
    <m/>
    <m/>
    <m/>
    <s v="Sem valor liberado para emissão"/>
    <s v="62955505015199"/>
    <m/>
    <x v="0"/>
    <n v="0"/>
    <n v="0"/>
    <m/>
    <m/>
    <m/>
    <m/>
    <m/>
    <m/>
    <m/>
    <m/>
    <m/>
    <m/>
    <m/>
  </r>
  <r>
    <e v="#N/A"/>
    <s v="10/925970-6"/>
    <e v="#N/A"/>
    <n v="62955505057789"/>
    <s v="energisa_ms"/>
    <s v="Igreja do Evangelho Quadrangular"/>
    <x v="8"/>
    <s v="10/41548-945809"/>
    <s v="SIM"/>
    <n v="0"/>
    <m/>
    <m/>
    <s v="Aprovado"/>
    <n v="0"/>
    <n v="0"/>
    <m/>
    <m/>
    <m/>
    <s v="Sem valor liberado para emissão"/>
    <s v="62955505057789"/>
    <m/>
    <x v="0"/>
    <n v="0"/>
    <n v="0"/>
    <m/>
    <m/>
    <m/>
    <m/>
    <m/>
    <m/>
    <m/>
    <m/>
    <m/>
    <m/>
    <m/>
  </r>
  <r>
    <e v="#N/A"/>
    <s v="10/10731-8"/>
    <e v="#N/A"/>
    <n v="62955505393207"/>
    <s v="energisa_ms"/>
    <s v="Igreja do Evangelho Quadrangular"/>
    <x v="8"/>
    <s v="10/384823-145717"/>
    <s v="SIM"/>
    <n v="0"/>
    <m/>
    <m/>
    <s v="Aprovado"/>
    <n v="0"/>
    <n v="0"/>
    <m/>
    <m/>
    <m/>
    <s v="Sem valor liberado para emissão"/>
    <s v="62955505393207"/>
    <m/>
    <x v="0"/>
    <n v="0"/>
    <n v="0"/>
    <m/>
    <m/>
    <m/>
    <m/>
    <m/>
    <m/>
    <m/>
    <m/>
    <m/>
    <m/>
    <m/>
  </r>
  <r>
    <s v="TRIFÁSICO"/>
    <s v="10/505854-0"/>
    <n v="67996446178"/>
    <n v="62955505887382"/>
    <s v="energisa_ms"/>
    <s v="Igreja do Evangelho Quadrangular"/>
    <x v="8"/>
    <s v="10/532081-745931"/>
    <s v="SIM"/>
    <n v="0"/>
    <m/>
    <m/>
    <s v="Aprovado"/>
    <n v="0"/>
    <n v="0"/>
    <m/>
    <m/>
    <s v=""/>
    <s v="Sem valor liberado para emissão"/>
    <s v="62955505887382"/>
    <m/>
    <x v="0"/>
    <n v="0"/>
    <n v="0"/>
    <m/>
    <m/>
    <m/>
    <m/>
    <m/>
    <m/>
    <m/>
    <m/>
    <m/>
    <m/>
    <m/>
  </r>
  <r>
    <e v="#N/A"/>
    <s v="10/2338577-6"/>
    <e v="#N/A"/>
    <n v="62955505017213"/>
    <s v="energisa_ms"/>
    <s v="Igreja do Evangelho Quadrangular"/>
    <x v="8"/>
    <s v="10/150263-245748"/>
    <s v="SIM"/>
    <n v="0"/>
    <m/>
    <m/>
    <s v="Aprovado"/>
    <n v="0"/>
    <n v="0"/>
    <m/>
    <m/>
    <m/>
    <s v="Sem valor liberado para emissão"/>
    <s v="62955505017213"/>
    <m/>
    <x v="0"/>
    <n v="0"/>
    <n v="0"/>
    <m/>
    <m/>
    <m/>
    <m/>
    <m/>
    <m/>
    <m/>
    <m/>
    <m/>
    <m/>
    <m/>
  </r>
  <r>
    <s v="TRIFÁSICO"/>
    <s v="10/512142-1"/>
    <s v="67 81355403"/>
    <n v="62955505189340"/>
    <s v="energisa_ms"/>
    <s v="Igreja do Evangelho Quadrangular"/>
    <x v="8"/>
    <s v="10/2794432-145689"/>
    <s v="SIM"/>
    <n v="0"/>
    <m/>
    <m/>
    <s v="Aprovado"/>
    <n v="0"/>
    <n v="0"/>
    <m/>
    <m/>
    <m/>
    <s v="Sem valor liberado para emissão"/>
    <s v="62955505189340"/>
    <m/>
    <x v="0"/>
    <n v="0"/>
    <n v="0"/>
    <m/>
    <m/>
    <m/>
    <m/>
    <m/>
    <m/>
    <m/>
    <m/>
    <m/>
    <m/>
    <m/>
  </r>
  <r>
    <e v="#N/A"/>
    <s v="10/2344751-9"/>
    <e v="#N/A"/>
    <n v="62955505135500"/>
    <s v="energisa_ms"/>
    <s v="Igreja do Evangelho Quadrangular"/>
    <x v="8"/>
    <s v="10/63920-345658"/>
    <s v="SIM"/>
    <n v="0"/>
    <m/>
    <m/>
    <s v="Aprovado"/>
    <n v="0"/>
    <n v="0"/>
    <m/>
    <m/>
    <m/>
    <s v="Sem valor liberado para emissão"/>
    <s v="62955505135500"/>
    <m/>
    <x v="0"/>
    <n v="0"/>
    <n v="0"/>
    <m/>
    <m/>
    <m/>
    <m/>
    <m/>
    <m/>
    <m/>
    <m/>
    <m/>
    <m/>
    <m/>
  </r>
  <r>
    <s v="BIFÁSICO"/>
    <s v="10/31292-6"/>
    <n v="67996266684"/>
    <n v="62955505016080"/>
    <s v="energisa_ms"/>
    <s v="Igreja do Evangelho Quadrangular"/>
    <x v="8"/>
    <s v="10/78338-145658"/>
    <s v="SIM"/>
    <n v="0"/>
    <m/>
    <m/>
    <s v="Aprovado"/>
    <n v="0"/>
    <n v="0"/>
    <m/>
    <m/>
    <m/>
    <s v="Sem valor liberado para emissão"/>
    <s v="62955505016080"/>
    <m/>
    <x v="0"/>
    <n v="0"/>
    <n v="0"/>
    <m/>
    <m/>
    <m/>
    <m/>
    <m/>
    <m/>
    <m/>
    <m/>
    <m/>
    <m/>
    <m/>
  </r>
  <r>
    <s v="TRIFÁSICO"/>
    <s v="10/18015-8"/>
    <n v="67996266684"/>
    <n v="62955505016080"/>
    <s v="energisa_ms"/>
    <s v="Igreja do Evangelho Quadrangular"/>
    <x v="3"/>
    <s v="10/135237-645717"/>
    <s v="SIM"/>
    <n v="0"/>
    <m/>
    <m/>
    <s v="Aprovado"/>
    <n v="0"/>
    <n v="0"/>
    <m/>
    <m/>
    <m/>
    <s v="sem crédito consumido"/>
    <s v="62955505016080"/>
    <m/>
    <x v="0"/>
    <n v="0"/>
    <n v="0"/>
    <m/>
    <m/>
    <m/>
    <m/>
    <m/>
    <m/>
    <m/>
    <m/>
    <m/>
    <m/>
    <m/>
  </r>
  <r>
    <s v="TRIFÁSICO"/>
    <s v="10/513413-5"/>
    <n v="67992637973"/>
    <n v="62955505321630"/>
    <s v="energisa_ms"/>
    <s v="Igreja do Evangelho Quadrangular"/>
    <x v="3"/>
    <s v="10/466560-045870"/>
    <s v="SIM"/>
    <n v="0"/>
    <m/>
    <m/>
    <s v="Aprovado"/>
    <n v="0"/>
    <n v="0"/>
    <m/>
    <m/>
    <m/>
    <s v="sem crédito consumido"/>
    <s v="62955505321630"/>
    <m/>
    <x v="0"/>
    <n v="0"/>
    <n v="0"/>
    <m/>
    <m/>
    <m/>
    <m/>
    <m/>
    <m/>
    <m/>
    <m/>
    <m/>
    <m/>
    <m/>
  </r>
  <r>
    <s v="TRIFÁSICO"/>
    <s v="10/113971-6"/>
    <n v="67996575782"/>
    <n v="62955505015601"/>
    <s v="energisa_ms"/>
    <s v="Igreja do Evangelho Quadrangular"/>
    <x v="3"/>
    <s v="10/3125732-245839"/>
    <s v="SIM"/>
    <n v="0"/>
    <m/>
    <m/>
    <s v="Aprovado"/>
    <n v="0"/>
    <n v="0"/>
    <m/>
    <m/>
    <m/>
    <s v="sem crédito consumido"/>
    <s v="62955505015601"/>
    <m/>
    <x v="0"/>
    <n v="0"/>
    <n v="0"/>
    <m/>
    <m/>
    <m/>
    <m/>
    <m/>
    <m/>
    <m/>
    <m/>
    <m/>
    <m/>
    <m/>
  </r>
  <r>
    <s v="TRIFÁSICO"/>
    <s v="10/237441-1"/>
    <n v="67992637973"/>
    <n v="62955505017213"/>
    <s v="energisa_ms"/>
    <s v="Igreja do Evangelho Quadrangular"/>
    <x v="3"/>
    <s v="10/532081-745839"/>
    <s v="SIM"/>
    <n v="0"/>
    <m/>
    <m/>
    <s v="Aprovado"/>
    <n v="0"/>
    <n v="0"/>
    <m/>
    <m/>
    <m/>
    <s v="sem crédito consumido"/>
    <s v="62955505017213"/>
    <m/>
    <x v="0"/>
    <n v="0"/>
    <n v="0"/>
    <m/>
    <m/>
    <m/>
    <m/>
    <m/>
    <m/>
    <m/>
    <m/>
    <m/>
    <m/>
    <m/>
  </r>
  <r>
    <s v="TRIFÁSICO"/>
    <s v="10/1433087-2"/>
    <s v=" 67 91285460"/>
    <n v="62955505419443"/>
    <s v="energisa_ms"/>
    <s v="Igreja do Evangelho Quadrangular"/>
    <x v="3"/>
    <s v="10/1548741-645839"/>
    <s v="SIM"/>
    <n v="0"/>
    <m/>
    <m/>
    <s v="Aprovado"/>
    <n v="0"/>
    <n v="0"/>
    <m/>
    <m/>
    <m/>
    <s v="sem crédito consumido"/>
    <s v="62955505419443"/>
    <m/>
    <x v="0"/>
    <n v="0"/>
    <n v="0"/>
    <m/>
    <m/>
    <m/>
    <m/>
    <m/>
    <m/>
    <m/>
    <m/>
    <m/>
    <m/>
    <m/>
  </r>
  <r>
    <s v="BIFÁSICO"/>
    <s v="10/452884-0"/>
    <s v="67 996469842"/>
    <n v="62955505000167"/>
    <s v="energisa_ms"/>
    <s v="Igreja do Evangelho Quadrangular"/>
    <x v="3"/>
    <s v="10/1184751-445870"/>
    <s v="SIM"/>
    <n v="0"/>
    <m/>
    <m/>
    <s v="Aprovado"/>
    <n v="0"/>
    <n v="0"/>
    <m/>
    <m/>
    <m/>
    <s v="sem crédito consumido"/>
    <s v="62955505000167"/>
    <m/>
    <x v="0"/>
    <n v="0"/>
    <n v="0"/>
    <m/>
    <m/>
    <m/>
    <m/>
    <m/>
    <m/>
    <m/>
    <m/>
    <m/>
    <m/>
    <m/>
  </r>
  <r>
    <s v="TRIFÁSICO"/>
    <s v="10/162736-3"/>
    <n v="67996150274"/>
    <n v="62955505197360"/>
    <s v="energisa_ms"/>
    <s v="Igreja do Evangelho Quadrangular"/>
    <x v="3"/>
    <s v="10/280638-845839"/>
    <s v="SIM"/>
    <n v="0"/>
    <m/>
    <m/>
    <s v="Aprovado"/>
    <n v="0"/>
    <n v="0"/>
    <m/>
    <m/>
    <m/>
    <s v="sem crédito consumido"/>
    <s v="62955505197360"/>
    <m/>
    <x v="0"/>
    <n v="0"/>
    <n v="0"/>
    <m/>
    <m/>
    <m/>
    <m/>
    <m/>
    <m/>
    <m/>
    <m/>
    <m/>
    <m/>
    <m/>
  </r>
  <r>
    <s v="TRIFÁSICO"/>
    <s v="10/135237-6"/>
    <n v="67996446178"/>
    <n v="62955505080098"/>
    <s v="energisa_ms"/>
    <s v="Igreja do Evangelho Quadrangular"/>
    <x v="3"/>
    <s v="10/78338-145870"/>
    <s v="SIM"/>
    <n v="0"/>
    <m/>
    <m/>
    <s v="Aprovado"/>
    <n v="0"/>
    <n v="0"/>
    <m/>
    <m/>
    <m/>
    <s v="sem crédito consumido"/>
    <s v="62955505080098"/>
    <m/>
    <x v="0"/>
    <n v="0"/>
    <n v="0"/>
    <m/>
    <m/>
    <m/>
    <m/>
    <m/>
    <m/>
    <m/>
    <m/>
    <m/>
    <m/>
    <m/>
  </r>
  <r>
    <s v="TRIFÁSICO"/>
    <s v="10/987178-1"/>
    <n v="67993496482"/>
    <n v="62955505015512"/>
    <s v="energisa_ms"/>
    <s v="Igreja do Evangelho Quadrangular"/>
    <x v="3"/>
    <s v="10/156956-545809"/>
    <s v="SIM"/>
    <n v="0"/>
    <m/>
    <m/>
    <s v="Aprovado"/>
    <n v="0"/>
    <n v="0"/>
    <m/>
    <m/>
    <m/>
    <s v="sem crédito consumido"/>
    <s v="62955505015512"/>
    <m/>
    <x v="0"/>
    <n v="0"/>
    <n v="0"/>
    <m/>
    <m/>
    <m/>
    <m/>
    <m/>
    <m/>
    <m/>
    <m/>
    <m/>
    <m/>
    <m/>
  </r>
  <r>
    <s v="TRIFÁSICO"/>
    <s v="10/2794432-1"/>
    <n v="67991162146"/>
    <n v="62955505015199"/>
    <s v="energisa_ms"/>
    <s v="Igreja do Evangelho Quadrangular"/>
    <x v="3"/>
    <s v="10/276283-945748"/>
    <s v="SIM"/>
    <n v="0"/>
    <m/>
    <m/>
    <s v="Aprovado"/>
    <n v="0"/>
    <n v="0"/>
    <m/>
    <m/>
    <m/>
    <s v="sem crédito consumido"/>
    <s v="62955505015199"/>
    <m/>
    <x v="0"/>
    <n v="0"/>
    <n v="0"/>
    <m/>
    <m/>
    <m/>
    <m/>
    <m/>
    <m/>
    <m/>
    <m/>
    <m/>
    <m/>
    <m/>
  </r>
  <r>
    <s v="TRIFÁSICO"/>
    <s v="10/8777-5"/>
    <s v="67 992319530"/>
    <n v="62955505122432"/>
    <s v="energisa_ms"/>
    <s v="Igreja do Evangelho Quadrangular"/>
    <x v="3"/>
    <s v="10/31292-645658"/>
    <s v="SIM"/>
    <n v="0"/>
    <m/>
    <m/>
    <s v="Aprovado"/>
    <n v="0"/>
    <n v="0"/>
    <m/>
    <m/>
    <m/>
    <s v="sem crédito consumido"/>
    <s v="62955505122432"/>
    <m/>
    <x v="0"/>
    <n v="0"/>
    <n v="0"/>
    <m/>
    <m/>
    <m/>
    <m/>
    <m/>
    <m/>
    <m/>
    <m/>
    <m/>
    <m/>
    <m/>
  </r>
  <r>
    <s v="TRIFÁSICO"/>
    <s v="10/504844-2"/>
    <n v="67992637973"/>
    <n v="62955505354481"/>
    <s v="energisa_ms"/>
    <s v="Igreja do Evangelho Quadrangular"/>
    <x v="3"/>
    <s v="10/952579-145689"/>
    <s v="SIM"/>
    <n v="0"/>
    <m/>
    <m/>
    <s v="Aprovado"/>
    <n v="0"/>
    <n v="0"/>
    <m/>
    <m/>
    <m/>
    <s v="sem crédito consumido"/>
    <s v="62955505354481"/>
    <m/>
    <x v="0"/>
    <n v="0"/>
    <n v="0"/>
    <m/>
    <m/>
    <m/>
    <m/>
    <m/>
    <m/>
    <m/>
    <m/>
    <m/>
    <m/>
    <m/>
  </r>
  <r>
    <s v="TRIFÁSICO"/>
    <s v="10/280638-8"/>
    <s v="67 81355403"/>
    <n v="62955505843253"/>
    <s v="energisa_ms"/>
    <s v="Igreja do Evangelho Quadrangular"/>
    <x v="3"/>
    <s v="10/113971-645870"/>
    <s v="SIM"/>
    <n v="0"/>
    <m/>
    <m/>
    <s v="Aprovado"/>
    <n v="0"/>
    <n v="0"/>
    <m/>
    <m/>
    <m/>
    <s v="sem crédito consumido"/>
    <s v="62955505843253"/>
    <m/>
    <x v="0"/>
    <n v="0"/>
    <n v="0"/>
    <m/>
    <m/>
    <m/>
    <m/>
    <m/>
    <m/>
    <m/>
    <m/>
    <m/>
    <m/>
    <m/>
  </r>
  <r>
    <s v="BIFÁSICO"/>
    <s v="10/61344-8"/>
    <n v="67999998719"/>
    <n v="62955505015431"/>
    <s v="energisa_ms"/>
    <s v="Igreja do Evangelho Quadrangular"/>
    <x v="3"/>
    <s v="10/72605-945809"/>
    <s v="SIM"/>
    <n v="0"/>
    <m/>
    <m/>
    <s v="Aprovado"/>
    <n v="0"/>
    <n v="0"/>
    <m/>
    <m/>
    <m/>
    <s v="sem crédito consumido"/>
    <s v="62955505015431"/>
    <m/>
    <x v="0"/>
    <n v="0"/>
    <n v="0"/>
    <m/>
    <m/>
    <m/>
    <m/>
    <m/>
    <m/>
    <m/>
    <m/>
    <m/>
    <m/>
    <m/>
  </r>
  <r>
    <s v="BIFÁSICO"/>
    <s v="10/952579-1"/>
    <n v="67996150274"/>
    <n v="62955505897930"/>
    <s v="energisa_ms"/>
    <s v="Igreja do Evangelho Quadrangular"/>
    <x v="3"/>
    <s v="10/3125732-245778"/>
    <s v="SIM"/>
    <n v="0"/>
    <m/>
    <m/>
    <s v="Aprovado"/>
    <n v="0"/>
    <n v="0"/>
    <m/>
    <m/>
    <m/>
    <s v="sem crédito consumido"/>
    <s v="62955505897930"/>
    <m/>
    <x v="0"/>
    <n v="0"/>
    <n v="0"/>
    <m/>
    <m/>
    <m/>
    <m/>
    <m/>
    <m/>
    <m/>
    <m/>
    <m/>
    <m/>
    <m/>
  </r>
  <r>
    <s v="TRIFÁSICO"/>
    <s v="10/505854-0"/>
    <n v="67996446178"/>
    <n v="62955505887382"/>
    <s v="energisa_ms"/>
    <s v="Igreja do Evangelho Quadrangular"/>
    <x v="3"/>
    <s v="10/1130988-745748"/>
    <s v="SIM"/>
    <n v="0"/>
    <m/>
    <m/>
    <s v="Aprovado"/>
    <n v="0"/>
    <n v="0"/>
    <m/>
    <m/>
    <m/>
    <s v="sem crédito consumido"/>
    <s v="62955505887382"/>
    <m/>
    <x v="0"/>
    <n v="0"/>
    <n v="0"/>
    <m/>
    <m/>
    <m/>
    <m/>
    <m/>
    <m/>
    <m/>
    <m/>
    <m/>
    <m/>
    <m/>
  </r>
  <r>
    <s v="TRIFÁSICO"/>
    <s v="10/3123706-8"/>
    <n v="67999516782"/>
    <n v="62955505375721"/>
    <s v="energisa_ms"/>
    <s v="Igreja do Evangelho Quadrangular"/>
    <x v="3"/>
    <s v="10/1288241-145778"/>
    <s v="SIM"/>
    <n v="0"/>
    <m/>
    <m/>
    <s v="Aprovado"/>
    <n v="0"/>
    <n v="0"/>
    <m/>
    <m/>
    <m/>
    <s v="sem crédito consumido"/>
    <s v="62955505375721"/>
    <m/>
    <x v="0"/>
    <n v="0"/>
    <n v="0"/>
    <m/>
    <m/>
    <m/>
    <m/>
    <m/>
    <m/>
    <m/>
    <m/>
    <m/>
    <m/>
    <m/>
  </r>
  <r>
    <s v="BIFÁSICO"/>
    <s v="10/129490-9"/>
    <s v=","/>
    <n v="62955505405140"/>
    <s v="energisa_ms"/>
    <s v="Igreja do Evangelho Quadrangular"/>
    <x v="3"/>
    <s v="10/952579-145839"/>
    <s v="SIM"/>
    <n v="0"/>
    <m/>
    <m/>
    <s v="Aprovado"/>
    <n v="0"/>
    <n v="0"/>
    <m/>
    <m/>
    <m/>
    <s v="sem crédito consumido"/>
    <s v="62955505405140"/>
    <m/>
    <x v="0"/>
    <n v="0"/>
    <n v="0"/>
    <m/>
    <m/>
    <m/>
    <m/>
    <m/>
    <m/>
    <m/>
    <m/>
    <m/>
    <m/>
    <m/>
  </r>
  <r>
    <s v="TRIFÁSICO"/>
    <s v="10/3054052-0"/>
    <n v="67996266684"/>
    <n v="62955505312487"/>
    <s v="energisa_ms"/>
    <s v="Igreja do Evangelho Quadrangular"/>
    <x v="3"/>
    <s v="10/452884-045778"/>
    <s v="SIM"/>
    <n v="0"/>
    <m/>
    <m/>
    <s v="Aprovado"/>
    <n v="0"/>
    <n v="0"/>
    <m/>
    <m/>
    <m/>
    <s v="sem crédito consumido"/>
    <s v="62955505312487"/>
    <m/>
    <x v="0"/>
    <n v="0"/>
    <n v="0"/>
    <m/>
    <m/>
    <m/>
    <m/>
    <m/>
    <m/>
    <m/>
    <m/>
    <m/>
    <m/>
    <m/>
  </r>
  <r>
    <s v="BIFÁSICO"/>
    <s v="10/1130988-7"/>
    <n v="67992637973"/>
    <n v="62955505040894"/>
    <s v="energisa_ms"/>
    <s v="Igreja do Evangelho Quadrangular"/>
    <x v="3"/>
    <s v="10/24514-245901"/>
    <s v="SIM"/>
    <n v="0"/>
    <m/>
    <m/>
    <s v="Aprovado"/>
    <n v="0"/>
    <n v="0"/>
    <m/>
    <m/>
    <m/>
    <s v="sem crédito consumido"/>
    <s v="62955505040894"/>
    <m/>
    <x v="0"/>
    <n v="0"/>
    <n v="0"/>
    <m/>
    <m/>
    <m/>
    <m/>
    <m/>
    <m/>
    <m/>
    <m/>
    <m/>
    <m/>
    <m/>
  </r>
  <r>
    <s v="BIFÁSICO"/>
    <s v="10/3040565-8"/>
    <n v="67996135721"/>
    <n v="62955505015431"/>
    <s v="energisa_ms"/>
    <s v="Igreja do Evangelho Quadrangular"/>
    <x v="3"/>
    <s v="10/202838-945809"/>
    <s v="SIM"/>
    <n v="0"/>
    <m/>
    <m/>
    <s v="Aprovado"/>
    <n v="0"/>
    <n v="0"/>
    <m/>
    <m/>
    <m/>
    <s v="sem crédito consumido"/>
    <s v="62955505015431"/>
    <m/>
    <x v="0"/>
    <n v="0"/>
    <n v="0"/>
    <m/>
    <m/>
    <m/>
    <m/>
    <m/>
    <m/>
    <m/>
    <m/>
    <m/>
    <m/>
    <m/>
  </r>
  <r>
    <s v="TRIFÁSICO"/>
    <s v="10/260761-2"/>
    <n v="67996150274"/>
    <n v="62955505000167"/>
    <s v="energisa_ms"/>
    <s v="Igreja do Evangelho Quadrangular"/>
    <x v="3"/>
    <s v="10/501586-245839"/>
    <s v="SIM"/>
    <n v="0"/>
    <m/>
    <m/>
    <s v="Aprovado"/>
    <n v="0"/>
    <n v="0"/>
    <m/>
    <m/>
    <m/>
    <s v="sem crédito consumido"/>
    <s v="62955505000167"/>
    <m/>
    <x v="0"/>
    <n v="0"/>
    <n v="0"/>
    <m/>
    <m/>
    <m/>
    <m/>
    <m/>
    <m/>
    <m/>
    <m/>
    <m/>
    <m/>
    <m/>
  </r>
  <r>
    <s v="TRIFÁSICO"/>
    <s v="10/908866-7"/>
    <n v="67992637973"/>
    <n v="62955505358630"/>
    <s v="energisa_ms"/>
    <s v="Igreja do Evangelho Quadrangular"/>
    <x v="3"/>
    <s v="10/987178-145839"/>
    <s v="SIM"/>
    <n v="0"/>
    <m/>
    <m/>
    <s v="Aprovado"/>
    <n v="0"/>
    <n v="0"/>
    <m/>
    <m/>
    <m/>
    <s v="sem crédito consumido"/>
    <s v="62955505358630"/>
    <m/>
    <x v="0"/>
    <n v="0"/>
    <n v="0"/>
    <m/>
    <m/>
    <m/>
    <m/>
    <m/>
    <m/>
    <m/>
    <m/>
    <m/>
    <m/>
    <m/>
  </r>
  <r>
    <s v="TRIFÁSICO"/>
    <s v="10/2794432-1"/>
    <n v="67991162146"/>
    <n v="62955505015199"/>
    <s v="energisa_ms"/>
    <s v="Igreja do Evangelho Quadrangular"/>
    <x v="1"/>
    <s v="10/280638-845870"/>
    <s v="SIM"/>
    <n v="0"/>
    <m/>
    <m/>
    <s v="Aprovado"/>
    <n v="0"/>
    <n v="0"/>
    <d v="2025-09-10T00:00:00"/>
    <d v="2025-09-20T00:00:00"/>
    <n v="0"/>
    <s v="Sem valor liberado para emissão"/>
    <s v="629555050151990"/>
    <m/>
    <x v="0"/>
    <m/>
    <n v="0"/>
    <m/>
    <m/>
    <m/>
    <m/>
    <m/>
    <m/>
    <m/>
    <m/>
    <m/>
    <m/>
    <m/>
  </r>
  <r>
    <s v="TRIFÁSICO"/>
    <s v="10/1433087-2"/>
    <s v=" 67 91285460"/>
    <n v="62955505419443"/>
    <s v="energisa_ms"/>
    <s v="Igreja do Evangelho Quadrangular"/>
    <x v="1"/>
    <s v="10/952579-145870"/>
    <s v="SIM"/>
    <n v="0"/>
    <m/>
    <m/>
    <s v="Aprovado"/>
    <n v="0"/>
    <n v="0"/>
    <d v="2025-09-10T00:00:00"/>
    <d v="2025-09-20T00:00:00"/>
    <n v="0"/>
    <s v="Sem valor liberado para emissão"/>
    <s v="629555054194430"/>
    <m/>
    <x v="0"/>
    <m/>
    <n v="0"/>
    <m/>
    <m/>
    <m/>
    <m/>
    <m/>
    <m/>
    <m/>
    <m/>
    <m/>
    <m/>
    <m/>
  </r>
  <r>
    <s v="TRIFÁSICO"/>
    <s v="10/162736-3"/>
    <n v="67996150274"/>
    <n v="62955505197360"/>
    <s v="energisa_ms"/>
    <s v="Igreja do Evangelho Quadrangular"/>
    <x v="1"/>
    <s v="10/341308-545809"/>
    <s v="SIM"/>
    <n v="0"/>
    <m/>
    <m/>
    <s v="Aprovado"/>
    <n v="0"/>
    <n v="0"/>
    <d v="2025-09-10T00:00:00"/>
    <d v="2025-09-20T00:00:00"/>
    <n v="0"/>
    <s v="Sem valor liberado para emissão"/>
    <s v="629555051973600"/>
    <m/>
    <x v="0"/>
    <m/>
    <n v="0"/>
    <m/>
    <m/>
    <m/>
    <m/>
    <m/>
    <m/>
    <m/>
    <m/>
    <m/>
    <m/>
    <m/>
  </r>
  <r>
    <n v="0"/>
    <s v="10/104720-8"/>
    <n v="67991767866"/>
    <n v="62955505091456"/>
    <s v="energisa_ms"/>
    <s v="Igreja do Evangelho Quadrangular"/>
    <x v="1"/>
    <s v="10/1117293-945748"/>
    <s v="SIM"/>
    <n v="0"/>
    <m/>
    <m/>
    <s v="Aprovado"/>
    <n v="0"/>
    <n v="0"/>
    <d v="2025-09-10T00:00:00"/>
    <d v="2025-09-20T00:00:00"/>
    <n v="0"/>
    <s v="Sem valor liberado para emissão"/>
    <s v="629555050914560"/>
    <m/>
    <x v="0"/>
    <m/>
    <n v="0"/>
    <m/>
    <m/>
    <m/>
    <m/>
    <m/>
    <m/>
    <m/>
    <m/>
    <m/>
    <m/>
    <m/>
  </r>
  <r>
    <s v="TRIFÁSICO"/>
    <s v="10/512142-1"/>
    <s v="67 81355403"/>
    <n v="62955505189340"/>
    <s v="energisa_ms"/>
    <s v="Igreja do Evangelho Quadrangular"/>
    <x v="1"/>
    <s v="10/24514-245809"/>
    <s v="SIM"/>
    <n v="0"/>
    <m/>
    <m/>
    <s v="Aprovado"/>
    <n v="0"/>
    <n v="0"/>
    <d v="2025-09-10T00:00:00"/>
    <d v="2025-09-20T00:00:00"/>
    <n v="0"/>
    <s v="Sem valor liberado para emissão"/>
    <s v="629555051893400"/>
    <m/>
    <x v="0"/>
    <m/>
    <n v="0"/>
    <m/>
    <m/>
    <m/>
    <m/>
    <m/>
    <m/>
    <m/>
    <m/>
    <m/>
    <m/>
    <m/>
  </r>
  <r>
    <s v="BIFÁSICO"/>
    <s v="10/31292-6"/>
    <n v="67996266684"/>
    <n v="62955505016080"/>
    <s v="energisa_ms"/>
    <s v="Igreja do Evangelho Quadrangular"/>
    <x v="1"/>
    <s v="10/257864-945778"/>
    <s v="SIM"/>
    <n v="0"/>
    <m/>
    <m/>
    <s v="Aprovado"/>
    <n v="0"/>
    <n v="0"/>
    <d v="2025-09-10T00:00:00"/>
    <d v="2025-09-20T00:00:00"/>
    <n v="0"/>
    <s v="Sem valor liberado para emissão"/>
    <s v="629555050160800"/>
    <m/>
    <x v="0"/>
    <m/>
    <n v="0"/>
    <m/>
    <m/>
    <m/>
    <m/>
    <m/>
    <m/>
    <m/>
    <m/>
    <m/>
    <m/>
    <m/>
  </r>
  <r>
    <s v="TRIFÁSICO"/>
    <s v="10/908866-7"/>
    <n v="67992637973"/>
    <n v="62955505358630"/>
    <s v="energisa_ms"/>
    <s v="Igreja do Evangelho Quadrangular"/>
    <x v="1"/>
    <s v="10/501586-245931"/>
    <s v="SIM"/>
    <n v="0"/>
    <m/>
    <m/>
    <s v="Aprovado"/>
    <n v="0"/>
    <n v="0"/>
    <d v="2025-09-10T00:00:00"/>
    <d v="2025-09-20T00:00:00"/>
    <n v="0"/>
    <s v="Sem valor liberado para emissão"/>
    <s v="629555053586300"/>
    <m/>
    <x v="0"/>
    <m/>
    <n v="0"/>
    <m/>
    <m/>
    <m/>
    <m/>
    <m/>
    <m/>
    <m/>
    <m/>
    <m/>
    <m/>
    <m/>
  </r>
  <r>
    <s v="TRIFÁSICO"/>
    <s v="10/505854-0"/>
    <n v="67996446178"/>
    <n v="62955505887382"/>
    <s v="energisa_ms"/>
    <s v="Igreja do Evangelho Quadrangular"/>
    <x v="1"/>
    <s v="10/237441-145748"/>
    <s v="SIM"/>
    <n v="0"/>
    <m/>
    <m/>
    <s v="Aprovado"/>
    <n v="0"/>
    <n v="0"/>
    <d v="2025-09-10T00:00:00"/>
    <d v="2025-09-20T00:00:00"/>
    <n v="0"/>
    <s v="Sem valor liberado para emissão"/>
    <s v="629555058873820"/>
    <m/>
    <x v="0"/>
    <m/>
    <n v="0"/>
    <m/>
    <m/>
    <m/>
    <m/>
    <m/>
    <m/>
    <m/>
    <m/>
    <m/>
    <m/>
    <m/>
  </r>
  <r>
    <s v="TRIFÁSICO"/>
    <s v="10/237441-1"/>
    <n v="67992637973"/>
    <n v="62955505017213"/>
    <s v="energisa_ms"/>
    <s v="Igreja do Evangelho Quadrangular"/>
    <x v="1"/>
    <s v="10/510330-445809"/>
    <s v="SIM"/>
    <n v="0"/>
    <m/>
    <m/>
    <s v="Aprovado"/>
    <n v="0"/>
    <n v="0"/>
    <d v="2025-09-10T00:00:00"/>
    <d v="2025-09-20T00:00:00"/>
    <n v="0"/>
    <s v="Sem valor liberado para emissão"/>
    <s v="629555050172130"/>
    <m/>
    <x v="0"/>
    <m/>
    <n v="0"/>
    <m/>
    <m/>
    <m/>
    <m/>
    <m/>
    <m/>
    <m/>
    <m/>
    <m/>
    <m/>
    <m/>
  </r>
  <r>
    <s v="TRIFÁSICO"/>
    <s v="10/135237-6"/>
    <n v="67996446178"/>
    <n v="62955505080098"/>
    <s v="energisa_ms"/>
    <s v="Igreja do Evangelho Quadrangular"/>
    <x v="1"/>
    <s v="10/1130988-745839"/>
    <s v="SIM"/>
    <n v="0"/>
    <m/>
    <m/>
    <s v="Aprovado"/>
    <n v="0"/>
    <n v="0"/>
    <d v="2025-09-10T00:00:00"/>
    <d v="2025-09-20T00:00:00"/>
    <n v="0"/>
    <s v="Sem valor liberado para emissão"/>
    <s v="629555050800980"/>
    <m/>
    <x v="0"/>
    <m/>
    <n v="0"/>
    <m/>
    <m/>
    <m/>
    <m/>
    <m/>
    <m/>
    <m/>
    <m/>
    <m/>
    <m/>
    <m/>
  </r>
  <r>
    <s v="TRIFÁSICO"/>
    <s v="10/3054052-0"/>
    <n v="67996266684"/>
    <n v="62955505312487"/>
    <s v="energisa_ms"/>
    <s v="Igreja do Evangelho Quadrangular"/>
    <x v="1"/>
    <s v="10/52987-545839"/>
    <s v="SIM"/>
    <n v="0"/>
    <m/>
    <m/>
    <s v="Não emitido"/>
    <n v="0"/>
    <n v="0"/>
    <m/>
    <m/>
    <n v="0"/>
    <m/>
    <s v="629555053124870"/>
    <e v="#N/A"/>
    <x v="0"/>
    <m/>
    <n v="0"/>
    <m/>
    <m/>
    <m/>
    <m/>
    <m/>
    <m/>
    <m/>
    <m/>
    <m/>
    <m/>
    <m/>
  </r>
  <r>
    <s v="TRIFÁSICO"/>
    <s v="10/162736-3"/>
    <s v="Inadimplência"/>
    <n v="62955505197360"/>
    <s v="energisa_ms"/>
    <s v="Igreja do Evangelho Quadrangular"/>
    <x v="2"/>
    <s v="10/218777-145839"/>
    <s v="SIM"/>
    <n v="0"/>
    <m/>
    <m/>
    <s v="Aprovado"/>
    <n v="0"/>
    <n v="0"/>
    <m/>
    <m/>
    <m/>
    <s v="Sem valor liberado para emissão"/>
    <s v="629555051973600"/>
    <e v="#N/A"/>
    <x v="0"/>
    <m/>
    <n v="0"/>
    <m/>
    <m/>
    <m/>
    <m/>
    <m/>
    <m/>
    <m/>
    <m/>
    <m/>
    <m/>
    <m/>
  </r>
  <r>
    <s v="TRIFÁSICO"/>
    <s v="10/135237-6"/>
    <n v="0"/>
    <n v="62955505080098"/>
    <s v="energisa_ms"/>
    <s v="Igreja do Evangelho Quadrangular"/>
    <x v="2"/>
    <s v="10/3054052-045778"/>
    <s v="SIM"/>
    <n v="0"/>
    <m/>
    <m/>
    <s v="Aprovado"/>
    <n v="0"/>
    <n v="0"/>
    <m/>
    <m/>
    <m/>
    <s v="Sem valor liberado para emissão"/>
    <s v="629555050800980"/>
    <e v="#N/A"/>
    <x v="0"/>
    <m/>
    <n v="0"/>
    <m/>
    <m/>
    <m/>
    <m/>
    <m/>
    <m/>
    <m/>
    <m/>
    <m/>
    <m/>
    <m/>
  </r>
  <r>
    <s v="TRIFÁSICO"/>
    <s v="10/237441-1"/>
    <n v="0"/>
    <n v="62955505017213"/>
    <s v="energisa_ms"/>
    <s v="Igreja do Evangelho Quadrangular"/>
    <x v="2"/>
    <s v="10/501586-245901"/>
    <s v="SIM"/>
    <n v="0"/>
    <m/>
    <m/>
    <s v="Aprovado"/>
    <n v="0"/>
    <n v="0"/>
    <m/>
    <m/>
    <m/>
    <s v="Sem valor liberado para emissão"/>
    <s v="629555050172130"/>
    <e v="#N/A"/>
    <x v="0"/>
    <m/>
    <n v="0"/>
    <m/>
    <m/>
    <m/>
    <m/>
    <m/>
    <m/>
    <m/>
    <m/>
    <m/>
    <m/>
    <m/>
  </r>
  <r>
    <s v="TRIFÁSICO"/>
    <s v="10/512142-1"/>
    <s v="Solicitação de distrato"/>
    <n v="62955505189340"/>
    <s v="energisa_ms"/>
    <s v="Igreja do Evangelho Quadrangular"/>
    <x v="2"/>
    <s v="10/156956-545627"/>
    <s v="SIM"/>
    <n v="0"/>
    <m/>
    <m/>
    <s v="Não emitido"/>
    <n v="0"/>
    <n v="0"/>
    <m/>
    <m/>
    <m/>
    <s v="Sem valor liberado para emissão"/>
    <s v="629555051893400"/>
    <e v="#N/A"/>
    <x v="0"/>
    <m/>
    <n v="0"/>
    <m/>
    <m/>
    <m/>
    <m/>
    <m/>
    <m/>
    <m/>
    <m/>
    <m/>
    <m/>
    <m/>
  </r>
  <r>
    <s v="BIFÁSICO"/>
    <s v="10/31292-6"/>
    <s v="Solicitação de distrato"/>
    <n v="62955505016080"/>
    <s v="energisa_ms"/>
    <s v="Igreja do Evangelho Quadrangular"/>
    <x v="2"/>
    <s v="10/1698130-045627"/>
    <s v="SIM"/>
    <n v="0"/>
    <m/>
    <m/>
    <s v="Não emitido"/>
    <n v="0"/>
    <n v="0"/>
    <m/>
    <m/>
    <m/>
    <s v="Sem valor liberado para emissão"/>
    <s v="629555050160800"/>
    <e v="#N/A"/>
    <x v="0"/>
    <m/>
    <n v="0"/>
    <m/>
    <m/>
    <m/>
    <m/>
    <m/>
    <m/>
    <m/>
    <m/>
    <m/>
    <m/>
    <m/>
  </r>
  <r>
    <e v="#N/A"/>
    <s v="10/925970-6"/>
    <e v="#N/A"/>
    <s v="#ND"/>
    <s v="energisa_ms"/>
    <s v="Igreja do Evangelho Quadrangular"/>
    <x v="2"/>
    <s v="10/1939035-045627"/>
    <s v="SIM"/>
    <n v="0"/>
    <m/>
    <m/>
    <s v="Não emitido"/>
    <n v="0"/>
    <n v="0"/>
    <m/>
    <m/>
    <m/>
    <s v="Sem valor liberado para emissão"/>
    <s v="#ND0"/>
    <e v="#N/A"/>
    <x v="0"/>
    <m/>
    <n v="0"/>
    <m/>
    <m/>
    <m/>
    <m/>
    <m/>
    <m/>
    <m/>
    <m/>
    <m/>
    <m/>
    <m/>
  </r>
  <r>
    <s v="TRIFÁSICO"/>
    <s v="10/505854-0"/>
    <n v="0"/>
    <n v="62955505887382"/>
    <s v="energisa_ms"/>
    <s v="Igreja do Evangelho Quadrangular"/>
    <x v="2"/>
    <s v="10/218777-145627"/>
    <s v="SIM"/>
    <n v="0"/>
    <m/>
    <m/>
    <s v="Não emitido"/>
    <n v="0"/>
    <n v="0"/>
    <m/>
    <m/>
    <m/>
    <s v="Sem valor liberado para emissão"/>
    <s v="629555058873820"/>
    <e v="#N/A"/>
    <x v="0"/>
    <m/>
    <n v="0"/>
    <m/>
    <m/>
    <m/>
    <m/>
    <m/>
    <m/>
    <m/>
    <m/>
    <m/>
    <m/>
    <m/>
  </r>
  <r>
    <s v="TRIFÁSICO"/>
    <s v="10/3054052-0"/>
    <n v="0"/>
    <n v="62955505312487"/>
    <s v="energisa_ms"/>
    <s v="Igreja do Evangelho Quadrangular"/>
    <x v="2"/>
    <s v="10/237441-145627"/>
    <s v="SIM"/>
    <n v="0"/>
    <m/>
    <m/>
    <s v="Não emitido"/>
    <n v="0"/>
    <n v="0"/>
    <m/>
    <m/>
    <m/>
    <s v="Sem valor liberado para emissão"/>
    <s v="629555053124870"/>
    <e v="#N/A"/>
    <x v="0"/>
    <m/>
    <n v="0"/>
    <m/>
    <m/>
    <m/>
    <m/>
    <m/>
    <m/>
    <m/>
    <m/>
    <m/>
    <m/>
    <m/>
  </r>
  <r>
    <s v="TRIFÁSICO"/>
    <s v="10/908866-7"/>
    <n v="0"/>
    <n v="62955505358630"/>
    <s v="energisa_ms"/>
    <s v="Igreja do Evangelho Quadrangular"/>
    <x v="2"/>
    <s v="10/257864-945627"/>
    <s v="SIM"/>
    <n v="0"/>
    <m/>
    <m/>
    <s v="Não emitido"/>
    <n v="0"/>
    <n v="0"/>
    <m/>
    <m/>
    <m/>
    <s v="Sem valor liberado para emissão"/>
    <s v="629555053586300"/>
    <e v="#N/A"/>
    <x v="0"/>
    <m/>
    <n v="0"/>
    <m/>
    <m/>
    <m/>
    <m/>
    <m/>
    <m/>
    <m/>
    <m/>
    <m/>
    <m/>
    <m/>
  </r>
  <r>
    <s v="BIFÁSICO"/>
    <s v="10/452884-0"/>
    <n v="0"/>
    <n v="62955505000167"/>
    <s v="energisa_ms"/>
    <s v="Igreja do Evangelho Quadrangular"/>
    <x v="0"/>
    <s v="10/3005226-045658"/>
    <s v="SIM"/>
    <n v="59"/>
    <m/>
    <m/>
    <s v="Não emitido"/>
    <n v="-27.363600000000005"/>
    <n v="0"/>
    <m/>
    <m/>
    <m/>
    <s v="Sem valor liberado para emissão"/>
    <s v="629555050001670"/>
    <m/>
    <x v="0"/>
    <m/>
    <n v="0"/>
    <m/>
    <m/>
    <m/>
    <m/>
    <m/>
    <m/>
    <m/>
    <m/>
    <m/>
    <m/>
    <m/>
  </r>
  <r>
    <s v="TRIFÁSICO"/>
    <s v="10/1184751-4"/>
    <n v="0"/>
    <n v="62955505149047"/>
    <s v="energisa_ms"/>
    <s v="Igreja do Evangelho Quadrangular"/>
    <x v="0"/>
    <s v="10/150263-245658"/>
    <s v="SIM"/>
    <n v="73"/>
    <m/>
    <m/>
    <s v="Não emitido"/>
    <n v="-58.626499999999993"/>
    <n v="0"/>
    <m/>
    <m/>
    <m/>
    <s v="Sem valor liberado para emissão"/>
    <s v="629555051490470"/>
    <m/>
    <x v="0"/>
    <m/>
    <n v="0"/>
    <m/>
    <m/>
    <m/>
    <m/>
    <m/>
    <m/>
    <m/>
    <m/>
    <m/>
    <m/>
    <m/>
  </r>
  <r>
    <s v="BIFÁSICO"/>
    <s v="10/175073-6"/>
    <n v="0"/>
    <n v="62955505134449"/>
    <s v="energisa_ms"/>
    <s v="Igreja do Evangelho Quadrangular"/>
    <x v="0"/>
    <s v="10/480529-745717"/>
    <s v="SIM"/>
    <n v="37"/>
    <m/>
    <m/>
    <s v="Não emitido"/>
    <n v="-68.366918181818193"/>
    <n v="0"/>
    <m/>
    <m/>
    <m/>
    <s v="Sem valor liberado para emissão"/>
    <s v="629555051344490"/>
    <m/>
    <x v="0"/>
    <m/>
    <n v="0"/>
    <m/>
    <m/>
    <m/>
    <m/>
    <m/>
    <m/>
    <m/>
    <m/>
    <m/>
    <m/>
    <m/>
  </r>
  <r>
    <s v="TRIFÁSICO"/>
    <s v="10/3054052-0"/>
    <n v="67996266684"/>
    <n v="62955505312487"/>
    <s v="energisa_ms"/>
    <s v="Igreja do Evangelho Quadrangular"/>
    <x v="11"/>
    <s v="10/1184751-445901"/>
    <s v="SIM"/>
    <n v="0"/>
    <m/>
    <m/>
    <s v="Não emitido"/>
    <n v="-1E-10"/>
    <n v="0"/>
    <s v="-"/>
    <s v="-"/>
    <s v="-"/>
    <s v="valor zerado"/>
    <s v="62955505312487-"/>
    <e v="#N/A"/>
    <x v="0"/>
    <m/>
    <n v="0"/>
    <m/>
    <m/>
    <m/>
    <m/>
    <m/>
    <m/>
    <m/>
    <m/>
    <m/>
    <m/>
    <m/>
  </r>
  <r>
    <s v="TRIFÁSICO"/>
    <s v="10/505854-0"/>
    <n v="67996446178"/>
    <n v="62955505887382"/>
    <s v="energisa_ms"/>
    <s v="Igreja do Evangelho Quadrangular"/>
    <x v="12"/>
    <s v="10/175073-645901"/>
    <s v="SIM"/>
    <n v="0"/>
    <m/>
    <m/>
    <s v="Não emitido"/>
    <n v="-1E-10"/>
    <n v="0"/>
    <s v="-"/>
    <s v="-"/>
    <s v="-"/>
    <s v="valor zerado"/>
    <s v="62955505887382-"/>
    <e v="#N/A"/>
    <x v="0"/>
    <m/>
    <n v="0"/>
    <m/>
    <m/>
    <m/>
    <m/>
    <m/>
    <m/>
    <m/>
    <m/>
    <m/>
    <m/>
    <m/>
  </r>
  <r>
    <s v="TRIFÁSICO"/>
    <s v="10/8777-5"/>
    <s v="67 992319530"/>
    <n v="62955505122432"/>
    <s v="energisa_ms"/>
    <s v="Igreja do Evangelho Quadrangular"/>
    <x v="13"/>
    <s v="10/3054052-045932"/>
    <s v="SIM"/>
    <n v="0"/>
    <m/>
    <m/>
    <s v="Não emitido"/>
    <n v="0"/>
    <n v="0"/>
    <s v="-"/>
    <s v="-"/>
    <s v="-"/>
    <s v="valor zerado"/>
    <s v="62955505122432-"/>
    <e v="#N/A"/>
    <x v="0"/>
    <m/>
    <n v="0"/>
    <m/>
    <m/>
    <m/>
    <m/>
    <m/>
    <m/>
    <m/>
    <m/>
    <m/>
    <m/>
    <m/>
  </r>
  <r>
    <e v="#N/A"/>
    <s v="10/10731-8"/>
    <e v="#N/A"/>
    <s v="#ND"/>
    <s v="energisa_ms"/>
    <s v="Igreja do Evangelho Quadrangular"/>
    <x v="14"/>
    <s v="10/505854-045933"/>
    <s v="SIM"/>
    <n v="0"/>
    <m/>
    <m/>
    <s v="Não emitido"/>
    <n v="0"/>
    <n v="0"/>
    <s v="-"/>
    <s v="-"/>
    <s v="-"/>
    <s v="valor zerado"/>
    <s v="#ND-"/>
    <e v="#N/A"/>
    <x v="0"/>
    <m/>
    <n v="0"/>
    <m/>
    <m/>
    <m/>
    <m/>
    <m/>
    <m/>
    <m/>
    <m/>
    <m/>
    <m/>
    <m/>
  </r>
  <r>
    <s v="BIFÁSICO"/>
    <s v="10/40190-1"/>
    <n v="67996859014"/>
    <n v="62955505177504"/>
    <s v="energisa_ms"/>
    <s v="Igreja do Evangelho Quadrangular"/>
    <x v="15"/>
    <s v="10/8777-545934"/>
    <s v="SIM"/>
    <n v="0"/>
    <m/>
    <m/>
    <s v="Não emitido"/>
    <n v="0"/>
    <n v="0"/>
    <s v="-"/>
    <s v="-"/>
    <s v="-"/>
    <s v="valor zerado"/>
    <s v="62955505177504-"/>
    <e v="#N/A"/>
    <x v="0"/>
    <m/>
    <n v="0"/>
    <m/>
    <m/>
    <m/>
    <m/>
    <m/>
    <m/>
    <m/>
    <m/>
    <m/>
    <m/>
    <m/>
  </r>
  <r>
    <e v="#N/A"/>
    <s v="10/2338577-6"/>
    <e v="#N/A"/>
    <s v="#ND"/>
    <s v="energisa_ms"/>
    <s v="Igreja do Evangelho Quadrangular"/>
    <x v="16"/>
    <s v="10/10731-845935"/>
    <s v="SIM"/>
    <n v="0"/>
    <m/>
    <m/>
    <s v="Não emitido"/>
    <n v="0"/>
    <n v="0"/>
    <s v="-"/>
    <s v="-"/>
    <s v="-"/>
    <s v="valor zerado"/>
    <s v="#ND-"/>
    <e v="#N/A"/>
    <x v="0"/>
    <m/>
    <n v="0"/>
    <m/>
    <m/>
    <m/>
    <m/>
    <m/>
    <m/>
    <m/>
    <m/>
    <m/>
    <m/>
    <m/>
  </r>
  <r>
    <s v="TRIFÁSICO"/>
    <s v="10/512142-1"/>
    <s v="67 81355403"/>
    <n v="62955505189340"/>
    <s v="energisa_ms"/>
    <s v="Igreja do Evangelho Quadrangular"/>
    <x v="17"/>
    <s v="10/40190-145936"/>
    <s v="SIM"/>
    <n v="0"/>
    <m/>
    <m/>
    <s v="Não emitido"/>
    <n v="-1E-10"/>
    <n v="0"/>
    <s v="-"/>
    <s v="-"/>
    <s v="-"/>
    <s v="valor zerado"/>
    <s v="62955505189340-"/>
    <e v="#N/A"/>
    <x v="0"/>
    <m/>
    <n v="0"/>
    <m/>
    <m/>
    <m/>
    <m/>
    <m/>
    <m/>
    <m/>
    <m/>
    <m/>
    <m/>
    <m/>
  </r>
  <r>
    <e v="#N/A"/>
    <s v="10/2344751-9"/>
    <e v="#N/A"/>
    <s v="#ND"/>
    <s v="energisa_ms"/>
    <s v="Igreja do Evangelho Quadrangular"/>
    <x v="18"/>
    <s v="10/2338577-645937"/>
    <s v="SIM"/>
    <n v="0"/>
    <m/>
    <m/>
    <s v="Não emitido"/>
    <n v="0"/>
    <n v="0"/>
    <s v="-"/>
    <s v="-"/>
    <s v="-"/>
    <s v="valor zerado"/>
    <s v="#ND-"/>
    <e v="#N/A"/>
    <x v="0"/>
    <m/>
    <n v="0"/>
    <m/>
    <m/>
    <m/>
    <m/>
    <m/>
    <m/>
    <m/>
    <m/>
    <m/>
    <m/>
    <m/>
  </r>
  <r>
    <s v="BIFÁSICO"/>
    <s v="10/31292-6"/>
    <n v="67996266684"/>
    <n v="62955505016080"/>
    <s v="energisa_ms"/>
    <s v="Igreja do Evangelho Quadrangular"/>
    <x v="19"/>
    <s v="10/512142-145938"/>
    <s v="SIM"/>
    <n v="0"/>
    <m/>
    <m/>
    <s v="Não emitido"/>
    <n v="-1E-10"/>
    <n v="0"/>
    <s v="-"/>
    <s v="-"/>
    <s v="-"/>
    <s v="valor zerado"/>
    <s v="62955505016080-"/>
    <e v="#N/A"/>
    <x v="0"/>
    <m/>
    <n v="0"/>
    <m/>
    <m/>
    <m/>
    <m/>
    <m/>
    <m/>
    <m/>
    <m/>
    <m/>
    <m/>
    <m/>
  </r>
  <r>
    <s v="TRIFÁSICO"/>
    <s v="10/364440-8"/>
    <n v="67991120875"/>
    <s v="62.955.505/0151-99"/>
    <s v="energisa_ms"/>
    <s v="Igreja do Evangelho Quadrangular"/>
    <x v="20"/>
    <m/>
    <s v="SIM"/>
    <n v="2564"/>
    <n v="3230.6968000000002"/>
    <n v="2577.7171720000006"/>
    <s v="Aprovado"/>
    <n v="3109.4267999999997"/>
    <n v="2456.4499999999998"/>
    <d v="2025-12-05T00:00:00"/>
    <d v="2025-12-15T00:00:00"/>
    <n v="2456.4499999999998"/>
    <m/>
    <m/>
    <m/>
    <x v="1"/>
    <n v="2456.4499999999998"/>
    <m/>
    <d v="2025-12-15T00:00:00"/>
    <m/>
    <m/>
    <m/>
    <m/>
    <m/>
    <m/>
    <m/>
    <m/>
    <m/>
    <m/>
  </r>
  <r>
    <s v="TRIFÁSICO"/>
    <s v="10/5202-7"/>
    <s v="67 996469842"/>
    <s v="62.955.505/0161-60"/>
    <s v="energisa_ms"/>
    <s v="Igreja do Evangelho Quadrangular"/>
    <x v="20"/>
    <m/>
    <s v="SIM"/>
    <n v="2085"/>
    <n v="2909.4491581353736"/>
    <n v="2378.4832349269454"/>
    <s v="Aprovado"/>
    <n v="2528.4091581353741"/>
    <n v="1997.44"/>
    <d v="2025-12-05T00:00:00"/>
    <d v="2025-12-15T00:00:00"/>
    <n v="1997.44"/>
    <m/>
    <m/>
    <m/>
    <x v="1"/>
    <n v="1997.44"/>
    <m/>
    <d v="2025-12-15T00:00:00"/>
    <m/>
    <m/>
    <m/>
    <m/>
    <m/>
    <m/>
    <m/>
    <m/>
    <m/>
    <m/>
  </r>
  <r>
    <s v="TRIFÁSICO"/>
    <s v="10/1695011-5"/>
    <n v="67991767866"/>
    <s v="62.955.505/4612-10"/>
    <s v="energisa_ms"/>
    <s v="Igreja do Evangelho Quadrangular"/>
    <x v="20"/>
    <m/>
    <s v="SIM"/>
    <n v="753"/>
    <n v="1160.7311"/>
    <n v="968.96516899999995"/>
    <s v="Aprovado"/>
    <n v="960.6810999999999"/>
    <n v="845.34"/>
    <d v="2025-12-08T00:00:00"/>
    <d v="2025-12-18T00:00:00"/>
    <n v="845.34"/>
    <m/>
    <m/>
    <m/>
    <x v="1"/>
    <n v="845.34"/>
    <m/>
    <d v="2025-12-15T00:00:00"/>
    <m/>
    <m/>
    <m/>
    <m/>
    <m/>
    <m/>
    <m/>
    <m/>
    <m/>
    <m/>
  </r>
  <r>
    <s v="TRIFÁSICO"/>
    <s v="10/18015-8"/>
    <n v="67996266684"/>
    <s v="62.955.505/0160-80"/>
    <s v="energisa_ms"/>
    <s v="Igreja do Evangelho Quadrangular"/>
    <x v="20"/>
    <m/>
    <s v="SIM"/>
    <n v="972"/>
    <n v="1303.2263999999998"/>
    <n v="1055.6854559999997"/>
    <s v="Aprovado"/>
    <n v="1178.7664"/>
    <n v="931.23"/>
    <d v="2025-12-08T00:00:00"/>
    <d v="2025-12-18T00:00:00"/>
    <n v="931.23"/>
    <m/>
    <m/>
    <m/>
    <x v="5"/>
    <m/>
    <m/>
    <m/>
    <m/>
    <m/>
    <m/>
    <m/>
    <m/>
    <m/>
    <m/>
    <m/>
    <m/>
    <m/>
  </r>
  <r>
    <s v="TRIFÁSICO"/>
    <s v="10/2605731-5"/>
    <n v="67992637973"/>
    <s v="62.955.505/0172-13"/>
    <s v="energisa_ms"/>
    <s v="Igreja do Evangelho Quadrangular"/>
    <x v="20"/>
    <m/>
    <s v="SIM"/>
    <n v="991"/>
    <n v="1434.1016999999999"/>
    <n v="1181.7233430000001"/>
    <s v="Aprovado"/>
    <n v="1201.8017"/>
    <n v="949.42"/>
    <d v="2025-12-08T00:00:00"/>
    <d v="2025-12-18T00:00:00"/>
    <n v="949.42"/>
    <m/>
    <m/>
    <m/>
    <x v="1"/>
    <n v="949.42"/>
    <m/>
    <d v="2025-12-15T00:00:00"/>
    <m/>
    <m/>
    <m/>
    <m/>
    <m/>
    <m/>
    <m/>
    <m/>
    <m/>
    <m/>
  </r>
  <r>
    <s v="TRIFÁSICO"/>
    <s v="10/202838-9"/>
    <n v="67992637973"/>
    <s v="62.955.505/0164-03"/>
    <s v="energisa_ms"/>
    <s v="Igreja do Evangelho Quadrangular"/>
    <x v="20"/>
    <m/>
    <s v="SIM"/>
    <n v="700"/>
    <n v="1156.1300000000001"/>
    <n v="977.86310000000014"/>
    <s v="Aprovado"/>
    <n v="848.79000000000019"/>
    <n v="670.52"/>
    <d v="2025-12-05T00:00:00"/>
    <d v="2025-12-15T00:00:00"/>
    <n v="670.52"/>
    <m/>
    <m/>
    <m/>
    <x v="1"/>
    <n v="670.52"/>
    <m/>
    <d v="2025-12-15T00:00:00"/>
    <m/>
    <m/>
    <m/>
    <m/>
    <m/>
    <m/>
    <m/>
    <m/>
    <m/>
    <m/>
  </r>
  <r>
    <s v="TRIFÁSICO"/>
    <s v="10/191945-5"/>
    <s v="67 81355403"/>
    <s v="62.955.505/2157-91"/>
    <s v="energisa_ms"/>
    <s v="Igreja do Evangelho Quadrangular"/>
    <x v="20"/>
    <m/>
    <s v="SIM"/>
    <n v="589"/>
    <n v="961.43319999999994"/>
    <n v="811.42112799999995"/>
    <s v="Aprovado"/>
    <n v="714.34320000000002"/>
    <n v="564.33000000000004"/>
    <d v="2025-12-08T00:00:00"/>
    <d v="2025-12-18T00:00:00"/>
    <n v="564.33000000000004"/>
    <m/>
    <m/>
    <m/>
    <x v="1"/>
    <n v="564.33000000000004"/>
    <m/>
    <d v="2025-12-11T00:00:00"/>
    <m/>
    <m/>
    <m/>
    <m/>
    <m/>
    <m/>
    <m/>
    <m/>
    <m/>
    <m/>
  </r>
  <r>
    <s v="TRIFÁSICO"/>
    <s v="10/2794432-1"/>
    <n v="67991162146"/>
    <s v="62.955.505/0151-99"/>
    <s v="energisa_ms"/>
    <s v="Igreja do Evangelho Quadrangular"/>
    <x v="20"/>
    <m/>
    <s v="SIM"/>
    <n v="387"/>
    <n v="593.3569"/>
    <n v="494.80035100000003"/>
    <s v="Aprovado"/>
    <n v="469.31690000000003"/>
    <n v="370.76"/>
    <d v="2025-12-08T00:00:00"/>
    <d v="2025-12-18T00:00:00"/>
    <n v="370.76"/>
    <m/>
    <m/>
    <m/>
    <x v="5"/>
    <m/>
    <m/>
    <m/>
    <m/>
    <m/>
    <m/>
    <m/>
    <m/>
    <m/>
    <m/>
    <m/>
    <m/>
    <m/>
  </r>
  <r>
    <s v="TRIFÁSICO"/>
    <s v="10/29964-4"/>
    <n v="67996266684"/>
    <s v="62.955.505/0676-60"/>
    <s v="energisa_ms"/>
    <s v="Igreja do Evangelho Quadrangular"/>
    <x v="20"/>
    <m/>
    <s v="SIM"/>
    <n v="552"/>
    <n v="794.22759999999994"/>
    <n v="653.6394039999999"/>
    <s v="Aprovado"/>
    <n v="669.46760000000006"/>
    <n v="528.88"/>
    <d v="2025-12-05T00:00:00"/>
    <d v="2025-12-15T00:00:00"/>
    <n v="528.88"/>
    <m/>
    <m/>
    <m/>
    <x v="5"/>
    <m/>
    <m/>
    <m/>
    <m/>
    <m/>
    <m/>
    <m/>
    <m/>
    <m/>
    <m/>
    <m/>
    <m/>
    <m/>
  </r>
  <r>
    <s v="TRIFÁSICO"/>
    <s v="10/2599101-9"/>
    <n v="67991120875"/>
    <s v="62.955.505/3793-95"/>
    <s v="energisa_ms"/>
    <s v="Igreja do Evangelho Quadrangular"/>
    <x v="20"/>
    <m/>
    <s v="SIM"/>
    <n v="909"/>
    <n v="1745.6048863636363"/>
    <n v="1514.1166602272729"/>
    <s v="Aprovado"/>
    <n v="1102.3248863636363"/>
    <n v="870.84"/>
    <d v="2025-12-05T00:00:00"/>
    <d v="2025-12-15T00:00:00"/>
    <n v="870.84"/>
    <m/>
    <m/>
    <m/>
    <x v="1"/>
    <n v="870.84"/>
    <m/>
    <d v="2025-12-15T00:00:00"/>
    <m/>
    <m/>
    <m/>
    <m/>
    <m/>
    <m/>
    <m/>
    <m/>
    <m/>
    <m/>
  </r>
  <r>
    <s v="TRIFÁSICO"/>
    <s v="10/3030784-7"/>
    <n v="67996266684"/>
    <s v="62.955.505/0160-80"/>
    <s v="energisa_ms"/>
    <s v="Igreja do Evangelho Quadrangular"/>
    <x v="20"/>
    <m/>
    <s v="SIM"/>
    <n v="401"/>
    <n v="618.70870000000002"/>
    <n v="516.58597300000008"/>
    <s v="Aprovado"/>
    <n v="486.29869999999994"/>
    <n v="384.18"/>
    <d v="2025-12-05T00:00:00"/>
    <d v="2025-12-15T00:00:00"/>
    <n v="384.18"/>
    <m/>
    <m/>
    <m/>
    <x v="1"/>
    <n v="384.18"/>
    <m/>
    <d v="2025-12-08T00:00:00"/>
    <m/>
    <m/>
    <m/>
    <m/>
    <m/>
    <m/>
    <m/>
    <m/>
    <m/>
    <m/>
  </r>
  <r>
    <s v="TRIFÁSICO"/>
    <s v="10/1672452-8"/>
    <n v="67992637973"/>
    <s v="62.955.505/0172-13"/>
    <s v="energisa_ms"/>
    <s v="Igreja do Evangelho Quadrangular"/>
    <x v="20"/>
    <m/>
    <s v="SIM"/>
    <n v="260"/>
    <n v="482.24599999999992"/>
    <n v="416.03804000000002"/>
    <s v="Aprovado"/>
    <n v="315.13600000000002"/>
    <n v="248.93"/>
    <d v="2025-12-05T00:00:00"/>
    <d v="2025-12-15T00:00:00"/>
    <n v="248.93"/>
    <m/>
    <m/>
    <m/>
    <x v="1"/>
    <n v="248.93"/>
    <m/>
    <d v="2025-12-15T00:00:00"/>
    <m/>
    <m/>
    <m/>
    <m/>
    <m/>
    <m/>
    <m/>
    <m/>
    <m/>
    <m/>
  </r>
  <r>
    <s v="TRIFÁSICO"/>
    <s v="10/510330-4"/>
    <n v="67992637973"/>
    <s v="62.955.505/3671-17"/>
    <s v="energisa_ms"/>
    <s v="Igreja do Evangelho Quadrangular"/>
    <x v="20"/>
    <m/>
    <s v="SIM"/>
    <n v="396"/>
    <n v="682.15480000000002"/>
    <n v="581.29709200000002"/>
    <s v="Aprovado"/>
    <n v="480.14480000000003"/>
    <n v="379.29"/>
    <d v="2025-12-05T00:00:00"/>
    <d v="2025-12-15T00:00:00"/>
    <n v="379.29"/>
    <m/>
    <m/>
    <m/>
    <x v="5"/>
    <m/>
    <m/>
    <m/>
    <m/>
    <m/>
    <m/>
    <m/>
    <m/>
    <m/>
    <m/>
    <m/>
    <m/>
    <m/>
  </r>
  <r>
    <s v="TRIFÁSICO"/>
    <s v="10/3092868-3"/>
    <s v="67 9967-7090"/>
    <s v="62.955.505/4194-43"/>
    <s v="energisa_ms"/>
    <s v="Igreja do Evangelho Quadrangular"/>
    <x v="20"/>
    <m/>
    <s v="SIM"/>
    <n v="270"/>
    <n v="448.73600000000005"/>
    <n v="379.97024000000005"/>
    <s v="Aprovado"/>
    <n v="327.45600000000002"/>
    <n v="258.69"/>
    <d v="2025-12-05T00:00:00"/>
    <d v="2025-12-15T00:00:00"/>
    <n v="258.69"/>
    <m/>
    <m/>
    <m/>
    <x v="5"/>
    <m/>
    <m/>
    <m/>
    <m/>
    <m/>
    <m/>
    <m/>
    <m/>
    <m/>
    <m/>
    <m/>
    <m/>
    <m/>
  </r>
  <r>
    <s v="TRIFÁSICO"/>
    <s v="10/1184751-4"/>
    <s v="67 96034976"/>
    <s v="62.955.505/1490-47"/>
    <s v="energisa_ms"/>
    <s v="Igreja do Evangelho Quadrangular"/>
    <x v="20"/>
    <m/>
    <s v="SIM"/>
    <n v="189"/>
    <n v="409.98430000000002"/>
    <n v="361.85139700000002"/>
    <s v="Aprovado"/>
    <n v="229.20430000000002"/>
    <n v="181.07"/>
    <d v="2025-12-05T00:00:00"/>
    <d v="2025-12-15T00:00:00"/>
    <n v="181.07"/>
    <m/>
    <m/>
    <m/>
    <x v="1"/>
    <n v="181.07"/>
    <m/>
    <d v="2025-12-15T00:00:00"/>
    <m/>
    <m/>
    <m/>
    <m/>
    <m/>
    <m/>
    <m/>
    <m/>
    <m/>
    <m/>
  </r>
  <r>
    <s v="BIFÁSICO"/>
    <s v="10/1939035-0"/>
    <s v=" 67 91285460"/>
    <s v="62.955.505/4194-43"/>
    <s v="energisa_ms"/>
    <s v="Igreja do Evangelho Quadrangular"/>
    <x v="20"/>
    <m/>
    <s v="SIM"/>
    <n v="257"/>
    <n v="408.115306122449"/>
    <n v="342.86299183673475"/>
    <s v="Aprovado"/>
    <n v="309.77530612244902"/>
    <n v="244.52"/>
    <d v="2025-12-05T00:00:00"/>
    <d v="2025-12-15T00:00:00"/>
    <n v="244.52"/>
    <m/>
    <m/>
    <m/>
    <x v="1"/>
    <n v="244.52"/>
    <m/>
    <d v="2025-12-15T00:00:00"/>
    <m/>
    <m/>
    <m/>
    <m/>
    <m/>
    <m/>
    <m/>
    <m/>
    <m/>
    <m/>
  </r>
  <r>
    <s v="BIFÁSICO"/>
    <s v="10/1017804-4"/>
    <n v="6792157907"/>
    <s v="62.955.505/8789-87"/>
    <s v="energisa_ms"/>
    <s v="Igreja do Evangelho Quadrangular"/>
    <x v="20"/>
    <m/>
    <s v="SIM"/>
    <n v="184"/>
    <n v="371.89920000000006"/>
    <n v="325.037868"/>
    <s v="Aprovado"/>
    <n v="223.14920000000004"/>
    <n v="176.29"/>
    <d v="2025-12-08T00:00:00"/>
    <d v="2025-12-18T00:00:00"/>
    <n v="176.29"/>
    <m/>
    <m/>
    <m/>
    <x v="5"/>
    <m/>
    <m/>
    <m/>
    <m/>
    <m/>
    <m/>
    <m/>
    <m/>
    <m/>
    <m/>
    <m/>
    <m/>
    <m/>
  </r>
  <r>
    <s v="TRIFÁSICO"/>
    <s v="10/532081-7"/>
    <s v="67 992321318"/>
    <s v="62.955.505/1935-34"/>
    <s v="energisa_ms"/>
    <s v="Igreja do Evangelho Quadrangular"/>
    <x v="20"/>
    <m/>
    <s v="SIM"/>
    <n v="182"/>
    <n v="404.36340000000001"/>
    <n v="358.01568600000002"/>
    <s v="Aprovado"/>
    <n v="221.60340000000002"/>
    <n v="175.26"/>
    <d v="2025-12-05T00:00:00"/>
    <d v="2025-12-15T00:00:00"/>
    <n v="175.26"/>
    <m/>
    <m/>
    <m/>
    <x v="1"/>
    <n v="175.26"/>
    <m/>
    <d v="2025-12-15T00:00:00"/>
    <m/>
    <m/>
    <m/>
    <m/>
    <m/>
    <m/>
    <m/>
    <m/>
    <m/>
    <m/>
  </r>
  <r>
    <s v="BIFÁSICO"/>
    <s v="10/452884-0"/>
    <s v="67 996469842"/>
    <s v="62.955.505/0001-67"/>
    <s v="energisa_ms"/>
    <s v="Igreja do Evangelho Quadrangular"/>
    <x v="20"/>
    <m/>
    <s v="SIM"/>
    <n v="44"/>
    <n v="115.60839999999999"/>
    <n v="104.405236"/>
    <s v="Aprovado"/>
    <n v="53.348400000000005"/>
    <n v="42.15"/>
    <d v="2025-12-08T00:00:00"/>
    <d v="2025-12-18T00:00:00"/>
    <n v="42.15"/>
    <m/>
    <m/>
    <m/>
    <x v="5"/>
    <m/>
    <m/>
    <m/>
    <m/>
    <m/>
    <m/>
    <m/>
    <m/>
    <m/>
    <m/>
    <m/>
    <m/>
    <m/>
  </r>
  <r>
    <s v="TRIFÁSICO"/>
    <s v="10/1698130-0"/>
    <n v="67991767866"/>
    <s v="62.955.505/4612-10"/>
    <s v="energisa_ms"/>
    <s v="Igreja do Evangelho Quadrangular"/>
    <x v="20"/>
    <m/>
    <s v="SIM"/>
    <n v="234"/>
    <n v="488.1558"/>
    <n v="428.56498199999999"/>
    <s v="Aprovado"/>
    <n v="283.82580000000002"/>
    <n v="224.23"/>
    <d v="2025-12-05T00:00:00"/>
    <d v="2025-12-15T00:00:00"/>
    <n v="224.23"/>
    <m/>
    <m/>
    <m/>
    <x v="1"/>
    <n v="224.23"/>
    <m/>
    <d v="2025-12-15T00:00:00"/>
    <m/>
    <m/>
    <m/>
    <m/>
    <m/>
    <m/>
    <m/>
    <m/>
    <m/>
    <m/>
  </r>
  <r>
    <s v="TRIFÁSICO"/>
    <s v="10/532723-4"/>
    <n v="67996446178"/>
    <s v="62.955.505/3593-60"/>
    <s v="energisa_ms"/>
    <s v="Igreja do Evangelho Quadrangular"/>
    <x v="20"/>
    <m/>
    <s v="SIM"/>
    <n v="288"/>
    <n v="524.14117647058833"/>
    <n v="453.78882941176477"/>
    <s v="Aprovado"/>
    <n v="335.01117647058828"/>
    <n v="264.66000000000003"/>
    <d v="2025-12-08T00:00:00"/>
    <d v="2025-12-18T00:00:00"/>
    <n v="264.66000000000003"/>
    <m/>
    <m/>
    <m/>
    <x v="5"/>
    <m/>
    <m/>
    <m/>
    <m/>
    <m/>
    <m/>
    <m/>
    <m/>
    <m/>
    <m/>
    <m/>
    <m/>
    <m/>
  </r>
  <r>
    <s v="TRIFÁSICO"/>
    <s v="10/162736-3"/>
    <n v="67996150274"/>
    <s v="62.955.505/1973-60"/>
    <s v="energisa_ms"/>
    <s v="Igreja do Evangelho Quadrangular"/>
    <x v="20"/>
    <m/>
    <s v="SIM"/>
    <n v="132"/>
    <n v="334.5052"/>
    <n v="300.89150800000004"/>
    <s v="Aprovado"/>
    <n v="160.0652"/>
    <n v="126.45"/>
    <d v="2025-12-05T00:00:00"/>
    <d v="2025-12-15T00:00:00"/>
    <n v="126.45"/>
    <m/>
    <m/>
    <m/>
    <x v="5"/>
    <m/>
    <m/>
    <m/>
    <m/>
    <m/>
    <m/>
    <m/>
    <m/>
    <m/>
    <m/>
    <m/>
    <m/>
    <m/>
  </r>
  <r>
    <s v="TRIFÁSICO"/>
    <s v="10/276283-9"/>
    <s v="46 999066691"/>
    <s v="62.955.505/0884-04"/>
    <s v="energisa_ms"/>
    <s v="Igreja do Evangelho Quadrangular"/>
    <x v="20"/>
    <m/>
    <s v="SIM"/>
    <n v="257"/>
    <n v="701.29432653061235"/>
    <n v="635.84691795918377"/>
    <s v="Aprovado"/>
    <n v="311.65432653061225"/>
    <n v="246.21"/>
    <d v="2025-12-08T00:00:00"/>
    <d v="2025-12-18T00:00:00"/>
    <n v="246.21"/>
    <m/>
    <m/>
    <m/>
    <x v="1"/>
    <n v="246.21"/>
    <m/>
    <d v="2025-12-09T00:00:00"/>
    <m/>
    <m/>
    <m/>
    <m/>
    <m/>
    <m/>
    <m/>
    <m/>
    <m/>
    <m/>
  </r>
  <r>
    <s v="TRIFÁSICO"/>
    <s v="10/931327-1"/>
    <n v="17996297425"/>
    <s v="62.955.505/4027-10"/>
    <s v="energisa_ms"/>
    <s v="Igreja do Evangelho Quadrangular"/>
    <x v="20"/>
    <m/>
    <s v="SIM"/>
    <n v="194"/>
    <n v="416.44719999999995"/>
    <n v="367.03898799999996"/>
    <s v="Aprovado"/>
    <n v="235.27719999999999"/>
    <n v="185.87"/>
    <d v="2025-12-05T00:00:00"/>
    <d v="2025-12-15T00:00:00"/>
    <n v="185.87"/>
    <m/>
    <m/>
    <m/>
    <x v="1"/>
    <n v="185.87"/>
    <m/>
    <d v="2025-12-08T00:00:00"/>
    <m/>
    <m/>
    <m/>
    <m/>
    <m/>
    <m/>
    <m/>
    <m/>
    <m/>
    <m/>
  </r>
  <r>
    <s v="TRIFÁSICO"/>
    <s v="10/237441-1"/>
    <n v="67992637973"/>
    <s v="62.955.505/0172-13"/>
    <s v="energisa_ms"/>
    <s v="Igreja do Evangelho Quadrangular"/>
    <x v="20"/>
    <m/>
    <s v="SIM"/>
    <n v="9"/>
    <n v="141.42830000000001"/>
    <n v="139.13755700000002"/>
    <s v="Aprovado"/>
    <n v="10.908300000000001"/>
    <n v="8.6199999999999992"/>
    <d v="2025-12-05T00:00:00"/>
    <d v="2025-12-15T00:00:00"/>
    <n v="8.6199999999999992"/>
    <m/>
    <m/>
    <m/>
    <x v="1"/>
    <n v="8.6199999999999992"/>
    <m/>
    <d v="2025-12-10T00:00:00"/>
    <m/>
    <m/>
    <m/>
    <m/>
    <m/>
    <m/>
    <m/>
    <m/>
    <m/>
    <m/>
  </r>
  <r>
    <s v="TRIFÁSICO"/>
    <s v="10/501586-2"/>
    <s v="67 92480766"/>
    <s v="62.955.505/2730-58"/>
    <s v="energisa_ms"/>
    <s v="Igreja do Evangelho Quadrangular"/>
    <x v="20"/>
    <m/>
    <s v="SIM"/>
    <n v="50"/>
    <n v="181.89"/>
    <n v="169.15979999999999"/>
    <s v="Aprovado"/>
    <n v="60.62"/>
    <n v="47.89"/>
    <d v="2025-12-05T00:00:00"/>
    <d v="2025-12-15T00:00:00"/>
    <n v="47.89"/>
    <m/>
    <m/>
    <m/>
    <x v="1"/>
    <n v="47.89"/>
    <m/>
    <d v="2025-12-15T00:00:00"/>
    <m/>
    <m/>
    <m/>
    <m/>
    <m/>
    <m/>
    <m/>
    <m/>
    <m/>
    <m/>
  </r>
  <r>
    <s v="BIFÁSICO"/>
    <s v="10/218777-1"/>
    <n v="67999031330"/>
    <s v="62.955.505/0170-51"/>
    <s v="energisa_ms"/>
    <s v="Igreja do Evangelho Quadrangular"/>
    <x v="20"/>
    <m/>
    <s v="SIM"/>
    <n v="66"/>
    <n v="152.44265306122449"/>
    <n v="135.96129591836737"/>
    <s v="Aprovado"/>
    <n v="78.482653061224468"/>
    <n v="62"/>
    <d v="2025-12-05T00:00:00"/>
    <d v="2025-12-15T00:00:00"/>
    <n v="62"/>
    <m/>
    <m/>
    <m/>
    <x v="1"/>
    <n v="62"/>
    <m/>
    <d v="2025-12-08T00:00:00"/>
    <m/>
    <m/>
    <m/>
    <m/>
    <m/>
    <m/>
    <m/>
    <m/>
    <m/>
    <m/>
  </r>
  <r>
    <s v="MONOFÁSICO"/>
    <s v="10/384823-1"/>
    <n v="67999159477"/>
    <s v="62.955.505/0001-67"/>
    <s v="energisa_ms"/>
    <s v="Igreja do Evangelho Quadrangular"/>
    <x v="20"/>
    <m/>
    <s v="SIM"/>
    <n v="120"/>
    <n v="182.64999999999998"/>
    <n v="152.09289999999999"/>
    <s v="Aprovado"/>
    <n v="145.51"/>
    <n v="114.95"/>
    <d v="2025-12-05T00:00:00"/>
    <d v="2025-12-15T00:00:00"/>
    <n v="114.95"/>
    <m/>
    <m/>
    <m/>
    <x v="1"/>
    <n v="114.95"/>
    <m/>
    <d v="2025-12-09T00:00:00"/>
    <m/>
    <m/>
    <m/>
    <m/>
    <m/>
    <m/>
    <m/>
    <m/>
    <m/>
    <m/>
  </r>
  <r>
    <s v="BIFÁSICO"/>
    <s v="10/226667-4"/>
    <n v="67992637973"/>
    <s v="62.955.505/0408-94"/>
    <s v="energisa_ms"/>
    <s v="Igreja do Evangelho Quadrangular"/>
    <x v="20"/>
    <m/>
    <s v="SIM"/>
    <n v="51"/>
    <n v="153.29859999999999"/>
    <n v="140.31249399999999"/>
    <s v="Aprovado"/>
    <n v="61.838600000000007"/>
    <n v="48.85"/>
    <d v="2025-12-05T00:00:00"/>
    <d v="2025-12-15T00:00:00"/>
    <n v="48.85"/>
    <m/>
    <m/>
    <m/>
    <x v="1"/>
    <n v="48.85"/>
    <m/>
    <d v="2025-12-08T00:00:00"/>
    <m/>
    <m/>
    <m/>
    <m/>
    <m/>
    <m/>
    <m/>
    <m/>
    <m/>
    <m/>
  </r>
  <r>
    <s v="TRIFÁSICO"/>
    <s v="10/156956-5"/>
    <s v="67 998338301"/>
    <s v="62.955.505/0153-50"/>
    <s v="energisa_ms"/>
    <s v="Igreja do Evangelho Quadrangular"/>
    <x v="20"/>
    <m/>
    <s v="SIM"/>
    <n v="202"/>
    <n v="438.05759999999998"/>
    <n v="386.61020400000001"/>
    <s v="Aprovado"/>
    <n v="244.98759999999999"/>
    <n v="193.54"/>
    <d v="2025-12-05T00:00:00"/>
    <d v="2025-12-15T00:00:00"/>
    <n v="193.54"/>
    <m/>
    <m/>
    <m/>
    <x v="1"/>
    <n v="193.54"/>
    <m/>
    <d v="2025-12-08T00:00:00"/>
    <m/>
    <m/>
    <m/>
    <m/>
    <m/>
    <m/>
    <m/>
    <m/>
    <m/>
    <m/>
  </r>
  <r>
    <s v="MONOFÁSICO"/>
    <s v="10/1548741-6"/>
    <s v="67 81355403"/>
    <s v="62.955.505/0847-51"/>
    <s v="energisa_ms"/>
    <s v="Igreja do Evangelho Quadrangular"/>
    <x v="20"/>
    <m/>
    <s v="SIM"/>
    <n v="133"/>
    <n v="257.74749999999995"/>
    <n v="224.33282499999996"/>
    <s v="Aprovado"/>
    <n v="159.11750000000001"/>
    <n v="125.7"/>
    <d v="2025-12-08T00:00:00"/>
    <d v="2025-12-18T00:00:00"/>
    <n v="125.7"/>
    <m/>
    <m/>
    <m/>
    <x v="1"/>
    <n v="125.7"/>
    <m/>
    <d v="2025-12-15T00:00:00"/>
    <m/>
    <m/>
    <m/>
    <m/>
    <m/>
    <m/>
    <m/>
    <m/>
    <m/>
    <m/>
  </r>
  <r>
    <s v="BIFÁSICO"/>
    <s v="10/257864-9"/>
    <n v="67981311823"/>
    <s v="62.955.505/1821-76"/>
    <s v="energisa_ms"/>
    <s v="Igreja do Evangelho Quadrangular"/>
    <x v="20"/>
    <m/>
    <s v="SIM"/>
    <n v="19"/>
    <n v="97.783400000000015"/>
    <n v="92.946386000000018"/>
    <s v="Aprovado"/>
    <n v="23.0334"/>
    <n v="18.2"/>
    <d v="2025-12-05T00:00:00"/>
    <d v="2025-12-15T00:00:00"/>
    <n v="18.2"/>
    <m/>
    <m/>
    <m/>
    <x v="5"/>
    <m/>
    <m/>
    <m/>
    <m/>
    <m/>
    <m/>
    <m/>
    <m/>
    <m/>
    <m/>
    <m/>
    <m/>
    <m/>
  </r>
  <r>
    <s v="TRIFÁSICO"/>
    <s v="10/135237-6"/>
    <n v="67996446178"/>
    <s v="62.955.505/0800-98"/>
    <s v="energisa_ms"/>
    <s v="Igreja do Evangelho Quadrangular"/>
    <x v="20"/>
    <m/>
    <s v="SIM"/>
    <n v="116"/>
    <n v="282.39919999999995"/>
    <n v="252.85866799999997"/>
    <s v="Aprovado"/>
    <n v="140.66920000000002"/>
    <n v="111.13"/>
    <d v="2025-12-05T00:00:00"/>
    <d v="2025-12-15T00:00:00"/>
    <n v="111.13"/>
    <m/>
    <m/>
    <m/>
    <x v="5"/>
    <m/>
    <m/>
    <m/>
    <m/>
    <m/>
    <m/>
    <m/>
    <m/>
    <m/>
    <m/>
    <m/>
    <m/>
    <m/>
  </r>
  <r>
    <s v="TRIFÁSICO"/>
    <s v="10/987178-1"/>
    <n v="67993496482"/>
    <s v="62.955.505/0155-12"/>
    <s v="energisa_ms"/>
    <s v="Igreja do Evangelho Quadrangular"/>
    <x v="20"/>
    <m/>
    <s v="SIM"/>
    <n v="110"/>
    <n v="312.38699999999994"/>
    <n v="284.37572999999998"/>
    <s v="Aprovado"/>
    <n v="133.387"/>
    <n v="105.38"/>
    <d v="2025-12-05T00:00:00"/>
    <d v="2025-12-15T00:00:00"/>
    <n v="105.38"/>
    <m/>
    <m/>
    <m/>
    <x v="5"/>
    <m/>
    <m/>
    <m/>
    <m/>
    <m/>
    <m/>
    <m/>
    <m/>
    <m/>
    <m/>
    <m/>
    <m/>
    <m/>
  </r>
  <r>
    <s v="BIFÁSICO"/>
    <s v="10/511753-6"/>
    <n v="67996266684"/>
    <s v="62.955.505/0160-80"/>
    <s v="energisa_ms"/>
    <s v="Igreja do Evangelho Quadrangular"/>
    <x v="20"/>
    <m/>
    <s v="SIM"/>
    <n v="339"/>
    <n v="533.45320000000004"/>
    <n v="447.11732800000004"/>
    <s v="Aprovado"/>
    <n v="411.12319999999988"/>
    <n v="324.79000000000002"/>
    <d v="2025-12-05T00:00:00"/>
    <d v="2025-12-15T00:00:00"/>
    <n v="324.79000000000002"/>
    <m/>
    <m/>
    <m/>
    <x v="1"/>
    <n v="324.79000000000002"/>
    <m/>
    <d v="2025-12-08T00:00:00"/>
    <m/>
    <m/>
    <m/>
    <m/>
    <m/>
    <m/>
    <m/>
    <m/>
    <m/>
    <m/>
  </r>
  <r>
    <s v="BIFÁSICO"/>
    <s v="10/10232-7"/>
    <s v="67 996415566"/>
    <s v="62.955.505/3932-07"/>
    <s v="energisa_ms"/>
    <s v="Igreja do Evangelho Quadrangular"/>
    <x v="20"/>
    <m/>
    <s v="SIM"/>
    <n v="197"/>
    <n v="345.22057692307698"/>
    <n v="297.41185576923078"/>
    <s v="Aprovado"/>
    <n v="227.66057692307697"/>
    <n v="179.85"/>
    <d v="2025-12-08T00:00:00"/>
    <d v="2025-12-18T00:00:00"/>
    <n v="179.85"/>
    <m/>
    <m/>
    <m/>
    <x v="1"/>
    <n v="179.85"/>
    <m/>
    <d v="2025-12-12T00:00:00"/>
    <m/>
    <m/>
    <m/>
    <m/>
    <m/>
    <m/>
    <m/>
    <m/>
    <m/>
    <m/>
  </r>
  <r>
    <s v="TRIFÁSICO"/>
    <s v="10/1035655-8"/>
    <n v="67996135721"/>
    <s v="62.955.505/1822-57"/>
    <s v="energisa_ms"/>
    <s v="Igreja do Evangelho Quadrangular"/>
    <x v="20"/>
    <m/>
    <s v="SIM"/>
    <n v="288"/>
    <n v="494.15428571428572"/>
    <n v="428.12308571428571"/>
    <s v="Aprovado"/>
    <n v="314.43428571428575"/>
    <n v="248.4"/>
    <d v="2025-12-08T00:00:00"/>
    <d v="2025-12-18T00:00:00"/>
    <n v="248.4"/>
    <m/>
    <m/>
    <m/>
    <x v="1"/>
    <n v="248.4"/>
    <m/>
    <d v="2025-12-15T00:00:00"/>
    <m/>
    <m/>
    <m/>
    <m/>
    <m/>
    <m/>
    <m/>
    <m/>
    <m/>
    <m/>
  </r>
  <r>
    <s v="TRIFÁSICO"/>
    <s v="10/1117293-9"/>
    <n v="67999516782"/>
    <s v="62.955.505/8921-14"/>
    <s v="energisa_ms"/>
    <s v="Igreja do Evangelho Quadrangular"/>
    <x v="20"/>
    <m/>
    <s v="SIM"/>
    <n v="58"/>
    <n v="232.09040000000002"/>
    <n v="217.32101600000001"/>
    <s v="Aprovado"/>
    <n v="70.330399999999997"/>
    <n v="55.56"/>
    <d v="2025-12-08T00:00:00"/>
    <d v="2025-12-18T00:00:00"/>
    <n v="55.56"/>
    <m/>
    <m/>
    <m/>
    <x v="5"/>
    <m/>
    <m/>
    <m/>
    <m/>
    <m/>
    <m/>
    <m/>
    <m/>
    <m/>
    <m/>
    <m/>
    <m/>
    <m/>
  </r>
  <r>
    <s v="TRIFÁSICO"/>
    <s v="10/113971-6"/>
    <n v="67996575782"/>
    <s v="62.955.505/0156-01"/>
    <s v="energisa_ms"/>
    <s v="Igreja do Evangelho Quadrangular"/>
    <x v="20"/>
    <m/>
    <s v="SIM"/>
    <n v="75"/>
    <n v="329.97086206896552"/>
    <n v="310.87328103448277"/>
    <s v="Aprovado"/>
    <n v="90.940862068965515"/>
    <n v="71.84"/>
    <d v="2025-12-05T00:00:00"/>
    <d v="2025-12-15T00:00:00"/>
    <n v="71.84"/>
    <m/>
    <m/>
    <m/>
    <x v="1"/>
    <n v="71.84"/>
    <m/>
    <d v="2025-12-16T00:00:00"/>
    <m/>
    <m/>
    <m/>
    <m/>
    <m/>
    <m/>
    <m/>
    <m/>
    <m/>
    <m/>
  </r>
  <r>
    <e v="#N/A"/>
    <s v="10/3005226-0"/>
    <e v="#N/A"/>
    <e v="#N/A"/>
    <s v="energisa_ms"/>
    <s v="Igreja do Evangelho Quadrangular"/>
    <x v="20"/>
    <m/>
    <s v="SIM"/>
    <n v="307"/>
    <n v="412.87"/>
    <n v="348.55329999999998"/>
    <s v="Aprovado"/>
    <n v="1125.6999999"/>
    <n v="1061.3800000000001"/>
    <d v="2025-12-05T00:00:00"/>
    <d v="2025-12-15T00:00:00"/>
    <n v="1061.3800000000001"/>
    <m/>
    <m/>
    <m/>
    <x v="5"/>
    <m/>
    <m/>
    <m/>
    <m/>
    <m/>
    <m/>
    <m/>
    <m/>
    <m/>
    <m/>
    <m/>
    <m/>
    <m/>
  </r>
  <r>
    <s v="TRIFÁSICO"/>
    <s v="10/513413-5"/>
    <n v="67992637973"/>
    <s v="62.955.505/3216-30"/>
    <s v="energisa_ms"/>
    <s v="Igreja do Evangelho Quadrangular"/>
    <x v="20"/>
    <m/>
    <s v="SIM"/>
    <n v="329"/>
    <n v="612.76229999999998"/>
    <n v="528.978117"/>
    <s v="Aprovado"/>
    <n v="398.97229999999996"/>
    <n v="315.19"/>
    <d v="2025-12-05T00:00:00"/>
    <d v="2025-12-15T00:00:00"/>
    <n v="315.19"/>
    <m/>
    <m/>
    <m/>
    <x v="1"/>
    <n v="315.19"/>
    <m/>
    <d v="2025-12-10T00:00:00"/>
    <m/>
    <m/>
    <m/>
    <m/>
    <m/>
    <m/>
    <m/>
    <m/>
    <m/>
    <m/>
  </r>
  <r>
    <s v="MONOFÁSICO"/>
    <s v="10/150263-2"/>
    <n v="67992337953"/>
    <s v="62.955.505/0914-56"/>
    <s v="energisa_ms"/>
    <s v="Igreja do Evangelho Quadrangular"/>
    <x v="20"/>
    <m/>
    <s v="SIM"/>
    <n v="140"/>
    <n v="240.41000000000003"/>
    <n v="207.90410000000003"/>
    <s v="Aprovado"/>
    <n v="154.79000000000002"/>
    <n v="122.28"/>
    <d v="2025-12-05T00:00:00"/>
    <d v="2025-12-15T00:00:00"/>
    <n v="122.28"/>
    <m/>
    <m/>
    <m/>
    <x v="5"/>
    <m/>
    <m/>
    <m/>
    <m/>
    <m/>
    <m/>
    <m/>
    <m/>
    <m/>
    <m/>
    <m/>
    <m/>
    <m/>
  </r>
  <r>
    <s v="TRIFÁSICO"/>
    <s v="10/1433087-2"/>
    <s v=" 67 91285460"/>
    <s v="62.955.505/4194-43"/>
    <s v="energisa_ms"/>
    <s v="Igreja do Evangelho Quadrangular"/>
    <x v="20"/>
    <m/>
    <s v="SIM"/>
    <n v="134"/>
    <n v="311.10579999999999"/>
    <n v="276.98168199999998"/>
    <s v="Aprovado"/>
    <n v="162.4958"/>
    <n v="128.37"/>
    <d v="2025-12-08T00:00:00"/>
    <d v="2025-12-18T00:00:00"/>
    <n v="128.37"/>
    <m/>
    <m/>
    <m/>
    <x v="5"/>
    <m/>
    <m/>
    <m/>
    <m/>
    <m/>
    <m/>
    <m/>
    <m/>
    <m/>
    <m/>
    <m/>
    <m/>
    <m/>
  </r>
  <r>
    <s v="TRIFÁSICO"/>
    <s v="10/3139326-7"/>
    <n v="67999361728"/>
    <s v="62.955.505/1822-57"/>
    <s v="energisa_ms"/>
    <s v="Igreja do Evangelho Quadrangular"/>
    <x v="20"/>
    <m/>
    <s v="SIM"/>
    <n v="478"/>
    <n v="674.52842105263153"/>
    <n v="568.46615263157901"/>
    <s v="Aprovado"/>
    <n v="505.0584210526315"/>
    <n v="399"/>
    <d v="2025-12-05T00:00:00"/>
    <d v="2025-12-15T00:00:00"/>
    <n v="399"/>
    <m/>
    <m/>
    <m/>
    <x v="1"/>
    <n v="399"/>
    <m/>
    <d v="2025-12-09T00:00:00"/>
    <m/>
    <m/>
    <m/>
    <m/>
    <m/>
    <m/>
    <m/>
    <m/>
    <m/>
    <m/>
  </r>
  <r>
    <s v="BIFÁSICO"/>
    <s v="10/1081489-5"/>
    <n v="67996446178"/>
    <s v="62.955.505/0169-18"/>
    <s v="energisa_ms"/>
    <s v="Igreja do Evangelho Quadrangular"/>
    <x v="20"/>
    <m/>
    <s v="SIM"/>
    <n v="486"/>
    <n v="613.12"/>
    <n v="511.35610000000008"/>
    <s v="Aprovado"/>
    <n v="484.59000000000003"/>
    <n v="382.83"/>
    <d v="2025-12-05T00:00:00"/>
    <d v="2025-12-15T00:00:00"/>
    <n v="382.83"/>
    <m/>
    <m/>
    <m/>
    <x v="1"/>
    <n v="382.83"/>
    <m/>
    <d v="2025-12-16T00:00:00"/>
    <m/>
    <m/>
    <m/>
    <m/>
    <m/>
    <m/>
    <m/>
    <m/>
    <m/>
    <m/>
  </r>
  <r>
    <s v="TRIFÁSICO"/>
    <s v="10/260761-2"/>
    <n v="67996150274"/>
    <s v="62.955.505/0001-67"/>
    <s v="energisa_ms"/>
    <s v="Igreja do Evangelho Quadrangular"/>
    <x v="20"/>
    <m/>
    <s v="SIM"/>
    <n v="198"/>
    <n v="376.86402985074619"/>
    <n v="332.96478358208947"/>
    <s v="Aprovado"/>
    <n v="209.04402985074628"/>
    <n v="165.14"/>
    <d v="2025-12-05T00:00:00"/>
    <d v="2025-12-15T00:00:00"/>
    <n v="165.14"/>
    <m/>
    <m/>
    <m/>
    <x v="1"/>
    <n v="165.14"/>
    <m/>
    <d v="2025-12-11T00:00:00"/>
    <m/>
    <m/>
    <m/>
    <m/>
    <m/>
    <m/>
    <m/>
    <m/>
    <m/>
    <m/>
  </r>
  <r>
    <s v="TRIFÁSICO"/>
    <s v="10/489076-0"/>
    <n v="67996266684"/>
    <s v="62.955.505/0160-80"/>
    <s v="energisa_ms"/>
    <s v="Igreja do Evangelho Quadrangular"/>
    <x v="20"/>
    <m/>
    <s v="SIM"/>
    <n v="402"/>
    <n v="600.34749999999997"/>
    <n v="511.21142499999996"/>
    <s v="Aprovado"/>
    <n v="424.45750000000004"/>
    <n v="335.32"/>
    <d v="2025-12-05T00:00:00"/>
    <d v="2025-12-15T00:00:00"/>
    <n v="335.32"/>
    <m/>
    <m/>
    <m/>
    <x v="1"/>
    <n v="335.32"/>
    <m/>
    <d v="2025-12-15T00:00:00"/>
    <m/>
    <m/>
    <m/>
    <m/>
    <m/>
    <m/>
    <m/>
    <m/>
    <m/>
    <m/>
  </r>
  <r>
    <s v="TRIFÁSICO"/>
    <s v="10/127464-6"/>
    <n v="67996150274"/>
    <s v="62.955.505/3311-98"/>
    <s v="energisa_ms"/>
    <s v="Igreja do Evangelho Quadrangular"/>
    <x v="20"/>
    <m/>
    <s v="SIM"/>
    <n v="635"/>
    <n v="843.06000000000006"/>
    <n v="710.09430000000009"/>
    <s v="Aprovado"/>
    <n v="633.16999999999996"/>
    <n v="500.2"/>
    <d v="2025-12-05T00:00:00"/>
    <d v="2025-12-15T00:00:00"/>
    <n v="500.2"/>
    <m/>
    <m/>
    <m/>
    <x v="1"/>
    <n v="500.2"/>
    <m/>
    <d v="2025-12-15T00:00:00"/>
    <m/>
    <m/>
    <m/>
    <m/>
    <m/>
    <m/>
    <m/>
    <m/>
    <m/>
    <m/>
  </r>
  <r>
    <s v="TRIFÁSICO"/>
    <s v="10/63920-3"/>
    <n v="67981263396"/>
    <s v="62.955.505/1355-00"/>
    <s v="energisa_ms"/>
    <s v="Igreja do Evangelho Quadrangular"/>
    <x v="20"/>
    <m/>
    <s v="SIM"/>
    <n v="438"/>
    <n v="634.36307692307685"/>
    <n v="537.20173076923083"/>
    <s v="Aprovado"/>
    <n v="462.60307692307697"/>
    <n v="365.44"/>
    <d v="2025-12-05T00:00:00"/>
    <d v="2025-12-15T00:00:00"/>
    <n v="365.44"/>
    <m/>
    <m/>
    <m/>
    <x v="1"/>
    <n v="365.44"/>
    <m/>
    <d v="2025-12-15T00:00:00"/>
    <m/>
    <m/>
    <m/>
    <m/>
    <m/>
    <m/>
    <m/>
    <m/>
    <m/>
    <m/>
  </r>
  <r>
    <s v="TRIFÁSICO"/>
    <s v="10/1674177-9"/>
    <n v="6784548587"/>
    <s v="62.955.505/0161-60"/>
    <s v="energisa_ms"/>
    <s v="Igreja do Evangelho Quadrangular"/>
    <x v="20"/>
    <m/>
    <s v="SIM"/>
    <n v="124"/>
    <n v="1047.472062992126"/>
    <n v="1019.9805297637795"/>
    <s v="Aprovado"/>
    <n v="323.41206299212604"/>
    <n v="295.92"/>
    <d v="2025-12-08T00:00:00"/>
    <d v="2025-12-18T00:00:00"/>
    <n v="295.92"/>
    <m/>
    <m/>
    <m/>
    <x v="5"/>
    <m/>
    <m/>
    <m/>
    <m/>
    <m/>
    <m/>
    <m/>
    <m/>
    <m/>
    <m/>
    <m/>
    <m/>
    <m/>
  </r>
  <r>
    <s v="BIFÁSICO"/>
    <s v="10/142353-2"/>
    <n v="67992899434"/>
    <s v="62.955.505/1138-75"/>
    <s v="energisa_ms"/>
    <s v="Igreja do Evangelho Quadrangular"/>
    <x v="20"/>
    <m/>
    <s v="SIM"/>
    <n v="410"/>
    <n v="547.85"/>
    <n v="461.99570000000006"/>
    <s v="Aprovado"/>
    <n v="408.83"/>
    <n v="322.98"/>
    <d v="2025-12-05T00:00:00"/>
    <d v="2025-12-15T00:00:00"/>
    <n v="322.98"/>
    <m/>
    <m/>
    <m/>
    <x v="5"/>
    <m/>
    <m/>
    <m/>
    <m/>
    <m/>
    <m/>
    <m/>
    <m/>
    <m/>
    <m/>
    <m/>
    <m/>
    <m/>
  </r>
  <r>
    <s v="TRIFÁSICO"/>
    <s v="10/15297-5"/>
    <n v="67996266684"/>
    <s v="62.955.505/3124-87"/>
    <s v="energisa_ms"/>
    <s v="Igreja do Evangelho Quadrangular"/>
    <x v="20"/>
    <m/>
    <s v="SIM"/>
    <n v="509"/>
    <n v="634.18285714285696"/>
    <n v="521.34085714285698"/>
    <s v="Aprovado"/>
    <n v="537.34285714285704"/>
    <n v="424.5"/>
    <d v="2025-12-05T00:00:00"/>
    <d v="2025-12-15T00:00:00"/>
    <n v="424.5"/>
    <m/>
    <m/>
    <m/>
    <x v="1"/>
    <n v="424.5"/>
    <m/>
    <d v="2025-12-08T00:00:00"/>
    <m/>
    <m/>
    <m/>
    <m/>
    <m/>
    <m/>
    <m/>
    <m/>
    <m/>
    <m/>
  </r>
  <r>
    <s v="TRIFÁSICO"/>
    <s v="10/504844-2"/>
    <n v="67992637973"/>
    <s v="62.955.505/3544-81"/>
    <s v="energisa_ms"/>
    <s v="Igreja do Evangelho Quadrangular"/>
    <x v="20"/>
    <m/>
    <s v="SIM"/>
    <n v="567"/>
    <n v="599.39000000000021"/>
    <n v="473.51810000000023"/>
    <s v="Aprovado"/>
    <n v="599.3900000000001"/>
    <n v="473.52"/>
    <d v="2025-12-05T00:00:00"/>
    <d v="2025-12-15T00:00:00"/>
    <n v="473.52"/>
    <m/>
    <m/>
    <m/>
    <x v="1"/>
    <n v="473.52"/>
    <m/>
    <d v="2025-12-15T00:00:00"/>
    <m/>
    <m/>
    <m/>
    <m/>
    <m/>
    <m/>
    <m/>
    <m/>
    <m/>
    <m/>
  </r>
  <r>
    <s v="BIFÁSICO"/>
    <s v="10/109074-5"/>
    <s v="67 91751433"/>
    <s v="62.955.505/0001-67"/>
    <s v="energisa_ms"/>
    <s v="Igreja do Evangelho Quadrangular"/>
    <x v="20"/>
    <m/>
    <s v="SIM"/>
    <n v="343"/>
    <n v="395.83"/>
    <n v="324.00580000000002"/>
    <s v="Aprovado"/>
    <n v="342.02"/>
    <n v="270.2"/>
    <d v="2025-12-05T00:00:00"/>
    <d v="2025-12-15T00:00:00"/>
    <n v="270.2"/>
    <m/>
    <m/>
    <m/>
    <x v="5"/>
    <m/>
    <m/>
    <m/>
    <m/>
    <m/>
    <m/>
    <m/>
    <m/>
    <m/>
    <m/>
    <m/>
    <m/>
    <m/>
  </r>
  <r>
    <s v="TRIFÁSICO"/>
    <s v="10/3123706-8"/>
    <n v="67999050448"/>
    <s v="62.955.505/3757-21"/>
    <s v="energisa_ms"/>
    <s v="Igreja do Evangelho Quadrangular"/>
    <x v="20"/>
    <m/>
    <s v="SIM"/>
    <n v="350"/>
    <n v="531.45317073170736"/>
    <n v="453.84490487804891"/>
    <s v="Aprovado"/>
    <n v="369.5631707317072"/>
    <n v="291.95"/>
    <d v="2025-12-08T00:00:00"/>
    <d v="2025-12-18T00:00:00"/>
    <n v="291.95"/>
    <m/>
    <m/>
    <m/>
    <x v="5"/>
    <m/>
    <m/>
    <m/>
    <m/>
    <m/>
    <m/>
    <m/>
    <m/>
    <m/>
    <m/>
    <m/>
    <m/>
    <m/>
  </r>
  <r>
    <s v="TRIFÁSICO"/>
    <s v="10/480529-7"/>
    <n v="6796411024"/>
    <s v="62.955.505/1822-57"/>
    <s v="energisa_ms"/>
    <s v="Igreja do Evangelho Quadrangular"/>
    <x v="20"/>
    <m/>
    <s v="SIM"/>
    <n v="316"/>
    <n v="506.60382978723408"/>
    <n v="436.52602553191491"/>
    <s v="Aprovado"/>
    <n v="333.7038297872341"/>
    <n v="263.63"/>
    <d v="2025-12-05T00:00:00"/>
    <d v="2025-12-15T00:00:00"/>
    <n v="263.63"/>
    <m/>
    <m/>
    <m/>
    <x v="1"/>
    <n v="263.63"/>
    <m/>
    <d v="2025-12-08T00:00:00"/>
    <m/>
    <m/>
    <m/>
    <m/>
    <m/>
    <m/>
    <m/>
    <m/>
    <m/>
    <m/>
  </r>
  <r>
    <s v="TRIFÁSICO"/>
    <s v="10/399338-3"/>
    <n v="67991060202"/>
    <s v="62.955.505/2132-33"/>
    <s v="energisa_ms"/>
    <s v="Igreja do Evangelho Quadrangular"/>
    <x v="20"/>
    <m/>
    <s v="SIM"/>
    <n v="484"/>
    <n v="608.88222222222237"/>
    <n v="501.55075555555567"/>
    <s v="Aprovado"/>
    <n v="512.02222222222224"/>
    <n v="404.69"/>
    <d v="2025-12-05T00:00:00"/>
    <d v="2025-12-15T00:00:00"/>
    <n v="404.69"/>
    <m/>
    <m/>
    <m/>
    <x v="5"/>
    <m/>
    <m/>
    <m/>
    <m/>
    <m/>
    <m/>
    <m/>
    <m/>
    <m/>
    <m/>
    <m/>
    <m/>
    <m/>
  </r>
  <r>
    <s v="BIFÁSICO"/>
    <s v="10/61344-8"/>
    <n v="67999998719"/>
    <s v="62.955.505/0154-31"/>
    <s v="energisa_ms"/>
    <s v="Igreja do Evangelho Quadrangular"/>
    <x v="20"/>
    <m/>
    <s v="SIM"/>
    <n v="627"/>
    <n v="799.13999999999987"/>
    <n v="667.85009999999988"/>
    <s v="Aprovado"/>
    <n v="625.18999999999994"/>
    <n v="493.9"/>
    <d v="2025-12-08T00:00:00"/>
    <d v="2025-12-18T00:00:00"/>
    <n v="493.9"/>
    <m/>
    <m/>
    <m/>
    <x v="5"/>
    <m/>
    <m/>
    <m/>
    <m/>
    <m/>
    <m/>
    <m/>
    <m/>
    <m/>
    <m/>
    <m/>
    <m/>
    <m/>
  </r>
  <r>
    <s v="TRIFÁSICO"/>
    <s v="10/81222-2"/>
    <s v="67 992491551"/>
    <s v="62.955.505/0159-46"/>
    <s v="energisa_ms"/>
    <s v="Igreja do Evangelho Quadrangular"/>
    <x v="20"/>
    <m/>
    <s v="SIM"/>
    <n v="613"/>
    <n v="759.82999999999993"/>
    <n v="631.47379999999998"/>
    <s v="Aprovado"/>
    <n v="665.38000000000011"/>
    <n v="537.02"/>
    <d v="2025-12-08T00:00:00"/>
    <d v="2025-12-18T00:00:00"/>
    <n v="204.14"/>
    <m/>
    <m/>
    <m/>
    <x v="1"/>
    <n v="204.14"/>
    <n v="0"/>
    <d v="2025-12-08T00:00:00"/>
    <m/>
    <m/>
    <m/>
    <m/>
    <m/>
    <m/>
    <m/>
    <m/>
    <m/>
    <m/>
  </r>
  <r>
    <s v="BIFÁSICO"/>
    <s v="10/3556072-1"/>
    <n v="0"/>
    <s v="62.955.505/0164-03"/>
    <s v="energisa_ms"/>
    <s v="Igreja do Evangelho Quadrangular"/>
    <x v="20"/>
    <m/>
    <s v="SIM"/>
    <n v="177"/>
    <n v="238.86450000000002"/>
    <n v="199.62715500000002"/>
    <s v="Aprovado"/>
    <n v="186.84450000000001"/>
    <n v="147.61000000000001"/>
    <d v="2025-12-08T00:00:00"/>
    <d v="2025-12-18T00:00:00"/>
    <n v="147.61000000000001"/>
    <m/>
    <m/>
    <m/>
    <x v="1"/>
    <n v="147.61000000000001"/>
    <m/>
    <d v="2025-12-15T00:00:00"/>
    <m/>
    <m/>
    <m/>
    <m/>
    <m/>
    <m/>
    <m/>
    <m/>
    <m/>
    <m/>
  </r>
  <r>
    <s v="TRIFÁSICO"/>
    <s v="10/395471-6"/>
    <n v="67992876000"/>
    <s v="62.955.505/2488-86"/>
    <s v="energisa_ms"/>
    <s v="Igreja do Evangelho Quadrangular"/>
    <x v="20"/>
    <m/>
    <s v="SIM"/>
    <n v="232"/>
    <n v="355.31573770491804"/>
    <n v="303.87713278688523"/>
    <s v="Aprovado"/>
    <n v="244.94573770491806"/>
    <n v="193.51"/>
    <d v="2025-12-08T00:00:00"/>
    <d v="2025-12-18T00:00:00"/>
    <n v="193.51"/>
    <m/>
    <m/>
    <m/>
    <x v="5"/>
    <m/>
    <m/>
    <m/>
    <m/>
    <m/>
    <m/>
    <m/>
    <m/>
    <m/>
    <m/>
    <m/>
    <m/>
    <m/>
  </r>
  <r>
    <s v="BIFÁSICO"/>
    <s v="10/239312-2"/>
    <n v="67996711972"/>
    <s v="62.955.505/0165-94"/>
    <s v="energisa_ms"/>
    <s v="Igreja do Evangelho Quadrangular"/>
    <x v="20"/>
    <m/>
    <s v="SIM"/>
    <n v="344"/>
    <n v="461.74"/>
    <n v="389.71000000000004"/>
    <s v="Aprovado"/>
    <n v="343"/>
    <n v="270.97000000000003"/>
    <d v="2025-12-05T00:00:00"/>
    <d v="2025-12-15T00:00:00"/>
    <n v="270.97000000000003"/>
    <m/>
    <m/>
    <m/>
    <x v="5"/>
    <m/>
    <m/>
    <m/>
    <m/>
    <m/>
    <m/>
    <m/>
    <m/>
    <m/>
    <m/>
    <m/>
    <m/>
    <m/>
  </r>
  <r>
    <s v="BIFÁSICO"/>
    <s v="10/3040565-8"/>
    <n v="67996135721"/>
    <s v="62.955.505/0154-31"/>
    <s v="energisa_ms"/>
    <s v="Igreja do Evangelho Quadrangular"/>
    <x v="20"/>
    <m/>
    <s v="SIM"/>
    <n v="327"/>
    <n v="437.94"/>
    <n v="369.4674"/>
    <s v="Aprovado"/>
    <n v="326.06"/>
    <n v="257.58999999999997"/>
    <d v="2025-12-08T00:00:00"/>
    <d v="2025-12-18T00:00:00"/>
    <n v="257.58999999999997"/>
    <m/>
    <m/>
    <m/>
    <x v="1"/>
    <n v="257.58999999999997"/>
    <m/>
    <d v="2025-12-15T00:00:00"/>
    <m/>
    <m/>
    <m/>
    <m/>
    <m/>
    <m/>
    <m/>
    <m/>
    <m/>
    <m/>
  </r>
  <r>
    <s v="TRIFÁSICO"/>
    <s v="10/435964-2"/>
    <n v="67992021114"/>
    <s v="62.955.505/3574-05"/>
    <s v="energisa_ms"/>
    <s v="Igreja do Evangelho Quadrangular"/>
    <x v="20"/>
    <m/>
    <s v="SIM"/>
    <n v="443"/>
    <n v="567.59840000000008"/>
    <n v="469.3670360000001"/>
    <s v="Aprovado"/>
    <n v="467.7684000000001"/>
    <n v="369.54"/>
    <d v="2025-12-05T00:00:00"/>
    <d v="2025-12-15T00:00:00"/>
    <n v="369.54"/>
    <m/>
    <m/>
    <m/>
    <x v="1"/>
    <n v="369.54"/>
    <m/>
    <d v="2025-12-08T00:00:00"/>
    <m/>
    <m/>
    <m/>
    <m/>
    <m/>
    <m/>
    <m/>
    <m/>
    <m/>
    <m/>
  </r>
  <r>
    <s v="TRIFÁSICO"/>
    <s v="10/76927-3"/>
    <s v="67 999373813"/>
    <s v="62.955.505/0585-99"/>
    <s v="energisa_ms"/>
    <s v="Igreja do Evangelho Quadrangular"/>
    <x v="20"/>
    <m/>
    <s v="SIM"/>
    <n v="389"/>
    <n v="584.07676470588228"/>
    <n v="497.79474411764704"/>
    <s v="Aprovado"/>
    <n v="410.8667647058823"/>
    <n v="324.58"/>
    <d v="2025-12-05T00:00:00"/>
    <d v="2025-12-15T00:00:00"/>
    <n v="324.58"/>
    <m/>
    <m/>
    <m/>
    <x v="5"/>
    <m/>
    <m/>
    <m/>
    <m/>
    <m/>
    <m/>
    <m/>
    <m/>
    <m/>
    <m/>
    <m/>
    <m/>
    <m/>
  </r>
  <r>
    <s v="TRIFÁSICO"/>
    <s v="10/78338-1"/>
    <s v="67 984742936"/>
    <s v="62.955.505/0168-37"/>
    <s v="energisa_ms"/>
    <s v="Igreja do Evangelho Quadrangular"/>
    <x v="20"/>
    <m/>
    <s v="SIM"/>
    <n v="341"/>
    <n v="517.7340476190476"/>
    <n v="442.12059761904766"/>
    <s v="Aprovado"/>
    <n v="360.21404761904762"/>
    <n v="284.60000000000002"/>
    <d v="2025-12-05T00:00:00"/>
    <d v="2025-12-15T00:00:00"/>
    <n v="284.60000000000002"/>
    <m/>
    <m/>
    <m/>
    <x v="1"/>
    <n v="284.60000000000002"/>
    <m/>
    <d v="2025-12-15T00:00:00"/>
    <m/>
    <m/>
    <m/>
    <m/>
    <m/>
    <m/>
    <m/>
    <m/>
    <m/>
    <m/>
  </r>
  <r>
    <s v="TRIFÁSICO"/>
    <s v="10/1288241-1"/>
    <n v="67991133770"/>
    <s v="62.955.505/3358-51"/>
    <s v="energisa_ms"/>
    <s v="Igreja do Evangelho Quadrangular"/>
    <x v="20"/>
    <m/>
    <s v="SIM"/>
    <n v="291"/>
    <n v="418.26058823529416"/>
    <n v="353.74216470588237"/>
    <s v="Aprovado"/>
    <n v="307.23058823529414"/>
    <n v="242.71"/>
    <d v="2025-12-05T00:00:00"/>
    <d v="2025-12-15T00:00:00"/>
    <n v="242.71"/>
    <m/>
    <m/>
    <m/>
    <x v="1"/>
    <n v="242.71"/>
    <m/>
    <d v="2025-12-08T00:00:00"/>
    <m/>
    <m/>
    <m/>
    <m/>
    <m/>
    <m/>
    <m/>
    <m/>
    <m/>
    <m/>
  </r>
  <r>
    <s v="TRIFÁSICO"/>
    <s v="10/69319-2"/>
    <n v="67998363594"/>
    <s v="62.955.505/1822-57"/>
    <s v="energisa_ms"/>
    <s v="Igreja do Evangelho Quadrangular"/>
    <x v="20"/>
    <m/>
    <s v="SIM"/>
    <n v="197"/>
    <n v="386.31537313432835"/>
    <n v="342.63634477611942"/>
    <s v="Aprovado"/>
    <n v="207.93537313432839"/>
    <n v="164.26"/>
    <d v="2025-12-05T00:00:00"/>
    <d v="2025-12-15T00:00:00"/>
    <n v="164.26"/>
    <m/>
    <m/>
    <m/>
    <x v="1"/>
    <n v="164.26"/>
    <m/>
    <d v="2025-12-16T00:00:00"/>
    <m/>
    <m/>
    <m/>
    <m/>
    <m/>
    <m/>
    <m/>
    <m/>
    <m/>
    <m/>
  </r>
  <r>
    <s v="BIFÁSICO"/>
    <s v="10/341308-5"/>
    <n v="67993249456"/>
    <s v="62.955.505/2391-19"/>
    <s v="energisa_ms"/>
    <s v="Igreja do Evangelho Quadrangular"/>
    <x v="20"/>
    <m/>
    <s v="SIM"/>
    <n v="231"/>
    <n v="294.87"/>
    <n v="243.63419999999996"/>
    <s v="Aprovado"/>
    <n v="240.96999999999997"/>
    <n v="189.73"/>
    <d v="2025-12-05T00:00:00"/>
    <d v="2025-12-15T00:00:00"/>
    <n v="189.73"/>
    <m/>
    <m/>
    <m/>
    <x v="5"/>
    <m/>
    <m/>
    <m/>
    <m/>
    <m/>
    <m/>
    <m/>
    <m/>
    <m/>
    <m/>
    <m/>
    <m/>
    <m/>
  </r>
  <r>
    <s v="BIFÁSICO"/>
    <s v="10/13786-9"/>
    <n v="67996266684"/>
    <s v="62.955.505/1975-21"/>
    <s v="energisa_ms"/>
    <s v="Igreja do Evangelho Quadrangular"/>
    <x v="20"/>
    <m/>
    <s v="SIM"/>
    <n v="267"/>
    <n v="329.64600000000007"/>
    <n v="270.48564000000005"/>
    <s v="Aprovado"/>
    <n v="281.33600000000007"/>
    <n v="222.18"/>
    <d v="2025-12-05T00:00:00"/>
    <d v="2025-12-15T00:00:00"/>
    <n v="222.18"/>
    <m/>
    <m/>
    <m/>
    <x v="1"/>
    <n v="222.18"/>
    <m/>
    <d v="2025-12-15T00:00:00"/>
    <m/>
    <m/>
    <m/>
    <m/>
    <m/>
    <m/>
    <m/>
    <m/>
    <m/>
    <m/>
  </r>
  <r>
    <s v="BIFÁSICO"/>
    <s v="10/129490-9"/>
    <n v="67996446178"/>
    <s v="62.955.505/4051-40"/>
    <s v="energisa_ms"/>
    <s v="Igreja do Evangelho Quadrangular"/>
    <x v="20"/>
    <m/>
    <s v="SIM"/>
    <n v="231"/>
    <n v="316.88"/>
    <n v="265.64419999999996"/>
    <s v="Aprovado"/>
    <n v="243.98"/>
    <n v="192.74"/>
    <d v="2025-12-05T00:00:00"/>
    <d v="2025-12-15T00:00:00"/>
    <n v="192.74"/>
    <m/>
    <m/>
    <m/>
    <x v="5"/>
    <m/>
    <m/>
    <m/>
    <m/>
    <m/>
    <m/>
    <m/>
    <m/>
    <m/>
    <m/>
    <m/>
    <m/>
    <m/>
  </r>
  <r>
    <s v="TRIFÁSICO"/>
    <s v="10/52987-5"/>
    <n v="67996983476"/>
    <s v="62.955.505/1822-57"/>
    <s v="energisa_ms"/>
    <s v="Igreja do Evangelho Quadrangular"/>
    <x v="20"/>
    <m/>
    <s v="SIM"/>
    <n v="140"/>
    <n v="315.20999999999992"/>
    <n v="284.17199999999997"/>
    <s v="Aprovado"/>
    <n v="147.79999999999998"/>
    <n v="116.76"/>
    <d v="2025-12-05T00:00:00"/>
    <d v="2025-12-15T00:00:00"/>
    <n v="116.76"/>
    <m/>
    <m/>
    <m/>
    <x v="1"/>
    <n v="116.76"/>
    <m/>
    <d v="2025-12-15T00:00:00"/>
    <m/>
    <m/>
    <m/>
    <m/>
    <m/>
    <m/>
    <m/>
    <m/>
    <m/>
    <m/>
  </r>
  <r>
    <s v="TRIFÁSICO"/>
    <s v="10/1266128-6"/>
    <n v="67991306665"/>
    <s v="62.955.505/3793-95"/>
    <s v="energisa_ms"/>
    <s v="Igreja do Evangelho Quadrangular"/>
    <x v="20"/>
    <m/>
    <s v="SIM"/>
    <n v="325"/>
    <n v="448.76888888888897"/>
    <n v="376.69712222222233"/>
    <s v="Aprovado"/>
    <n v="343.19888888888886"/>
    <n v="271.13"/>
    <d v="2025-12-08T00:00:00"/>
    <d v="2025-12-18T00:00:00"/>
    <n v="271.13"/>
    <m/>
    <m/>
    <m/>
    <x v="1"/>
    <n v="271.13"/>
    <m/>
    <d v="2025-12-15T00:00:00"/>
    <m/>
    <m/>
    <m/>
    <m/>
    <m/>
    <m/>
    <m/>
    <m/>
    <m/>
    <m/>
  </r>
  <r>
    <s v="BIFÁSICO"/>
    <s v="10/466560-0"/>
    <n v="67998302932"/>
    <s v="62.955.505/0155-12"/>
    <s v="energisa_ms"/>
    <s v="Igreja do Evangelho Quadrangular"/>
    <x v="20"/>
    <m/>
    <s v="SIM"/>
    <n v="208"/>
    <n v="326.92399999999998"/>
    <n v="280.83656000000002"/>
    <s v="Aprovado"/>
    <n v="219.464"/>
    <n v="173.38"/>
    <d v="2025-12-05T00:00:00"/>
    <d v="2025-12-15T00:00:00"/>
    <n v="173.38"/>
    <m/>
    <m/>
    <m/>
    <x v="5"/>
    <m/>
    <m/>
    <m/>
    <m/>
    <m/>
    <m/>
    <m/>
    <m/>
    <m/>
    <m/>
    <m/>
    <m/>
    <m/>
  </r>
  <r>
    <s v="TRIFÁSICO"/>
    <s v="10/280638-8"/>
    <s v="67 81355403"/>
    <s v="62.955.505/8432-53"/>
    <s v="energisa_ms"/>
    <s v="Igreja do Evangelho Quadrangular"/>
    <x v="20"/>
    <m/>
    <s v="SIM"/>
    <n v="169"/>
    <n v="325.35527777777781"/>
    <n v="287.88596944444447"/>
    <s v="Aprovado"/>
    <n v="178.42527777777781"/>
    <n v="140.96"/>
    <d v="2025-12-05T00:00:00"/>
    <d v="2025-12-15T00:00:00"/>
    <n v="140.96"/>
    <m/>
    <m/>
    <m/>
    <x v="1"/>
    <n v="140.96"/>
    <m/>
    <d v="2025-12-09T00:00:00"/>
    <m/>
    <m/>
    <m/>
    <m/>
    <m/>
    <m/>
    <m/>
    <m/>
    <m/>
    <m/>
  </r>
  <r>
    <s v="TRIFÁSICO"/>
    <s v="10/908866-7"/>
    <n v="67992637973"/>
    <s v="62.955.505/3586-30"/>
    <s v="energisa_ms"/>
    <s v="Igreja do Evangelho Quadrangular"/>
    <x v="20"/>
    <m/>
    <s v="SIM"/>
    <n v="79"/>
    <n v="237.98103448275862"/>
    <n v="220.46681724137932"/>
    <s v="Aprovado"/>
    <n v="83.401034482758604"/>
    <n v="65.89"/>
    <d v="2025-12-05T00:00:00"/>
    <d v="2025-12-15T00:00:00"/>
    <n v="65.89"/>
    <m/>
    <m/>
    <m/>
    <x v="1"/>
    <n v="65.89"/>
    <m/>
    <d v="2025-12-12T00:00:00"/>
    <m/>
    <m/>
    <m/>
    <m/>
    <m/>
    <m/>
    <m/>
    <m/>
    <m/>
    <m/>
  </r>
  <r>
    <s v="TRIFÁSICO"/>
    <s v="10/3054052-0"/>
    <n v="67996266684"/>
    <s v="62.955.505/3124-87"/>
    <s v="energisa_ms"/>
    <s v="Igreja do Evangelho Quadrangular"/>
    <x v="20"/>
    <m/>
    <s v="SIM"/>
    <n v="0"/>
    <n v="145.93"/>
    <n v="145.93"/>
    <s v="Não emitido"/>
    <n v="-1.0009999999999999E-7"/>
    <n v="0"/>
    <d v="2025-12-05T00:00:00"/>
    <d v="2025-12-15T00:00:00"/>
    <n v="0"/>
    <s v="sem crédito consumido"/>
    <m/>
    <m/>
    <x v="0"/>
    <m/>
    <m/>
    <m/>
    <m/>
    <m/>
    <m/>
    <m/>
    <m/>
    <m/>
    <m/>
    <m/>
    <m/>
    <m/>
  </r>
  <r>
    <s v="TRIFÁSICO"/>
    <s v="10/283183-2"/>
    <s v="16 988508102"/>
    <s v="62.955.505/2876-01"/>
    <s v="energisa_ms"/>
    <s v="Igreja do Evangelho Quadrangular"/>
    <x v="20"/>
    <m/>
    <s v="SIM"/>
    <n v="102"/>
    <n v="258.20481927710847"/>
    <n v="235.5889072289157"/>
    <s v="Aprovado"/>
    <n v="107.69481927710842"/>
    <n v="85.08"/>
    <d v="2025-12-05T00:00:00"/>
    <d v="2025-12-15T00:00:00"/>
    <n v="85.08"/>
    <m/>
    <m/>
    <m/>
    <x v="1"/>
    <n v="85.08"/>
    <m/>
    <d v="2002-12-09T00:00:00"/>
    <m/>
    <m/>
    <m/>
    <m/>
    <m/>
    <m/>
    <m/>
    <m/>
    <m/>
    <m/>
  </r>
  <r>
    <s v="TRIFÁSICO"/>
    <s v="10/24514-2"/>
    <n v="67996266684"/>
    <s v="62.955.505/1570-66"/>
    <s v="energisa_ms"/>
    <s v="Igreja do Evangelho Quadrangular"/>
    <x v="20"/>
    <m/>
    <s v="SIM"/>
    <n v="149"/>
    <n v="274.47133333333335"/>
    <n v="241.43595333333334"/>
    <s v="Aprovado"/>
    <n v="157.31133333333335"/>
    <n v="124.28"/>
    <d v="2025-12-05T00:00:00"/>
    <d v="2025-12-15T00:00:00"/>
    <n v="124.28"/>
    <m/>
    <m/>
    <m/>
    <x v="1"/>
    <n v="124.28"/>
    <m/>
    <d v="2025-12-10T00:00:00"/>
    <m/>
    <m/>
    <m/>
    <m/>
    <m/>
    <m/>
    <m/>
    <m/>
    <m/>
    <m/>
  </r>
  <r>
    <s v="BIFÁSICO"/>
    <s v="10/952579-1"/>
    <n v="67996150274"/>
    <s v="62.955.505/8979-30"/>
    <s v="energisa_ms"/>
    <s v="Igreja do Evangelho Quadrangular"/>
    <x v="20"/>
    <m/>
    <s v="SIM"/>
    <n v="172"/>
    <n v="606.70251612903223"/>
    <n v="568.56598774193549"/>
    <s v="Aprovado"/>
    <n v="181.60251612903227"/>
    <n v="143.47"/>
    <d v="2025-12-05T00:00:00"/>
    <d v="2025-12-15T00:00:00"/>
    <n v="143.47"/>
    <m/>
    <m/>
    <m/>
    <x v="1"/>
    <n v="143.47"/>
    <m/>
    <d v="2025-12-09T00:00:00"/>
    <m/>
    <m/>
    <m/>
    <m/>
    <m/>
    <m/>
    <m/>
    <m/>
    <m/>
    <m/>
  </r>
  <r>
    <s v="TRIFÁSICO"/>
    <s v="10/252817-2"/>
    <n v="67992637973"/>
    <s v="62.955.505/2740-20"/>
    <s v="energisa_ms"/>
    <s v="Igreja do Evangelho Quadrangular"/>
    <x v="20"/>
    <m/>
    <s v="SIM"/>
    <n v="359"/>
    <n v="532.00974358974361"/>
    <n v="452.40929743589743"/>
    <s v="Aprovado"/>
    <n v="379.04974358974363"/>
    <n v="299.45"/>
    <d v="2025-12-05T00:00:00"/>
    <d v="2025-12-15T00:00:00"/>
    <n v="299.45"/>
    <m/>
    <m/>
    <m/>
    <x v="1"/>
    <n v="299.45"/>
    <m/>
    <d v="2025-12-15T00:00:00"/>
    <m/>
    <m/>
    <m/>
    <m/>
    <m/>
    <m/>
    <m/>
    <m/>
    <m/>
    <m/>
  </r>
  <r>
    <s v="TRIFÁSICO"/>
    <s v="10/72605-9"/>
    <n v="67996071169"/>
    <s v="62.955.505/1364-92"/>
    <s v="energisa_ms"/>
    <s v="Igreja do Evangelho Quadrangular"/>
    <x v="20"/>
    <m/>
    <s v="SIM"/>
    <n v="150"/>
    <n v="322.18999999999994"/>
    <n v="288.93229999999994"/>
    <s v="Aprovado"/>
    <n v="158.36999999999998"/>
    <n v="125.11"/>
    <d v="2025-12-05T00:00:00"/>
    <d v="2025-12-15T00:00:00"/>
    <n v="125.11"/>
    <m/>
    <m/>
    <m/>
    <x v="1"/>
    <n v="125.11"/>
    <m/>
    <d v="2025-12-15T00:00:00"/>
    <m/>
    <m/>
    <m/>
    <m/>
    <m/>
    <m/>
    <m/>
    <m/>
    <m/>
    <m/>
  </r>
  <r>
    <s v="BIFÁSICO"/>
    <s v="10/1130988-7"/>
    <n v="67992637973"/>
    <s v="62.955.505/0408-94"/>
    <s v="energisa_ms"/>
    <s v="Igreja do Evangelho Quadrangular"/>
    <x v="20"/>
    <m/>
    <s v="SIM"/>
    <n v="185"/>
    <n v="215.87789473684211"/>
    <n v="174.87163684210532"/>
    <s v="Aprovado"/>
    <n v="195.26789473684209"/>
    <n v="154.26"/>
    <d v="2025-12-08T00:00:00"/>
    <d v="2025-12-18T00:00:00"/>
    <n v="154.26"/>
    <m/>
    <m/>
    <m/>
    <x v="5"/>
    <m/>
    <m/>
    <m/>
    <m/>
    <m/>
    <m/>
    <m/>
    <m/>
    <m/>
    <m/>
    <m/>
    <m/>
    <m/>
  </r>
  <r>
    <s v="TRIFÁSICO"/>
    <s v="10/505854-0"/>
    <n v="67996446178"/>
    <s v="62.955.505/8873-82"/>
    <s v="energisa_ms"/>
    <s v="Igreja do Evangelho Quadrangular"/>
    <x v="20"/>
    <m/>
    <s v="SIM"/>
    <n v="14"/>
    <n v="140.83000000000001"/>
    <n v="137.72620000000001"/>
    <s v="Aprovado"/>
    <n v="14.779999899899998"/>
    <n v="11.68"/>
    <d v="2025-12-05T00:00:00"/>
    <d v="2025-12-15T00:00:00"/>
    <n v="11.68"/>
    <m/>
    <m/>
    <m/>
    <x v="5"/>
    <m/>
    <m/>
    <m/>
    <m/>
    <m/>
    <m/>
    <m/>
    <m/>
    <m/>
    <m/>
    <m/>
    <m/>
    <m/>
  </r>
  <r>
    <s v="BIFÁSICO"/>
    <s v="10/530195-7"/>
    <n v="67999516782"/>
    <s v="62.955.505/3671-17"/>
    <s v="energisa_ms"/>
    <s v="Igreja do Evangelho Quadrangular"/>
    <x v="20"/>
    <m/>
    <s v="SIM"/>
    <n v="75"/>
    <n v="165.61131578947374"/>
    <n v="148.98113947368427"/>
    <s v="Aprovado"/>
    <n v="79.191315789473677"/>
    <n v="62.56"/>
    <d v="2025-12-05T00:00:00"/>
    <d v="2025-12-15T00:00:00"/>
    <n v="62.56"/>
    <m/>
    <m/>
    <m/>
    <x v="5"/>
    <m/>
    <m/>
    <m/>
    <m/>
    <m/>
    <m/>
    <m/>
    <m/>
    <m/>
    <m/>
    <m/>
    <m/>
    <m/>
  </r>
  <r>
    <s v="BIFÁSICO"/>
    <s v="10/175073-6"/>
    <n v="67999516782"/>
    <s v="62.955.505/1344-49"/>
    <s v="energisa_ms"/>
    <s v="Igreja do Evangelho Quadrangular"/>
    <x v="20"/>
    <m/>
    <s v="SIM"/>
    <n v="43"/>
    <n v="124.17999999999999"/>
    <n v="114.6439"/>
    <s v="Não emitido"/>
    <n v="-75.37"/>
    <n v="0"/>
    <d v="2025-12-05T00:00:00"/>
    <d v="2025-12-15T00:00:00"/>
    <n v="0"/>
    <s v="Sem valor liberado para emissão"/>
    <m/>
    <m/>
    <x v="0"/>
    <m/>
    <m/>
    <m/>
    <m/>
    <m/>
    <m/>
    <m/>
    <m/>
    <m/>
    <m/>
    <m/>
    <m/>
    <m/>
  </r>
  <r>
    <e v="#N/A"/>
    <s v="10/2247256-7"/>
    <e v="#N/A"/>
    <e v="#N/A"/>
    <s v="energisa_ms"/>
    <s v="Igreja do Evangelho Quadrangular"/>
    <x v="20"/>
    <m/>
    <s v="SIM"/>
    <n v="489"/>
    <n v="819.86235294117648"/>
    <n v="710.32589270588232"/>
    <s v="Aprovado"/>
    <n v="1011.6421914966387"/>
    <n v="902.11"/>
    <d v="2025-12-08T00:00:00"/>
    <d v="2025-12-18T00:00:00"/>
    <n v="902.11"/>
    <m/>
    <m/>
    <m/>
    <x v="5"/>
    <m/>
    <m/>
    <m/>
    <m/>
    <m/>
    <m/>
    <m/>
    <m/>
    <m/>
    <m/>
    <m/>
    <m/>
    <m/>
  </r>
  <r>
    <e v="#N/A"/>
    <s v="10/925970-6"/>
    <e v="#N/A"/>
    <e v="#N/A"/>
    <s v="energisa_ms"/>
    <s v="Igreja do Evangelho Quadrangular"/>
    <x v="20"/>
    <m/>
    <s v="SIM"/>
    <n v="384"/>
    <n v="508.0714285714285"/>
    <n v="422.94132857142858"/>
    <s v="Aprovado"/>
    <n v="779.48142856142852"/>
    <n v="694.35"/>
    <d v="2025-12-05T00:00:00"/>
    <d v="2025-12-15T00:00:00"/>
    <n v="694.35"/>
    <m/>
    <m/>
    <m/>
    <x v="5"/>
    <m/>
    <m/>
    <m/>
    <m/>
    <m/>
    <m/>
    <m/>
    <m/>
    <m/>
    <m/>
    <m/>
    <m/>
    <m/>
  </r>
  <r>
    <s v="TRIFÁSICO"/>
    <s v="10/8777-5"/>
    <s v="67 992319530"/>
    <s v="62.955.505/1224-32"/>
    <s v="energisa_ms"/>
    <s v="Igreja do Evangelho Quadrangular"/>
    <x v="20"/>
    <m/>
    <s v="SIM"/>
    <n v="1"/>
    <n v="684.18865853658531"/>
    <n v="683.96634024390244"/>
    <s v="Não emitido"/>
    <n v="1.0586584365853657"/>
    <n v="0.84"/>
    <d v="2025-12-05T00:00:00"/>
    <d v="2025-12-15T00:00:00"/>
    <n v="0.84"/>
    <s v="valor baixo para emissão"/>
    <m/>
    <m/>
    <x v="0"/>
    <m/>
    <m/>
    <m/>
    <m/>
    <m/>
    <m/>
    <m/>
    <m/>
    <m/>
    <m/>
    <m/>
    <m/>
    <m/>
  </r>
  <r>
    <s v="BIFÁSICO"/>
    <s v="10/41548-9"/>
    <n v="67996687077"/>
    <s v="62.955.505/2690-26"/>
    <s v="energisa_ms"/>
    <s v="Igreja do Evangelho Quadrangular"/>
    <x v="20"/>
    <m/>
    <s v="SIM"/>
    <n v="241"/>
    <n v="487.81565217391301"/>
    <n v="434.3820652173913"/>
    <s v="Aprovado"/>
    <n v="107.27565217391302"/>
    <n v="53.84"/>
    <d v="2025-12-08T00:00:00"/>
    <d v="2025-12-18T00:00:00"/>
    <n v="53.84"/>
    <m/>
    <m/>
    <m/>
    <x v="1"/>
    <n v="53.84"/>
    <m/>
    <d v="2025-12-11T00:00:00"/>
    <m/>
    <m/>
    <m/>
    <m/>
    <m/>
    <m/>
    <m/>
    <m/>
    <m/>
    <m/>
  </r>
  <r>
    <m/>
    <m/>
    <m/>
    <m/>
    <m/>
    <m/>
    <x v="21"/>
    <m/>
    <m/>
    <m/>
    <m/>
    <m/>
    <m/>
    <m/>
    <m/>
    <m/>
    <m/>
    <m/>
    <m/>
    <m/>
    <m/>
    <x v="6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DFBDC-A458-447D-ADC8-6DA0D777193B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Região">
  <location ref="A33:B34" firstHeaderRow="1" firstDataRow="1" firstDataCol="1" rowPageCount="1" colPageCount="1"/>
  <pivotFields count="25">
    <pivotField axis="axisRow" dataField="1" showAll="0" sortType="ascending">
      <items count="19">
        <item m="1" x="5"/>
        <item m="1" x="11"/>
        <item m="1" x="6"/>
        <item m="1" x="15"/>
        <item m="1" x="9"/>
        <item m="1" x="8"/>
        <item m="1" x="14"/>
        <item m="1" x="16"/>
        <item m="1" x="12"/>
        <item m="1" x="7"/>
        <item m="1" x="13"/>
        <item m="1" x="10"/>
        <item h="1" x="2"/>
        <item m="1" x="4"/>
        <item m="1" x="17"/>
        <item h="1" x="1"/>
        <item h="1"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44" showAll="0"/>
    <pivotField numFmtId="44"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2"/>
        <item x="0"/>
        <item x="1"/>
        <item x="3"/>
        <item x="4"/>
        <item m="1" x="5"/>
        <item t="default"/>
      </items>
    </pivotField>
    <pivotField showAll="0"/>
    <pivotField numFmtId="44" showAll="0"/>
    <pivotField showAll="0"/>
  </pivotFields>
  <rowFields count="1">
    <field x="0"/>
  </rowFields>
  <rowItems count="1">
    <i t="grand">
      <x/>
    </i>
  </rowItems>
  <colItems count="1">
    <i/>
  </colItems>
  <pageFields count="1">
    <pageField fld="21" item="0" hier="-1"/>
  </pageFields>
  <dataFields count="1">
    <dataField name="% inadimplente" fld="0" showDataAs="percentOfTotal" baseField="0" baseItem="6" numFmtId="10"/>
  </dataFields>
  <formats count="2">
    <format dxfId="2">
      <pivotArea field="0" type="button" dataOnly="0" labelOnly="1" outline="0" axis="axisRow" fieldPosition="0"/>
    </format>
    <format dxfId="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FFA8F-3B09-4A5B-A6F2-923A7CEF4B06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Mês Ref">
  <location ref="A3:D15" firstHeaderRow="0" firstDataRow="1" firstDataCol="1" rowPageCount="1" colPageCount="1"/>
  <pivotFields count="35"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23">
        <item x="10"/>
        <item x="7"/>
        <item x="6"/>
        <item x="4"/>
        <item x="5"/>
        <item x="8"/>
        <item x="3"/>
        <item x="1"/>
        <item x="2"/>
        <item x="0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9">
        <item x="4"/>
        <item x="2"/>
        <item h="1" x="3"/>
        <item h="1" x="0"/>
        <item x="1"/>
        <item h="1" x="6"/>
        <item m="1" x="7"/>
        <item x="5"/>
        <item t="default"/>
      </items>
    </pivotField>
    <pivotField dataField="1"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1" hier="-1"/>
  </pageFields>
  <dataFields count="3">
    <dataField name="Qted" fld="1" subtotal="count" baseField="6" baseItem="1" numFmtId="164"/>
    <dataField name="Total Emitido (R$)" fld="17" baseField="0" baseItem="0"/>
    <dataField name="Total Pago (R$)" fld="22" baseField="0" baseItem="0"/>
  </dataFields>
  <formats count="8">
    <format dxfId="10">
      <pivotArea collapsedLevelsAreSubtotals="1" fieldPosition="0">
        <references count="2">
          <reference field="4294967294" count="1" selected="0">
            <x v="1"/>
          </reference>
          <reference field="6" count="6">
            <x v="1"/>
            <x v="2"/>
            <x v="3"/>
            <x v="4"/>
            <x v="5"/>
            <x v="6"/>
          </reference>
        </references>
      </pivotArea>
    </format>
    <format dxfId="9">
      <pivotArea field="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8">
      <pivotArea outline="0" collapsedLevelsAreSubtotals="1" fieldPosition="0"/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field="6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C1901B-0646-41F2-AC7B-EE47226F455E}" name="Base_Clientes" displayName="Base_Clientes" ref="A2:S96" totalsRowShown="0" headerRowDxfId="33" dataDxfId="31" headerRowBorderDxfId="32" tableBorderDxfId="30">
  <autoFilter ref="A2:S96" xr:uid="{D0C1901B-0646-41F2-AC7B-EE47226F455E}">
    <filterColumn colId="0">
      <filters>
        <filter val="10/3092868-3"/>
      </filters>
    </filterColumn>
  </autoFilter>
  <tableColumns count="19">
    <tableColumn id="1" xr3:uid="{479B7E55-D563-4FCB-9AED-0747C336B49A}" name="INSTALAÇÃO" dataDxfId="29"/>
    <tableColumn id="2" xr3:uid="{BA329C6C-EC8A-47A2-87BC-BCABD17D8C6B}" name="NOME COMPLETO OU RAZÃO SOCIAL" dataDxfId="28">
      <calculatedColumnFormula>VLOOKUP(Base_Clientes[[#This Row],[INSTALAÇÃO]],'[4]Infos Clientes'!$B:$D,3,FALSE)</calculatedColumnFormula>
    </tableColumn>
    <tableColumn id="3" xr3:uid="{7A1A35DD-CCFC-4847-AEEA-E2BBD782E5AB}" name="CNPJ" dataDxfId="27"/>
    <tableColumn id="14" xr3:uid="{56F75250-F18F-48AF-B2F3-F625BA4C03B9}" name="DISTRIBUIDORA" dataDxfId="26"/>
    <tableColumn id="4" xr3:uid="{AD48F255-B072-4673-A10F-1DA70FBEACC1}" name="STATUS RATEIO" dataDxfId="25"/>
    <tableColumn id="7" xr3:uid="{57FF336F-D7EB-4283-805B-8F906F0AE8FE}" name="STATUS DE CLIENTE" dataDxfId="24"/>
    <tableColumn id="6" xr3:uid="{F9BA1DC0-E78E-4E61-BAEF-2FC4C97E34BA}" name="MOTIVO RETIRADA" dataDxfId="23"/>
    <tableColumn id="8" xr3:uid="{23A6F7C7-E02C-4841-A280-E41AD50CBA1F}" name="DATA RETIRADA DE RATEIO" dataDxfId="22"/>
    <tableColumn id="11" xr3:uid="{F8231F16-A170-4C26-ACC9-BD91F062EF17}" name="E-MAIL" dataDxfId="21"/>
    <tableColumn id="12" xr3:uid="{4AD2BBF5-DDF4-4981-854F-05E634BB423C}" name="TELEFONE" dataDxfId="20"/>
    <tableColumn id="13" xr3:uid="{B7E5AF41-6ED8-4490-A90E-281D702A9C64}" name="FORNECIMENTO" dataDxfId="19"/>
    <tableColumn id="19" xr3:uid="{728E1347-4A03-4746-B020-C425427DE3DE}" name="DESCONTO CONTRATADO" dataDxfId="18"/>
    <tableColumn id="9" xr3:uid="{389C6C89-3490-427F-A303-238B381BE09A}" name="REGIÃO" dataDxfId="17"/>
    <tableColumn id="15" xr3:uid="{D2B390D6-9EAB-4ABD-9B3B-7BA5C6AD2D49}" name="CEP" dataDxfId="16"/>
    <tableColumn id="16" xr3:uid="{3B4897C0-C3CF-46FC-BF5B-7B9706C6844B}" name="UF" dataDxfId="15"/>
    <tableColumn id="17" xr3:uid="{EBED13D7-9457-4154-BAD0-CC3D3A25FCEB}" name="ENDEREÇO COMPLETO" dataDxfId="14"/>
    <tableColumn id="18" xr3:uid="{8D0BB9AC-41BC-48CF-AD1C-6C9935BF09A7}" name="CONS. DISPONÍVEL KWH" dataDxfId="13"/>
    <tableColumn id="10" xr3:uid="{10D911CF-F67F-4E7E-82B0-5E61F041710F}" name="CONSUMO ALVO" dataDxfId="12"/>
    <tableColumn id="5" xr3:uid="{029ECF03-8841-4E32-90F6-CE319FDB8B21}" name="BOLETOS ATRASADOS" dataDxfId="11">
      <calculatedColumnFormula>COUNTIFS(Faturamento!B:B,Base_Clientes[[#This Row],[INSTALAÇÃO]],Faturamento!V:V,"Atrasado")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B8E2BE-BD66-4DAA-8980-7919F1A3A459}" name="Tabela3" displayName="Tabela3" ref="A1:C8" totalsRowShown="0" headerRowDxfId="0">
  <autoFilter ref="A1:C8" xr:uid="{CEB8E2BE-BD66-4DAA-8980-7919F1A3A459}"/>
  <tableColumns count="3">
    <tableColumn id="1" xr3:uid="{4783BEDB-35B9-41BC-88FE-926ED9FBA5DE}" name="Processos EGS:"/>
    <tableColumn id="2" xr3:uid="{9F643DC7-FD5F-4535-9761-0546853833CF}" name="Gestão de Energia"/>
    <tableColumn id="3" xr3:uid="{8AF5993E-7671-4C92-AA66-62C59F41CCAB}" name="Atendimento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5-04-09T20:38:32.04" personId="{A06E3BC5-C06C-4402-97F4-93E69DF8FB32}" id="{17DE1078-1B8F-44A6-83A2-6918FC73C4C8}">
    <text>UC com créditos de GDII, provavelmente oriundos de GIROSSOL III</text>
  </threadedComment>
  <threadedComment ref="B14" dT="2025-04-09T20:38:32.04" personId="{A06E3BC5-C06C-4402-97F4-93E69DF8FB32}" id="{CFD8CABA-5A48-4F73-9CEA-C4A5C9058E27}">
    <text>UC com créditos de GDII, provavelmente oriundos de GIROSSOL III</text>
  </threadedComment>
  <threadedComment ref="B25" dT="2025-04-09T20:38:32.04" personId="{A06E3BC5-C06C-4402-97F4-93E69DF8FB32}" id="{A7C1883E-01AC-4749-8A67-DE301C6FDB1A}">
    <text>UC com créditos de GDII, provavelmente oriundos de GIROSSOL III</text>
  </threadedComment>
  <threadedComment ref="B30" dT="2025-03-26T18:20:12.64" personId="{1CA0D6DD-9422-4684-B0EE-635018220D59}" id="{7423171D-1DA3-42A8-A920-4A9738565118}">
    <text xml:space="preserve">UC com geração Local, não deve ser faturada
</text>
  </threadedComment>
  <threadedComment ref="B34" dT="2025-04-09T20:38:32.04" personId="{A06E3BC5-C06C-4402-97F4-93E69DF8FB32}" id="{CD5BE5F3-5430-44A7-95D0-5BAB7A559C93}">
    <text>UC com créditos de GDII, provavelmente oriundos de GIROSSOL III</text>
  </threadedComment>
  <threadedComment ref="B35" dT="2025-03-26T18:20:02.33" personId="{1CA0D6DD-9422-4684-B0EE-635018220D59}" id="{705FDF3C-B1E4-4F75-B991-3FD382BBAC96}">
    <text>UC com geração Local, não deve ser faturada</text>
  </threadedComment>
  <threadedComment ref="B37" dT="2025-03-27T13:12:08.16" personId="{1CA0D6DD-9422-4684-B0EE-635018220D59}" id="{4E5C5257-3C25-4EDC-BF38-487FB3FC37BD}">
    <text>UC com Geração local, mas que não supre todo o consumo.</text>
  </threadedComment>
  <threadedComment ref="B45" dT="2025-03-26T18:20:12.64" personId="{1CA0D6DD-9422-4684-B0EE-635018220D59}" id="{7A2FB2E0-0D94-47B4-8D90-C773E23ACEE6}">
    <text xml:space="preserve">UC com geração Local, não deve ser faturada
</text>
  </threadedComment>
  <threadedComment ref="B61" dT="2025-04-09T20:38:32.04" personId="{A06E3BC5-C06C-4402-97F4-93E69DF8FB32}" id="{76FA1F15-8B27-4336-99E8-CD045CD7917B}">
    <text>UC com créditos de GDII, provavelmente oriundos de GIROSSOL III</text>
  </threadedComment>
  <threadedComment ref="B70" dT="2025-02-14T20:54:05.47" personId="{1CA0D6DD-9422-4684-B0EE-635018220D59}" id="{D078156A-4410-4CEB-ACF3-03D5AD457A9E}">
    <text>Unidade em GDI e GDII</text>
  </threadedComment>
  <threadedComment ref="B73" dT="2025-04-09T20:38:32.04" personId="{A06E3BC5-C06C-4402-97F4-93E69DF8FB32}" id="{E687FA74-482E-46EE-A6F5-83A9C9C08CCC}">
    <text>UC com créditos de GDII, provavelmente oriundos de GIROSSOL III</text>
  </threadedComment>
  <threadedComment ref="B77" dT="2025-03-27T13:12:08.16" personId="{1CA0D6DD-9422-4684-B0EE-635018220D59}" id="{1BCEA3AF-7921-4703-B6E5-A1DC82943874}">
    <text>UC com Geração local, mas que não supre todo o consumo.</text>
  </threadedComment>
  <threadedComment ref="B78" dT="2025-04-09T20:38:32.04" personId="{A06E3BC5-C06C-4402-97F4-93E69DF8FB32}" id="{D7B8F9FD-A8E9-4436-BBEB-1A1C25D8B98F}">
    <text>UC com créditos de GDII, provavelmente oriundos de GIROSSOL III</text>
  </threadedComment>
  <threadedComment ref="B82" dT="2025-04-09T20:38:32.04" personId="{A06E3BC5-C06C-4402-97F4-93E69DF8FB32}" id="{E3F5D00C-6AD6-4513-B616-EBEBCA2E838E}">
    <text>UC com créditos de GDII, provavelmente oriundos de GIROSSOL III</text>
  </threadedComment>
  <threadedComment ref="B83" dT="2025-04-09T20:38:32.04" personId="{A06E3BC5-C06C-4402-97F4-93E69DF8FB32}" id="{15D3CF3C-DD2E-4592-B250-98F4B5AF69C8}">
    <text>UC com créditos de GDII, provavelmente oriundos de GIROSSOL III</text>
  </threadedComment>
  <threadedComment ref="B97" dT="2025-02-14T20:48:01.81" personId="{1CA0D6DD-9422-4684-B0EE-635018220D59}" id="{F2E20CC8-845F-4579-98E0-7C4A7D242C57}">
    <text xml:space="preserve">Unidade em GDI e GDII
</text>
  </threadedComment>
  <threadedComment ref="B100" dT="2025-05-09T14:13:56.41" personId="{A06E3BC5-C06C-4402-97F4-93E69DF8FB32}" id="{FD9BADA0-9B2F-476E-ACB6-2743BB491AED}">
    <text xml:space="preserve">Data de emissão maior ou igual a data de emissão da fatura da Usina de Abril. Isso gerou uma diferença entre Gerado e Gerado TUSD
</text>
  </threadedComment>
  <threadedComment ref="B107" dT="2025-04-09T20:38:32.04" personId="{A06E3BC5-C06C-4402-97F4-93E69DF8FB32}" id="{9C20ED60-F66D-4D72-A37A-2E5E1392156D}">
    <text>UC com créditos de GDII, provavelmente oriundos de GIROSSOL III</text>
  </threadedComment>
  <threadedComment ref="B119" dT="2025-04-09T20:38:32.04" personId="{A06E3BC5-C06C-4402-97F4-93E69DF8FB32}" id="{CC37DE2B-A4CF-4CEC-A428-45F80368EEB5}">
    <text>UC com créditos de GDII, provavelmente oriundos de GIROSSOL III</text>
  </threadedComment>
  <threadedComment ref="B122" dT="2025-04-09T20:38:32.04" personId="{A06E3BC5-C06C-4402-97F4-93E69DF8FB32}" id="{E544ED40-54FF-4A8F-8175-20473E3487A0}">
    <text>UC com créditos de GDII, provavelmente oriundos de GIROSSOL III</text>
  </threadedComment>
  <threadedComment ref="B127" dT="2025-04-09T20:38:32.04" personId="{A06E3BC5-C06C-4402-97F4-93E69DF8FB32}" id="{72B7F5F0-CD2D-47E2-8550-E6FF44843FD9}">
    <text>UC com créditos de GDII, provavelmente oriundos de GIROSSOL III</text>
  </threadedComment>
  <threadedComment ref="B156" dT="2025-03-27T13:12:08.16" personId="{1CA0D6DD-9422-4684-B0EE-635018220D59}" id="{AA353292-E300-4AE4-8088-0730A6ED7809}">
    <text>UC com Geração local, mas que não supre todo o consumo.</text>
  </threadedComment>
  <threadedComment ref="B174" dT="2025-04-09T20:38:32.04" personId="{A06E3BC5-C06C-4402-97F4-93E69DF8FB32}" id="{B5210039-0EF1-4587-9D0A-56B9CE9093E2}">
    <text>UC com créditos de GDII, provavelmente oriundos de GIROSSOL III</text>
  </threadedComment>
  <threadedComment ref="B187" dT="2025-04-09T20:38:32.04" personId="{A06E3BC5-C06C-4402-97F4-93E69DF8FB32}" id="{FF0B8552-0F56-4CCD-9C90-03E2391860A0}">
    <text>UC com créditos de GDII, provavelmente oriundos de GIROSSOL III</text>
  </threadedComment>
  <threadedComment ref="B233" dT="2025-04-09T20:38:32.04" personId="{A06E3BC5-C06C-4402-97F4-93E69DF8FB32}" id="{6EF9EA8B-382C-4C47-AFC3-69132008ACF1}">
    <text>UC com créditos de GDII, provavelmente oriundos de GIROSSOL III</text>
  </threadedComment>
  <threadedComment ref="B234" dT="2025-04-09T20:38:32.04" personId="{A06E3BC5-C06C-4402-97F4-93E69DF8FB32}" id="{DBEE7052-06B7-4A63-8797-701A9313B74F}">
    <text>UC com créditos de GDII, provavelmente oriundos de GIROSSOL III</text>
  </threadedComment>
  <threadedComment ref="B244" dT="2025-05-09T14:13:56.41" personId="{A06E3BC5-C06C-4402-97F4-93E69DF8FB32}" id="{6A29838E-64FA-4318-AEDA-4EE25B4BB3D3}">
    <text xml:space="preserve">Data de emissão maior ou igual a data de emissão da fatura da Usina de Abril. Isso gerou uma diferença entre Gerado e Gerado TUSD
</text>
  </threadedComment>
  <threadedComment ref="B255" dT="2025-04-09T20:38:32.04" personId="{A06E3BC5-C06C-4402-97F4-93E69DF8FB32}" id="{D8D6097E-A14B-463F-B6CF-C51F40F3BF3F}">
    <text>UC com créditos de GDII, provavelmente oriundos de GIROSSOL III</text>
  </threadedComment>
  <threadedComment ref="B306" dT="2025-04-09T20:38:32.04" personId="{A06E3BC5-C06C-4402-97F4-93E69DF8FB32}" id="{1ED0B8EA-E896-4F52-938E-C9A084793E31}">
    <text>UC com créditos de GDII, provavelmente oriundos de GIROSSOL III</text>
  </threadedComment>
  <threadedComment ref="B320" dT="2025-04-09T20:38:32.04" personId="{A06E3BC5-C06C-4402-97F4-93E69DF8FB32}" id="{DCE061C9-844B-4125-B53F-67675A2AB66C}">
    <text>UC com créditos de GDII, provavelmente oriundos de GIROSSOL III</text>
  </threadedComment>
  <threadedComment ref="B358" dT="2025-04-09T20:38:32.04" personId="{A06E3BC5-C06C-4402-97F4-93E69DF8FB32}" id="{CA2A4676-694D-4406-8AB2-E4ED5626928D}">
    <text>UC com créditos de GDII, provavelmente oriundos de GIROSSOL III</text>
  </threadedComment>
  <threadedComment ref="B384" dT="2025-02-14T20:48:49.86" personId="{1CA0D6DD-9422-4684-B0EE-635018220D59}" id="{2801D516-5956-4937-89B9-CBCCA7CBFFD2}">
    <text xml:space="preserve">Unidade em GDI e GDII
</text>
  </threadedComment>
  <threadedComment ref="B400" dT="2025-05-09T14:13:56.41" personId="{A06E3BC5-C06C-4402-97F4-93E69DF8FB32}" id="{F5B533F4-17DD-49B3-9D8C-835B3732C913}">
    <text xml:space="preserve">Data de emissão maior ou igual a data de emissão da fatura da Usina de Abril. Isso gerou uma diferença entre Gerado e Gerado TUSD
</text>
  </threadedComment>
  <threadedComment ref="B401" dT="2025-05-09T14:13:56.41" personId="{A06E3BC5-C06C-4402-97F4-93E69DF8FB32}" id="{41846F97-EF51-4B53-8C8B-8F0A0CA59E2D}">
    <text xml:space="preserve">Data de emissão maior ou igual a data de emissão da fatura da Usina de Abril. Isso gerou uma diferença entre Gerado e Gerado TUSD
</text>
  </threadedComment>
  <threadedComment ref="B404" dT="2025-05-09T14:13:56.41" personId="{A06E3BC5-C06C-4402-97F4-93E69DF8FB32}" id="{4BDA1D48-ECFC-4748-B0B4-4A8DDC7B9265}">
    <text xml:space="preserve">Data de emissão maior ou igual a data de emissão da fatura da Usina de Abril. Isso gerou uma diferença entre Gerado e Gerado TUSD
</text>
  </threadedComment>
  <threadedComment ref="B405" dT="2025-05-09T14:13:56.41" personId="{A06E3BC5-C06C-4402-97F4-93E69DF8FB32}" id="{FCD986C2-AF0F-4C2C-BB5D-E17CCEBCC7A4}">
    <text xml:space="preserve">Data de emissão maior ou igual a data de emissão da fatura da Usina de Abril. Isso gerou uma diferença entre Gerado e Gerado TUSD
</text>
  </threadedComment>
  <threadedComment ref="B408" dT="2025-03-10T17:37:22.70" personId="{A06E3BC5-C06C-4402-97F4-93E69DF8FB32}" id="{D6120E6E-4604-44FF-83A0-AE0D1FDBD772}">
    <text xml:space="preserve">UC com rateio 0 mas teve crédito inj. 
</text>
  </threadedComment>
  <threadedComment ref="B420" dT="2025-03-27T13:12:08.16" personId="{1CA0D6DD-9422-4684-B0EE-635018220D59}" id="{38B8DA2E-3356-43F9-A206-7294DA82EBB6}">
    <text>UC com Geração local, mas que não supre todo o consumo.</text>
  </threadedComment>
  <threadedComment ref="B450" dT="2025-02-14T20:55:17.70" personId="{1CA0D6DD-9422-4684-B0EE-635018220D59}" id="{DD63234C-92C8-43FD-A087-8BF1EA782D40}">
    <text xml:space="preserve">Unidade em GDI e GDII
</text>
  </threadedComment>
  <threadedComment ref="B568" dT="2025-04-09T20:38:32.04" personId="{A06E3BC5-C06C-4402-97F4-93E69DF8FB32}" id="{759B3A45-9616-456E-9A80-9FE055F787B4}">
    <text>UC com créditos de GDII, provavelmente oriundos de GIROSSOL III</text>
  </threadedComment>
  <threadedComment ref="B610" dT="2025-05-09T14:13:56.41" personId="{A06E3BC5-C06C-4402-97F4-93E69DF8FB32}" id="{4F474F76-0AD2-499D-9379-D3F36DBEDA11}">
    <text xml:space="preserve">Data de emissão maior ou igual a data de emissão da fatura da Usina de Abril. Isso gerou uma diferença entre Gerado e Gerado TUSD
</text>
  </threadedComment>
  <threadedComment ref="B711" dT="2025-02-14T20:46:20.56" personId="{1CA0D6DD-9422-4684-B0EE-635018220D59}" id="{989A3E44-D572-49E6-BEA1-A62D377F56FB}">
    <text>Unidade em GDI e GDII</text>
  </threadedComment>
  <threadedComment ref="B810" dT="2025-02-13T20:50:20.24" personId="{1CA0D6DD-9422-4684-B0EE-635018220D59}" id="{5D6D4EB1-D19B-49AB-8775-F10DC7A3094D}">
    <text>UC está vinculada a essa usina no CVS para o portal, mas não foi enviada para o rateio para a EMS</text>
  </threadedComment>
  <threadedComment ref="B810" dT="2025-02-14T18:07:10.27" personId="{1CA0D6DD-9422-4684-B0EE-635018220D59}" id="{CAE42FEE-9B93-40AA-AD4F-8A06CBCF26D6}" parentId="{5D6D4EB1-D19B-49AB-8775-F10DC7A3094D}">
    <text>Houve erro e não foi incluída no rateio. Pode ser incluída nos próximos rateios</text>
  </threadedComment>
  <threadedComment ref="B823" dT="2025-02-13T20:37:52.60" personId="{1CA0D6DD-9422-4684-B0EE-635018220D59}" id="{B26ADDC2-805F-4BC5-9B43-99DC950BA6C6}">
    <text xml:space="preserve">Unidade não foi enviada no CSV para o portal, mas esta no rateio
</text>
  </threadedComment>
  <threadedComment ref="B823" dT="2025-02-14T18:07:58.33" personId="{1CA0D6DD-9422-4684-B0EE-635018220D59}" id="{2A6F5F29-3DD0-4285-A01F-363017AC263D}" parentId="{B26ADDC2-805F-4BC5-9B43-99DC950BA6C6}">
    <text>Estava na usina GDI, mas está como inativa e devem ser removidas</text>
  </threadedComment>
  <threadedComment ref="B824" dT="2025-02-13T20:37:56.54" personId="{1CA0D6DD-9422-4684-B0EE-635018220D59}" id="{9809C9A2-76CA-492D-94B7-9D91C896442A}">
    <text>Unidade não foi enviada no CSV para o portal, mas esta no rateio</text>
  </threadedComment>
  <threadedComment ref="B824" dT="2025-02-14T18:08:10.29" personId="{1CA0D6DD-9422-4684-B0EE-635018220D59}" id="{B0D839A2-F8E6-4C71-9DA2-A8E6E3A99831}" parentId="{9809C9A2-76CA-492D-94B7-9D91C896442A}">
    <text>Também esta inativa</text>
  </threadedComment>
  <threadedComment ref="B825" dT="2025-02-19T14:15:53.12" personId="{1CA0D6DD-9422-4684-B0EE-635018220D59}" id="{3B95CD01-0F31-4196-97FD-46A28624B44A}">
    <text>Sem consumo</text>
  </threadedComment>
  <threadedComment ref="B826" dT="2025-02-19T14:16:17.46" personId="{1CA0D6DD-9422-4684-B0EE-635018220D59}" id="{9A5DBA69-61B9-4E0D-9279-4E3A3CAD28FC}">
    <text>Sem compensação</text>
  </threadedComment>
  <threadedComment ref="B827" dT="2025-02-13T20:50:20.24" personId="{1CA0D6DD-9422-4684-B0EE-635018220D59}" id="{CC388AAB-2AD6-4F67-BB87-D28C84472631}">
    <text>UC está vinculada a essa usina no CVS para o portal, mas não foi enviada para o rateio para a EMS</text>
  </threadedComment>
  <threadedComment ref="B827" dT="2025-02-14T18:07:10.27" personId="{1CA0D6DD-9422-4684-B0EE-635018220D59}" id="{C88A4B4D-D572-47D9-826E-D25722015941}" parentId="{CC388AAB-2AD6-4F67-BB87-D28C84472631}">
    <text>Houve erro e não foi incluída no rateio. Pode ser incluída nos próximos rateios</text>
  </threadedComment>
  <threadedComment ref="B828" dT="2025-02-13T20:37:52.60" personId="{1CA0D6DD-9422-4684-B0EE-635018220D59}" id="{0BF08454-FB5F-4D57-A807-3B353A8E4D56}">
    <text xml:space="preserve">Unidade não foi enviada no CSV para o portal, mas esta no rateio
</text>
  </threadedComment>
  <threadedComment ref="B828" dT="2025-02-14T18:07:58.33" personId="{1CA0D6DD-9422-4684-B0EE-635018220D59}" id="{07286965-3ECC-4D40-9DE3-A39EC943DC10}" parentId="{0BF08454-FB5F-4D57-A807-3B353A8E4D56}">
    <text>Estava na usina GDI, mas está como inativa e devem ser removidas</text>
  </threadedComment>
  <threadedComment ref="B829" dT="2025-02-13T20:37:56.54" personId="{1CA0D6DD-9422-4684-B0EE-635018220D59}" id="{5D63E671-0113-47A4-B626-2FF24FDA82F8}">
    <text>Unidade não foi enviada no CSV para o portal, mas esta no rateio</text>
  </threadedComment>
  <threadedComment ref="B829" dT="2025-02-14T18:08:10.29" personId="{1CA0D6DD-9422-4684-B0EE-635018220D59}" id="{6471B8C0-5DFF-4907-927F-3A28A74B2303}" parentId="{5D63E671-0113-47A4-B626-2FF24FDA82F8}">
    <text>Também esta inativa (O pastor pediu para retirar do rateio)</text>
  </threadedComment>
  <threadedComment ref="B830" dT="2025-02-18T19:46:07.10" personId="{1CA0D6DD-9422-4684-B0EE-635018220D59}" id="{9F461C51-4C4E-4884-8C61-583EEA272B4A}">
    <text>Unidade encerrada</text>
  </threadedComment>
  <threadedComment ref="B831" dT="2025-02-18T19:26:13.06" personId="{1CA0D6DD-9422-4684-B0EE-635018220D59}" id="{9AC963BA-38A7-4A02-856F-3B7B6CFDDED4}">
    <text>Sem cobrança do custo de disponibilidade</text>
  </threadedComment>
  <threadedComment ref="B832" dT="2025-02-18T19:26:22.30" personId="{1CA0D6DD-9422-4684-B0EE-635018220D59}" id="{AD1E7038-3808-43D1-A801-E4E6A50FC866}">
    <text>Sem cobrança do custo de disponibilidade</text>
  </threadedComment>
  <threadedComment ref="B833" dT="2025-02-19T14:14:31.76" personId="{1CA0D6DD-9422-4684-B0EE-635018220D59}" id="{89293B6B-F84F-4FA6-8102-048D09989857}">
    <text>Sem compensação</text>
  </threadedComment>
  <threadedComment ref="B835" dT="2025-02-18T19:56:10.88" personId="{1CA0D6DD-9422-4684-B0EE-635018220D59}" id="{4879099C-F675-4327-9B67-B30B09D97CB6}">
    <text>2344751-9 - Dados antigos da UC 10/2934980-0 - Igreja 63105 Mudou de Endereço</text>
  </threadedComment>
  <threadedComment ref="B836" dT="2025-02-18T19:53:14.56" personId="{1CA0D6DD-9422-4684-B0EE-635018220D59}" id="{A43E09E5-490E-4B06-AD6C-197CF8ACE7F7}">
    <text>Unidade encerrada</text>
  </threadedComment>
  <threadedComment ref="B837" dT="2025-02-13T20:37:52.60" personId="{1CA0D6DD-9422-4684-B0EE-635018220D59}" id="{3013D503-206F-43F7-98D7-4F1AD5E93A65}">
    <text xml:space="preserve">Unidade não foi enviada no CSV para o portal, mas esta no rateio
</text>
  </threadedComment>
  <threadedComment ref="B837" dT="2025-02-14T18:07:58.33" personId="{1CA0D6DD-9422-4684-B0EE-635018220D59}" id="{F1F7E854-B6B7-4EB6-B249-C80FD39DF320}" parentId="{3013D503-206F-43F7-98D7-4F1AD5E93A65}">
    <text>Estava na usina GDI, mas está como inativa e devem ser removidas</text>
  </threadedComment>
  <threadedComment ref="B838" dT="2025-02-13T20:37:56.54" personId="{1CA0D6DD-9422-4684-B0EE-635018220D59}" id="{F3C9EA9E-AE6E-4551-8642-490A86859F17}">
    <text>Unidade não foi enviada no CSV para o portal, mas esta no rateio</text>
  </threadedComment>
  <threadedComment ref="B838" dT="2025-02-14T18:08:10.29" personId="{1CA0D6DD-9422-4684-B0EE-635018220D59}" id="{6ED139FF-D764-474A-AA51-300B8C827128}" parentId="{F3C9EA9E-AE6E-4551-8642-490A86859F17}">
    <text>Também esta inativa</text>
  </threadedComment>
  <threadedComment ref="B840" dT="2025-02-18T19:46:07.10" personId="{1CA0D6DD-9422-4684-B0EE-635018220D59}" id="{0359CD5D-A93D-4801-A8C0-B521CAA032C9}">
    <text>Unidade encerrada</text>
  </threadedComment>
  <threadedComment ref="B866" dT="2025-02-18T19:53:14.56" personId="{1CA0D6DD-9422-4684-B0EE-635018220D59}" id="{42909D6D-80EF-4789-A360-DD7BDEBFB7AE}">
    <text>Unidade encerrada</text>
  </threadedComment>
  <threadedComment ref="B878" dT="2025-02-18T19:56:10.88" personId="{1CA0D6DD-9422-4684-B0EE-635018220D59}" id="{2AB919A7-2E23-4F3F-B1B2-A9FA45FE9439}">
    <text>2344751-9 - Dados antigos da UC 10/2934980-0 - Igreja 63105 Mudou de Endereço</text>
  </threadedComment>
  <threadedComment ref="B880" dT="2025-02-18T19:46:07.10" personId="{1CA0D6DD-9422-4684-B0EE-635018220D59}" id="{6AFDDACF-F9DA-4D88-8A0F-9465808A17FC}">
    <text>Unidade encerrada</text>
  </threadedComment>
  <threadedComment ref="B901" dT="2025-04-10T18:52:54.47" personId="{A06E3BC5-C06C-4402-97F4-93E69DF8FB32}" id="{955616C6-7005-4514-AF8D-5A1B2369131E}">
    <text xml:space="preserve">UC encerrada. 
</text>
  </threadedComment>
  <threadedComment ref="B905" dT="2025-04-09T17:17:00.38" personId="{A06E3BC5-C06C-4402-97F4-93E69DF8FB32}" id="{60063553-E059-4446-93FE-7803D5FEF699}">
    <text xml:space="preserve">Estava riscado no rateio enviado com o numero: 3507698 escrito a mão. 
</text>
  </threadedComment>
  <threadedComment ref="B905" dT="2025-04-10T18:51:17.92" personId="{A06E3BC5-C06C-4402-97F4-93E69DF8FB32}" id="{DCE8E25A-500B-4CCC-AE75-B3F8265BA6AF}" parentId="{60063553-E059-4446-93FE-7803D5FEF699}">
    <text xml:space="preserve">UC 10/512142-1 inda sem fatura de Março na distribuidora. </text>
  </threadedComment>
  <threadedComment ref="B911" dT="2025-02-18T19:56:10.88" personId="{1CA0D6DD-9422-4684-B0EE-635018220D59}" id="{13B931A9-6770-4F87-A281-B6D8DB960C6F}">
    <text>2344751-9 - Dados antigos da UC 10/2934980-0 - Igreja 63105 Mudou de Endereço</text>
  </threadedComment>
  <threadedComment ref="B916" dT="2025-03-26T18:20:12.64" personId="{1CA0D6DD-9422-4684-B0EE-635018220D59}" id="{F9D5C609-B608-4AE3-AFFC-2755B1241E40}">
    <text xml:space="preserve">UC com geração Local, não deve ser faturada
</text>
  </threadedComment>
  <threadedComment ref="B917" dT="2025-02-18T19:46:07.10" personId="{1CA0D6DD-9422-4684-B0EE-635018220D59}" id="{4DF550E5-6039-4F61-B573-FA8AFDC1F9E6}">
    <text>Unidade encerrada</text>
  </threadedComment>
  <threadedComment ref="B919" dT="2025-04-10T18:52:54.47" personId="{A06E3BC5-C06C-4402-97F4-93E69DF8FB32}" id="{3FD153B9-F545-4A01-BE23-4AE481A5F1A9}">
    <text xml:space="preserve">UC encerrada. 
</text>
  </threadedComment>
  <threadedComment ref="B922" dT="2025-02-18T19:56:10.88" personId="{1CA0D6DD-9422-4684-B0EE-635018220D59}" id="{2F928198-77F1-4547-917A-BECEE50CB94D}">
    <text>2344751-9 - Dados antigos da UC 10/2934980-0 - Igreja 63105 Mudou de Endereço</text>
  </threadedComment>
  <threadedComment ref="B922" dT="2025-05-09T14:20:11.30" personId="{A06E3BC5-C06C-4402-97F4-93E69DF8FB32}" id="{A5781548-0938-46B5-AE01-6767908E4E21}" parentId="{2F928198-77F1-4547-917A-BECEE50CB94D}">
    <text>UC inativa na Energisa.</text>
  </threadedComment>
  <threadedComment ref="B924" dT="2025-06-09T13:52:53.03" personId="{A06E3BC5-C06C-4402-97F4-93E69DF8FB32}" id="{B80BCAAE-0B6C-43D6-804E-89B2B295900B}">
    <text>UC Inativa segundo o Thiago Fontes.</text>
  </threadedComment>
  <threadedComment ref="B927" dT="2025-03-26T18:20:12.64" personId="{1CA0D6DD-9422-4684-B0EE-635018220D59}" id="{B73A4663-0349-4982-89F6-B71E9DC0AD7F}">
    <text xml:space="preserve">UC com geração Local, não deve ser faturada
</text>
  </threadedComment>
  <threadedComment ref="B928" dT="2025-03-27T13:12:08.16" personId="{1CA0D6DD-9422-4684-B0EE-635018220D59}" id="{E3019D3A-7FA3-446D-A99E-8DB10C69B524}">
    <text>UC com Geração local, mas que não supre todo o consumo.</text>
  </threadedComment>
  <threadedComment ref="B929" dT="2025-06-07T01:22:24.85" personId="{A06E3BC5-C06C-4402-97F4-93E69DF8FB32}" id="{A625087D-8E1F-4175-A180-DD40A512E3EA}">
    <text>UC possivelmente com geração Local a partir de Maio/2025.</text>
  </threadedComment>
  <threadedComment ref="B930" dT="2025-02-18T19:46:07.10" personId="{1CA0D6DD-9422-4684-B0EE-635018220D59}" id="{D48ADA50-0A48-4A27-90BC-30E681784F6B}">
    <text>Unidade encerrada</text>
  </threadedComment>
  <threadedComment ref="B932" dT="2025-04-10T18:52:54.47" personId="{A06E3BC5-C06C-4402-97F4-93E69DF8FB32}" id="{CDA5BC05-C875-423A-8C0A-918BEA1F4DD4}">
    <text xml:space="preserve">UC encerrada. 
</text>
  </threadedComment>
  <threadedComment ref="B933" dT="2025-04-10T18:52:54.47" personId="{A06E3BC5-C06C-4402-97F4-93E69DF8FB32}" id="{B422EA1A-2C22-466A-BC33-EC847082B2D5}">
    <text xml:space="preserve">UC encerrada. 
</text>
  </threadedComment>
  <threadedComment ref="B934" dT="2025-02-18T19:56:10.88" personId="{1CA0D6DD-9422-4684-B0EE-635018220D59}" id="{4A97854E-F73E-463B-A419-892C6022D745}">
    <text>2344751-9 - Dados antigos da UC 10/2934980-0 - Igreja 63105 Mudou de Endereço</text>
  </threadedComment>
  <threadedComment ref="B934" dT="2025-05-09T14:20:11.30" personId="{A06E3BC5-C06C-4402-97F4-93E69DF8FB32}" id="{98C2FBC8-C8C0-4514-92B7-6996FC547F56}" parentId="{4A97854E-F73E-463B-A419-892C6022D745}">
    <text>UC inativa na Energisa.</text>
  </threadedComment>
  <threadedComment ref="B935" dT="2025-06-09T13:52:53.03" personId="{A06E3BC5-C06C-4402-97F4-93E69DF8FB32}" id="{928A76E1-4F78-4E58-AE44-B4A0F046C465}">
    <text>UC Inativa segundo o Thiago Fontes.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aurolimaaquino@hotmail.com" TargetMode="External"/><Relationship Id="rId13" Type="http://schemas.openxmlformats.org/officeDocument/2006/relationships/hyperlink" Target="mailto:regiao358ms@gmail.com" TargetMode="External"/><Relationship Id="rId18" Type="http://schemas.openxmlformats.org/officeDocument/2006/relationships/table" Target="../tables/table1.xml"/><Relationship Id="rId3" Type="http://schemas.openxmlformats.org/officeDocument/2006/relationships/hyperlink" Target="mailto:lucashenriquemarianorosa@gmail.com" TargetMode="External"/><Relationship Id="rId7" Type="http://schemas.openxmlformats.org/officeDocument/2006/relationships/hyperlink" Target="mailto:ieqnioaque@gmail.com" TargetMode="External"/><Relationship Id="rId12" Type="http://schemas.openxmlformats.org/officeDocument/2006/relationships/hyperlink" Target="mailto:prhelcio51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katiaconceicaogomes2020@gmail.com" TargetMode="External"/><Relationship Id="rId16" Type="http://schemas.openxmlformats.org/officeDocument/2006/relationships/hyperlink" Target="mailto:pastorsilviocesar@hotmail.com" TargetMode="External"/><Relationship Id="rId1" Type="http://schemas.openxmlformats.org/officeDocument/2006/relationships/hyperlink" Target="mailto:regiao371@gmail.com" TargetMode="External"/><Relationship Id="rId6" Type="http://schemas.openxmlformats.org/officeDocument/2006/relationships/hyperlink" Target="mailto:3ieqant302@gmail.com" TargetMode="External"/><Relationship Id="rId11" Type="http://schemas.openxmlformats.org/officeDocument/2006/relationships/hyperlink" Target="mailto:renildofernandeslima@gmail.com" TargetMode="External"/><Relationship Id="rId5" Type="http://schemas.openxmlformats.org/officeDocument/2006/relationships/hyperlink" Target="mailto:i.e.qmiranda302@gmail.com" TargetMode="External"/><Relationship Id="rId15" Type="http://schemas.openxmlformats.org/officeDocument/2006/relationships/hyperlink" Target="mailto:sanderortigosa1@gmail.com" TargetMode="External"/><Relationship Id="rId10" Type="http://schemas.openxmlformats.org/officeDocument/2006/relationships/hyperlink" Target="mailto:ieqaral@gmail.com" TargetMode="External"/><Relationship Id="rId4" Type="http://schemas.openxmlformats.org/officeDocument/2006/relationships/hyperlink" Target="mailto:adriana.santos@sanesul.ms.gov.br" TargetMode="External"/><Relationship Id="rId9" Type="http://schemas.openxmlformats.org/officeDocument/2006/relationships/hyperlink" Target="mailto:ieqcelsapucaia@gmail.com" TargetMode="External"/><Relationship Id="rId14" Type="http://schemas.openxmlformats.org/officeDocument/2006/relationships/hyperlink" Target="mailto:regiao358ms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3294-1C49-43D7-8182-01080B766B6E}">
  <dimension ref="B1:W47"/>
  <sheetViews>
    <sheetView showGridLines="0" topLeftCell="A10" zoomScale="90" zoomScaleNormal="90" workbookViewId="0">
      <selection activeCell="B78" sqref="B78"/>
    </sheetView>
  </sheetViews>
  <sheetFormatPr defaultColWidth="9.109375" defaultRowHeight="14.4" x14ac:dyDescent="0.3"/>
  <cols>
    <col min="1" max="1" width="9.109375" style="88"/>
    <col min="2" max="2" width="13.44140625" style="88" bestFit="1" customWidth="1"/>
    <col min="3" max="3" width="13.44140625" style="90" bestFit="1" customWidth="1"/>
    <col min="4" max="4" width="22.6640625" style="88" bestFit="1" customWidth="1"/>
    <col min="5" max="5" width="18" style="88" bestFit="1" customWidth="1"/>
    <col min="6" max="6" width="17.6640625" style="88" bestFit="1" customWidth="1"/>
    <col min="7" max="7" width="20" style="88" customWidth="1"/>
    <col min="8" max="8" width="22.44140625" style="88" bestFit="1" customWidth="1"/>
    <col min="9" max="9" width="39.109375" style="88" bestFit="1" customWidth="1"/>
    <col min="10" max="13" width="9.109375" style="88"/>
    <col min="14" max="14" width="14.44140625" style="88" bestFit="1" customWidth="1"/>
    <col min="15" max="15" width="18.5546875" style="88" bestFit="1" customWidth="1"/>
    <col min="16" max="16" width="17.33203125" style="88" customWidth="1"/>
    <col min="17" max="17" width="19.33203125" style="88" customWidth="1"/>
    <col min="18" max="18" width="9.33203125" style="88" bestFit="1" customWidth="1"/>
    <col min="19" max="19" width="11.44140625" style="88" bestFit="1" customWidth="1"/>
    <col min="20" max="16384" width="9.109375" style="88"/>
  </cols>
  <sheetData>
    <row r="1" spans="2:23" x14ac:dyDescent="0.3">
      <c r="L1" s="88" t="s">
        <v>0</v>
      </c>
      <c r="Q1" s="98" t="s">
        <v>1</v>
      </c>
      <c r="U1" s="88" t="s">
        <v>2</v>
      </c>
    </row>
    <row r="2" spans="2:23" x14ac:dyDescent="0.3">
      <c r="B2" s="86" t="s">
        <v>3</v>
      </c>
      <c r="C2" s="87" t="s">
        <v>4</v>
      </c>
      <c r="D2" s="86" t="s">
        <v>5</v>
      </c>
      <c r="E2" s="86" t="s">
        <v>6</v>
      </c>
      <c r="F2" s="86" t="s">
        <v>7</v>
      </c>
      <c r="G2" s="86" t="s">
        <v>8</v>
      </c>
      <c r="H2" s="86" t="s">
        <v>364</v>
      </c>
      <c r="I2" s="86" t="s">
        <v>9</v>
      </c>
      <c r="Q2" s="99" t="s">
        <v>10</v>
      </c>
      <c r="R2" s="99" t="s">
        <v>11</v>
      </c>
      <c r="S2" s="99" t="s">
        <v>12</v>
      </c>
      <c r="T2" s="67"/>
      <c r="U2" t="s">
        <v>11</v>
      </c>
      <c r="V2" t="s">
        <v>13</v>
      </c>
      <c r="W2" t="s">
        <v>14</v>
      </c>
    </row>
    <row r="3" spans="2:23" x14ac:dyDescent="0.3">
      <c r="B3" s="89">
        <v>45658</v>
      </c>
      <c r="C3" s="90">
        <v>84</v>
      </c>
      <c r="D3" s="91">
        <v>19964.239999999991</v>
      </c>
      <c r="E3" s="91">
        <v>19059.439999999995</v>
      </c>
      <c r="F3" s="91">
        <v>0</v>
      </c>
      <c r="G3" s="91">
        <v>904.79999999999563</v>
      </c>
      <c r="H3" s="92">
        <v>4.5321034008807548E-2</v>
      </c>
      <c r="I3" s="107">
        <v>0.12</v>
      </c>
      <c r="Q3">
        <v>2025</v>
      </c>
      <c r="R3" t="s">
        <v>15</v>
      </c>
      <c r="S3">
        <v>135</v>
      </c>
      <c r="T3"/>
      <c r="U3" t="s">
        <v>15</v>
      </c>
      <c r="V3">
        <v>578</v>
      </c>
      <c r="W3">
        <v>662</v>
      </c>
    </row>
    <row r="4" spans="2:23" x14ac:dyDescent="0.3">
      <c r="B4" s="89">
        <v>45689</v>
      </c>
      <c r="C4" s="90">
        <v>50</v>
      </c>
      <c r="D4" s="91">
        <v>16003.590000000002</v>
      </c>
      <c r="E4" s="91">
        <v>15264.880000000003</v>
      </c>
      <c r="F4" s="91">
        <v>0</v>
      </c>
      <c r="G4" s="91">
        <v>738.70999999999913</v>
      </c>
      <c r="H4" s="92">
        <v>4.6159018070320412E-2</v>
      </c>
      <c r="I4" s="107">
        <v>0.11</v>
      </c>
      <c r="Q4">
        <v>2025</v>
      </c>
      <c r="R4" t="s">
        <v>16</v>
      </c>
      <c r="S4">
        <v>150</v>
      </c>
      <c r="T4"/>
      <c r="U4" t="s">
        <v>16</v>
      </c>
      <c r="V4">
        <v>1183</v>
      </c>
      <c r="W4">
        <v>1533</v>
      </c>
    </row>
    <row r="5" spans="2:23" x14ac:dyDescent="0.3">
      <c r="B5" s="89">
        <v>45717</v>
      </c>
      <c r="C5" s="90">
        <v>55</v>
      </c>
      <c r="D5" s="91">
        <v>17915.000000000007</v>
      </c>
      <c r="E5" s="91">
        <v>17007.830000000002</v>
      </c>
      <c r="F5" s="91">
        <v>0</v>
      </c>
      <c r="G5" s="91">
        <v>907.17000000000553</v>
      </c>
      <c r="H5" s="92">
        <v>5.0637454646944191E-2</v>
      </c>
      <c r="I5" s="107">
        <v>0.3</v>
      </c>
      <c r="Q5">
        <v>2025</v>
      </c>
      <c r="R5" t="s">
        <v>17</v>
      </c>
      <c r="S5">
        <v>78</v>
      </c>
      <c r="T5"/>
      <c r="U5" t="s">
        <v>17</v>
      </c>
      <c r="V5">
        <v>671</v>
      </c>
      <c r="W5">
        <v>909</v>
      </c>
    </row>
    <row r="6" spans="2:23" x14ac:dyDescent="0.3">
      <c r="B6" s="89">
        <v>45748</v>
      </c>
      <c r="C6" s="90">
        <v>86</v>
      </c>
      <c r="D6" s="91">
        <v>18900.910000000003</v>
      </c>
      <c r="E6" s="91">
        <v>16189.300000000007</v>
      </c>
      <c r="F6" s="91">
        <v>175.21</v>
      </c>
      <c r="G6" s="91">
        <v>2536.3999999999969</v>
      </c>
      <c r="H6" s="92">
        <v>0.13419459697972194</v>
      </c>
      <c r="I6" s="107">
        <v>0.32</v>
      </c>
      <c r="Q6"/>
      <c r="R6"/>
      <c r="S6"/>
      <c r="T6"/>
    </row>
    <row r="7" spans="2:23" x14ac:dyDescent="0.3">
      <c r="B7" s="89">
        <v>45778</v>
      </c>
      <c r="C7" s="90">
        <v>83</v>
      </c>
      <c r="D7" s="91">
        <v>16645.900000000001</v>
      </c>
      <c r="E7" s="91">
        <v>14193.639000000003</v>
      </c>
      <c r="F7" s="91">
        <v>0</v>
      </c>
      <c r="G7" s="91">
        <v>2452.2609999999986</v>
      </c>
      <c r="H7" s="92">
        <v>0.14731921974780568</v>
      </c>
      <c r="I7" s="107">
        <v>0.4</v>
      </c>
      <c r="T7"/>
    </row>
    <row r="8" spans="2:23" x14ac:dyDescent="0.3">
      <c r="B8" s="89">
        <v>45809</v>
      </c>
      <c r="C8" s="90">
        <v>63</v>
      </c>
      <c r="D8" s="91">
        <v>9822.369999999999</v>
      </c>
      <c r="E8" s="91">
        <v>9532.5733333333319</v>
      </c>
      <c r="F8" s="91">
        <v>0</v>
      </c>
      <c r="G8" s="91">
        <v>289.79666666666708</v>
      </c>
      <c r="H8" s="92">
        <v>2.9503741629226664E-2</v>
      </c>
      <c r="I8" s="107"/>
      <c r="Q8"/>
      <c r="R8"/>
      <c r="S8"/>
      <c r="T8"/>
    </row>
    <row r="9" spans="2:23" x14ac:dyDescent="0.3">
      <c r="B9" s="89">
        <v>45839</v>
      </c>
      <c r="C9" s="90">
        <v>75</v>
      </c>
      <c r="D9" s="91">
        <v>12120.210000000003</v>
      </c>
      <c r="E9" s="91">
        <v>12060.140000000003</v>
      </c>
      <c r="F9" s="91">
        <v>161.56</v>
      </c>
      <c r="G9" s="91">
        <v>-101.49000000000029</v>
      </c>
      <c r="H9" s="92">
        <v>0</v>
      </c>
      <c r="T9"/>
    </row>
    <row r="10" spans="2:23" x14ac:dyDescent="0.3">
      <c r="B10" s="89">
        <v>45870</v>
      </c>
      <c r="C10" s="90">
        <v>78</v>
      </c>
      <c r="D10" s="91">
        <v>14372.969999999996</v>
      </c>
      <c r="E10" s="91">
        <v>14030.099999999995</v>
      </c>
      <c r="F10" s="91">
        <v>172.03</v>
      </c>
      <c r="G10" s="91">
        <v>170.8400000000008</v>
      </c>
      <c r="H10" s="92">
        <v>1.1886200277326179E-2</v>
      </c>
      <c r="Q10"/>
      <c r="R10"/>
      <c r="S10"/>
      <c r="T10"/>
    </row>
    <row r="11" spans="2:23" x14ac:dyDescent="0.3">
      <c r="B11" s="89">
        <v>45901</v>
      </c>
      <c r="C11" s="90">
        <v>79</v>
      </c>
      <c r="D11" s="91">
        <v>18122.969999999998</v>
      </c>
      <c r="E11" s="91">
        <v>17328.50052631578</v>
      </c>
      <c r="F11" s="91">
        <v>0</v>
      </c>
      <c r="G11" s="91">
        <v>794.46947368421752</v>
      </c>
      <c r="H11" s="92">
        <v>4.3837708371432367E-2</v>
      </c>
    </row>
    <row r="12" spans="2:23" x14ac:dyDescent="0.3">
      <c r="B12" s="89">
        <v>45931</v>
      </c>
      <c r="C12" s="90">
        <v>85</v>
      </c>
      <c r="D12" s="91">
        <v>23671.210000000006</v>
      </c>
      <c r="E12" s="91">
        <v>22313.22</v>
      </c>
      <c r="F12" s="91">
        <v>0</v>
      </c>
      <c r="G12" s="91">
        <v>1357.9900000000052</v>
      </c>
      <c r="H12" s="92">
        <v>5.736884595253073E-2</v>
      </c>
    </row>
    <row r="13" spans="2:23" ht="16.95" customHeight="1" thickBot="1" x14ac:dyDescent="0.35">
      <c r="B13" s="89">
        <v>45962</v>
      </c>
      <c r="C13" s="90">
        <v>87</v>
      </c>
      <c r="D13" s="91">
        <v>28544.620000000006</v>
      </c>
      <c r="E13" s="91">
        <v>18614.41</v>
      </c>
      <c r="F13" s="91">
        <v>0</v>
      </c>
      <c r="G13" s="91">
        <v>9930.2100000000064</v>
      </c>
      <c r="H13" s="92">
        <v>0.34788376934077259</v>
      </c>
    </row>
    <row r="14" spans="2:23" ht="15" thickTop="1" x14ac:dyDescent="0.3">
      <c r="B14" s="93" t="s">
        <v>18</v>
      </c>
      <c r="C14" s="94">
        <v>825</v>
      </c>
      <c r="D14" s="95">
        <v>196083.98999999996</v>
      </c>
      <c r="E14" s="95">
        <v>175594.03285964907</v>
      </c>
      <c r="F14" s="95">
        <v>508.79999999999995</v>
      </c>
      <c r="G14" s="95">
        <v>8692.9571403508817</v>
      </c>
      <c r="H14" s="96">
        <v>5.6539885970176104E-2</v>
      </c>
    </row>
    <row r="42" spans="14:16" ht="15.6" x14ac:dyDescent="0.3">
      <c r="N42" s="100" t="s">
        <v>19</v>
      </c>
      <c r="O42" s="101" t="s">
        <v>20</v>
      </c>
      <c r="P42" s="101" t="s">
        <v>21</v>
      </c>
    </row>
    <row r="43" spans="14:16" ht="15.6" x14ac:dyDescent="0.3">
      <c r="N43" s="102" t="s">
        <v>22</v>
      </c>
      <c r="O43" s="103" t="s">
        <v>23</v>
      </c>
      <c r="P43" s="103" t="s">
        <v>24</v>
      </c>
    </row>
    <row r="44" spans="14:16" ht="15.6" x14ac:dyDescent="0.3">
      <c r="N44" s="102" t="s">
        <v>25</v>
      </c>
      <c r="O44" s="103" t="s">
        <v>26</v>
      </c>
      <c r="P44" s="103" t="s">
        <v>24</v>
      </c>
    </row>
    <row r="45" spans="14:16" ht="15.6" x14ac:dyDescent="0.3">
      <c r="N45" s="102" t="s">
        <v>27</v>
      </c>
      <c r="O45" s="103" t="s">
        <v>28</v>
      </c>
      <c r="P45" s="103" t="s">
        <v>29</v>
      </c>
    </row>
    <row r="46" spans="14:16" ht="15.6" x14ac:dyDescent="0.3">
      <c r="N46" s="102" t="s">
        <v>30</v>
      </c>
      <c r="O46" s="103" t="s">
        <v>31</v>
      </c>
      <c r="P46" s="103" t="s">
        <v>32</v>
      </c>
    </row>
    <row r="47" spans="14:16" ht="15.6" x14ac:dyDescent="0.3">
      <c r="N47" s="104" t="s">
        <v>33</v>
      </c>
      <c r="O47" s="105" t="s">
        <v>34</v>
      </c>
      <c r="P47" s="106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BF85-2C88-487C-8DBF-DB2913EC83BC}">
  <dimension ref="A2:S96"/>
  <sheetViews>
    <sheetView showGridLines="0" tabSelected="1" zoomScale="96" zoomScaleNormal="96" workbookViewId="0">
      <pane ySplit="2" topLeftCell="A53" activePane="bottomLeft" state="frozen"/>
      <selection pane="bottomLeft" activeCell="A79" sqref="A79"/>
    </sheetView>
  </sheetViews>
  <sheetFormatPr defaultColWidth="9.109375" defaultRowHeight="13.8" x14ac:dyDescent="0.3"/>
  <cols>
    <col min="1" max="1" width="15.5546875" style="114" bestFit="1" customWidth="1"/>
    <col min="2" max="2" width="35.109375" style="114" bestFit="1" customWidth="1"/>
    <col min="3" max="3" width="17.44140625" style="114" bestFit="1" customWidth="1"/>
    <col min="4" max="4" width="17.44140625" style="114" customWidth="1"/>
    <col min="5" max="5" width="19.88671875" style="114" bestFit="1" customWidth="1"/>
    <col min="6" max="6" width="20.44140625" style="114" bestFit="1" customWidth="1"/>
    <col min="7" max="7" width="20.33203125" style="114" bestFit="1" customWidth="1"/>
    <col min="8" max="8" width="26.6640625" style="114" bestFit="1" customWidth="1"/>
    <col min="9" max="9" width="54.6640625" style="114" bestFit="1" customWidth="1"/>
    <col min="10" max="10" width="18.88671875" style="114" customWidth="1"/>
    <col min="11" max="11" width="18.33203125" style="114" bestFit="1" customWidth="1"/>
    <col min="12" max="12" width="26" style="114" bestFit="1" customWidth="1"/>
    <col min="13" max="13" width="11.44140625" style="114" bestFit="1" customWidth="1"/>
    <col min="14" max="14" width="8.44140625" style="114" bestFit="1" customWidth="1"/>
    <col min="15" max="15" width="7.5546875" style="114" bestFit="1" customWidth="1"/>
    <col min="16" max="16" width="110.5546875" style="122" bestFit="1" customWidth="1"/>
    <col min="17" max="17" width="24.6640625" style="114" bestFit="1" customWidth="1"/>
    <col min="18" max="18" width="19" style="114" bestFit="1" customWidth="1"/>
    <col min="19" max="19" width="22.6640625" style="114" bestFit="1" customWidth="1"/>
    <col min="20" max="16384" width="9.109375" style="114"/>
  </cols>
  <sheetData>
    <row r="2" spans="1:19" s="112" customFormat="1" ht="27" customHeight="1" x14ac:dyDescent="0.3">
      <c r="A2" s="109" t="s">
        <v>93</v>
      </c>
      <c r="B2" s="109" t="s">
        <v>94</v>
      </c>
      <c r="C2" s="109" t="s">
        <v>37</v>
      </c>
      <c r="D2" s="109" t="s">
        <v>1790</v>
      </c>
      <c r="E2" s="110" t="s">
        <v>95</v>
      </c>
      <c r="F2" s="109" t="s">
        <v>35</v>
      </c>
      <c r="G2" s="109" t="s">
        <v>96</v>
      </c>
      <c r="H2" s="109" t="s">
        <v>1789</v>
      </c>
      <c r="I2" s="109" t="s">
        <v>97</v>
      </c>
      <c r="J2" s="109" t="s">
        <v>98</v>
      </c>
      <c r="K2" s="109" t="s">
        <v>99</v>
      </c>
      <c r="L2" s="109" t="s">
        <v>100</v>
      </c>
      <c r="M2" s="109" t="s">
        <v>101</v>
      </c>
      <c r="N2" s="109" t="s">
        <v>102</v>
      </c>
      <c r="O2" s="109" t="s">
        <v>103</v>
      </c>
      <c r="P2" s="109" t="s">
        <v>104</v>
      </c>
      <c r="Q2" s="111" t="s">
        <v>105</v>
      </c>
      <c r="R2" s="111" t="s">
        <v>1682</v>
      </c>
      <c r="S2" s="111" t="s">
        <v>106</v>
      </c>
    </row>
    <row r="3" spans="1:19" s="113" customFormat="1" hidden="1" x14ac:dyDescent="0.3">
      <c r="A3" s="113" t="s">
        <v>107</v>
      </c>
      <c r="B3" s="113" t="s">
        <v>108</v>
      </c>
      <c r="C3" s="114" t="s">
        <v>89</v>
      </c>
      <c r="D3" s="114" t="s">
        <v>1791</v>
      </c>
      <c r="E3" s="113" t="s">
        <v>124</v>
      </c>
      <c r="F3" s="113" t="s">
        <v>36</v>
      </c>
      <c r="G3" s="113" t="s">
        <v>131</v>
      </c>
      <c r="H3" s="191">
        <v>45954</v>
      </c>
      <c r="I3" s="115" t="s">
        <v>110</v>
      </c>
      <c r="J3" s="113">
        <v>6792157907</v>
      </c>
      <c r="K3" s="114" t="s">
        <v>111</v>
      </c>
      <c r="L3" s="116">
        <v>0.25</v>
      </c>
      <c r="M3" s="114">
        <v>319</v>
      </c>
      <c r="N3" s="117"/>
      <c r="O3" s="113" t="s">
        <v>112</v>
      </c>
      <c r="P3" s="115" t="s">
        <v>113</v>
      </c>
      <c r="Q3" s="118">
        <v>255</v>
      </c>
      <c r="R3" s="118">
        <v>325</v>
      </c>
      <c r="S3" s="113">
        <f>COUNTIFS(Faturamento!B:B,Base_Clientes[[#This Row],[INSTALAÇÃO]],Faturamento!V:V,"Atrasado")</f>
        <v>2</v>
      </c>
    </row>
    <row r="4" spans="1:19" hidden="1" x14ac:dyDescent="0.3">
      <c r="A4" s="113" t="s">
        <v>114</v>
      </c>
      <c r="B4" s="113" t="s">
        <v>108</v>
      </c>
      <c r="C4" s="113" t="s">
        <v>83</v>
      </c>
      <c r="D4" s="192" t="s">
        <v>1791</v>
      </c>
      <c r="E4" s="113" t="s">
        <v>109</v>
      </c>
      <c r="F4" s="113" t="s">
        <v>36</v>
      </c>
      <c r="G4" s="113"/>
      <c r="H4" s="113"/>
      <c r="I4" s="119" t="s">
        <v>115</v>
      </c>
      <c r="J4" s="113" t="s">
        <v>116</v>
      </c>
      <c r="K4" s="114" t="s">
        <v>111</v>
      </c>
      <c r="L4" s="120">
        <v>0.25</v>
      </c>
      <c r="M4" s="114">
        <v>302</v>
      </c>
      <c r="N4" s="113"/>
      <c r="O4" s="113" t="s">
        <v>112</v>
      </c>
      <c r="P4" s="115" t="s">
        <v>117</v>
      </c>
      <c r="Q4" s="118">
        <v>99.833333333333329</v>
      </c>
      <c r="R4" s="118">
        <v>99.833333333333329</v>
      </c>
      <c r="S4" s="113">
        <f>COUNTIFS(Faturamento!B:B,Base_Clientes[[#This Row],[INSTALAÇÃO]],Faturamento!V:V,"Atrasado")</f>
        <v>0</v>
      </c>
    </row>
    <row r="5" spans="1:19" hidden="1" x14ac:dyDescent="0.3">
      <c r="A5" s="113" t="s">
        <v>118</v>
      </c>
      <c r="B5" s="113" t="s">
        <v>108</v>
      </c>
      <c r="C5" s="113" t="s">
        <v>64</v>
      </c>
      <c r="D5" s="192" t="s">
        <v>1791</v>
      </c>
      <c r="E5" s="113" t="s">
        <v>109</v>
      </c>
      <c r="F5" s="113" t="s">
        <v>36</v>
      </c>
      <c r="G5" s="113"/>
      <c r="H5" s="113"/>
      <c r="I5" s="115" t="s">
        <v>119</v>
      </c>
      <c r="J5" s="113">
        <v>67996135721</v>
      </c>
      <c r="K5" s="114" t="s">
        <v>120</v>
      </c>
      <c r="L5" s="120">
        <v>0.25</v>
      </c>
      <c r="M5" s="114">
        <v>319</v>
      </c>
      <c r="N5" s="113"/>
      <c r="O5" s="113" t="s">
        <v>112</v>
      </c>
      <c r="P5" s="115" t="s">
        <v>121</v>
      </c>
      <c r="Q5" s="118">
        <v>453.58333333333331</v>
      </c>
      <c r="R5" s="118">
        <v>453.58333333333331</v>
      </c>
      <c r="S5" s="113">
        <f>COUNTIFS(Faturamento!B:B,Base_Clientes[[#This Row],[INSTALAÇÃO]],Faturamento!V:V,"Atrasado")</f>
        <v>0</v>
      </c>
    </row>
    <row r="6" spans="1:19" hidden="1" x14ac:dyDescent="0.3">
      <c r="A6" s="113" t="s">
        <v>122</v>
      </c>
      <c r="B6" s="113" t="s">
        <v>108</v>
      </c>
      <c r="C6" s="113" t="s">
        <v>123</v>
      </c>
      <c r="D6" s="192" t="s">
        <v>1791</v>
      </c>
      <c r="E6" s="113" t="s">
        <v>124</v>
      </c>
      <c r="F6" s="113" t="s">
        <v>125</v>
      </c>
      <c r="G6" s="113" t="s">
        <v>126</v>
      </c>
      <c r="H6" s="113"/>
      <c r="I6" s="115" t="s">
        <v>119</v>
      </c>
      <c r="J6" s="113">
        <v>67991767866</v>
      </c>
      <c r="L6" s="120">
        <v>0.25</v>
      </c>
      <c r="M6" s="114">
        <v>306</v>
      </c>
      <c r="N6" s="113"/>
      <c r="O6" s="113" t="s">
        <v>112</v>
      </c>
      <c r="P6" s="115"/>
      <c r="Q6" s="118">
        <v>136</v>
      </c>
      <c r="R6" s="118">
        <v>136</v>
      </c>
      <c r="S6" s="113">
        <f>COUNTIFS(Faturamento!B:B,Base_Clientes[[#This Row],[INSTALAÇÃO]],Faturamento!V:V,"Atrasado")</f>
        <v>0</v>
      </c>
    </row>
    <row r="7" spans="1:19" hidden="1" x14ac:dyDescent="0.3">
      <c r="A7" s="113" t="s">
        <v>127</v>
      </c>
      <c r="B7" s="113" t="s">
        <v>108</v>
      </c>
      <c r="C7" s="113" t="s">
        <v>49</v>
      </c>
      <c r="D7" s="192" t="s">
        <v>1791</v>
      </c>
      <c r="E7" s="113" t="s">
        <v>109</v>
      </c>
      <c r="F7" s="113" t="s">
        <v>36</v>
      </c>
      <c r="G7" s="113"/>
      <c r="H7" s="113"/>
      <c r="I7" s="114" t="s">
        <v>128</v>
      </c>
      <c r="J7" s="113">
        <v>67996446178</v>
      </c>
      <c r="K7" s="114" t="s">
        <v>111</v>
      </c>
      <c r="L7" s="120">
        <v>0.25</v>
      </c>
      <c r="M7" s="114">
        <v>351</v>
      </c>
      <c r="N7" s="113"/>
      <c r="O7" s="113" t="s">
        <v>112</v>
      </c>
      <c r="P7" s="115" t="s">
        <v>129</v>
      </c>
      <c r="Q7" s="118">
        <v>501.83333333333331</v>
      </c>
      <c r="R7" s="118">
        <v>547.4545454545455</v>
      </c>
      <c r="S7" s="113">
        <f>COUNTIFS(Faturamento!B:B,Base_Clientes[[#This Row],[INSTALAÇÃO]],Faturamento!V:V,"Atrasado")</f>
        <v>1</v>
      </c>
    </row>
    <row r="8" spans="1:19" hidden="1" x14ac:dyDescent="0.3">
      <c r="A8" s="113" t="s">
        <v>130</v>
      </c>
      <c r="B8" s="113" t="s">
        <v>108</v>
      </c>
      <c r="C8" s="113" t="s">
        <v>38</v>
      </c>
      <c r="D8" s="192" t="s">
        <v>1791</v>
      </c>
      <c r="E8" s="113" t="s">
        <v>124</v>
      </c>
      <c r="F8" s="113" t="s">
        <v>36</v>
      </c>
      <c r="G8" s="113" t="s">
        <v>131</v>
      </c>
      <c r="H8" s="191">
        <v>45954</v>
      </c>
      <c r="I8" s="115" t="s">
        <v>119</v>
      </c>
      <c r="J8" s="113" t="s">
        <v>132</v>
      </c>
      <c r="K8" s="114" t="s">
        <v>111</v>
      </c>
      <c r="L8" s="116">
        <v>0.25</v>
      </c>
      <c r="M8" s="114">
        <v>319</v>
      </c>
      <c r="N8" s="113"/>
      <c r="O8" s="113" t="s">
        <v>112</v>
      </c>
      <c r="P8" s="115" t="s">
        <v>133</v>
      </c>
      <c r="Q8" s="118">
        <v>224.41666666666666</v>
      </c>
      <c r="R8" s="118">
        <v>244.81818181818181</v>
      </c>
      <c r="S8" s="113">
        <f>COUNTIFS(Faturamento!B:B,Base_Clientes[[#This Row],[INSTALAÇÃO]],Faturamento!V:V,"Atrasado")</f>
        <v>6</v>
      </c>
    </row>
    <row r="9" spans="1:19" hidden="1" x14ac:dyDescent="0.3">
      <c r="A9" s="113" t="s">
        <v>134</v>
      </c>
      <c r="B9" s="113" t="s">
        <v>108</v>
      </c>
      <c r="C9" s="113" t="s">
        <v>91</v>
      </c>
      <c r="D9" s="192" t="s">
        <v>1791</v>
      </c>
      <c r="E9" s="113" t="s">
        <v>109</v>
      </c>
      <c r="F9" s="113" t="s">
        <v>36</v>
      </c>
      <c r="G9" s="113"/>
      <c r="H9" s="113"/>
      <c r="I9" s="115" t="s">
        <v>135</v>
      </c>
      <c r="J9" s="113">
        <v>67999516782</v>
      </c>
      <c r="K9" s="114" t="s">
        <v>120</v>
      </c>
      <c r="L9" s="120">
        <v>0.25</v>
      </c>
      <c r="M9" s="114">
        <v>362</v>
      </c>
      <c r="N9" s="113"/>
      <c r="O9" s="113" t="s">
        <v>112</v>
      </c>
      <c r="P9" s="115" t="s">
        <v>136</v>
      </c>
      <c r="Q9" s="118">
        <v>178.41666666666666</v>
      </c>
      <c r="R9" s="118">
        <v>178.41666666666666</v>
      </c>
      <c r="S9" s="113">
        <f>COUNTIFS(Faturamento!B:B,Base_Clientes[[#This Row],[INSTALAÇÃO]],Faturamento!V:V,"Atrasado")</f>
        <v>1</v>
      </c>
    </row>
    <row r="10" spans="1:19" hidden="1" x14ac:dyDescent="0.3">
      <c r="A10" s="113" t="s">
        <v>137</v>
      </c>
      <c r="B10" s="113" t="s">
        <v>108</v>
      </c>
      <c r="C10" s="113" t="s">
        <v>52</v>
      </c>
      <c r="D10" s="192" t="s">
        <v>1791</v>
      </c>
      <c r="E10" s="113" t="s">
        <v>109</v>
      </c>
      <c r="F10" s="113" t="s">
        <v>36</v>
      </c>
      <c r="G10" s="113"/>
      <c r="H10" s="113"/>
      <c r="I10" s="115" t="s">
        <v>138</v>
      </c>
      <c r="J10" s="113">
        <v>67992637973</v>
      </c>
      <c r="K10" s="114" t="s">
        <v>111</v>
      </c>
      <c r="L10" s="116">
        <v>0.25</v>
      </c>
      <c r="M10" s="114">
        <v>371</v>
      </c>
      <c r="N10" s="113"/>
      <c r="O10" s="113" t="s">
        <v>112</v>
      </c>
      <c r="P10" s="115" t="s">
        <v>139</v>
      </c>
      <c r="Q10" s="118">
        <v>218.66666666666666</v>
      </c>
      <c r="R10" s="118">
        <v>238.54545454545453</v>
      </c>
      <c r="S10" s="113">
        <f>COUNTIFS(Faturamento!B:B,Base_Clientes[[#This Row],[INSTALAÇÃO]],Faturamento!V:V,"Atrasado")</f>
        <v>0</v>
      </c>
    </row>
    <row r="11" spans="1:19" hidden="1" x14ac:dyDescent="0.3">
      <c r="A11" s="113" t="s">
        <v>140</v>
      </c>
      <c r="B11" s="113" t="s">
        <v>108</v>
      </c>
      <c r="C11" s="113" t="s">
        <v>141</v>
      </c>
      <c r="D11" s="192" t="s">
        <v>1791</v>
      </c>
      <c r="E11" s="113" t="s">
        <v>124</v>
      </c>
      <c r="F11" s="113" t="s">
        <v>125</v>
      </c>
      <c r="G11" s="113" t="s">
        <v>126</v>
      </c>
      <c r="H11" s="113"/>
      <c r="I11" s="115" t="s">
        <v>119</v>
      </c>
      <c r="J11" s="113">
        <v>67996575782</v>
      </c>
      <c r="K11" s="114" t="s">
        <v>120</v>
      </c>
      <c r="L11" s="120">
        <v>0.25</v>
      </c>
      <c r="M11" s="114">
        <v>319</v>
      </c>
      <c r="N11" s="113"/>
      <c r="O11" s="113" t="s">
        <v>112</v>
      </c>
      <c r="P11" s="115" t="s">
        <v>142</v>
      </c>
      <c r="Q11" s="118">
        <v>236.08333333333334</v>
      </c>
      <c r="R11" s="118">
        <v>236.08333333333334</v>
      </c>
      <c r="S11" s="113">
        <f>COUNTIFS(Faturamento!B:B,Base_Clientes[[#This Row],[INSTALAÇÃO]],Faturamento!V:V,"Atrasado")</f>
        <v>0</v>
      </c>
    </row>
    <row r="12" spans="1:19" hidden="1" x14ac:dyDescent="0.3">
      <c r="A12" s="113" t="s">
        <v>143</v>
      </c>
      <c r="B12" s="113" t="s">
        <v>108</v>
      </c>
      <c r="C12" s="113" t="s">
        <v>62</v>
      </c>
      <c r="D12" s="192" t="s">
        <v>1791</v>
      </c>
      <c r="E12" s="113" t="s">
        <v>109</v>
      </c>
      <c r="F12" s="113" t="s">
        <v>36</v>
      </c>
      <c r="G12" s="113"/>
      <c r="H12" s="113"/>
      <c r="I12" s="115" t="s">
        <v>119</v>
      </c>
      <c r="J12" s="113" t="s">
        <v>144</v>
      </c>
      <c r="K12" s="114" t="s">
        <v>120</v>
      </c>
      <c r="L12" s="120">
        <v>0.25</v>
      </c>
      <c r="M12" s="114">
        <v>319</v>
      </c>
      <c r="N12" s="113"/>
      <c r="O12" s="113" t="s">
        <v>112</v>
      </c>
      <c r="P12" s="115" t="s">
        <v>145</v>
      </c>
      <c r="Q12" s="118">
        <v>182.25</v>
      </c>
      <c r="R12" s="118">
        <v>182.25</v>
      </c>
      <c r="S12" s="113">
        <f>COUNTIFS(Faturamento!B:B,Base_Clientes[[#This Row],[INSTALAÇÃO]],Faturamento!V:V,"Atrasado")</f>
        <v>0</v>
      </c>
    </row>
    <row r="13" spans="1:19" hidden="1" x14ac:dyDescent="0.3">
      <c r="A13" s="113" t="s">
        <v>146</v>
      </c>
      <c r="B13" s="113" t="s">
        <v>108</v>
      </c>
      <c r="C13" s="113" t="s">
        <v>82</v>
      </c>
      <c r="D13" s="192" t="s">
        <v>1791</v>
      </c>
      <c r="E13" s="113" t="s">
        <v>109</v>
      </c>
      <c r="F13" s="113" t="s">
        <v>36</v>
      </c>
      <c r="G13" s="113"/>
      <c r="H13" s="113"/>
      <c r="I13" s="115" t="s">
        <v>119</v>
      </c>
      <c r="J13" s="113">
        <v>67991306665</v>
      </c>
      <c r="K13" s="114" t="s">
        <v>120</v>
      </c>
      <c r="L13" s="120">
        <v>0.25</v>
      </c>
      <c r="M13" s="114">
        <v>306</v>
      </c>
      <c r="N13" s="113"/>
      <c r="O13" s="113" t="s">
        <v>112</v>
      </c>
      <c r="P13" s="115" t="s">
        <v>147</v>
      </c>
      <c r="Q13" s="118">
        <v>365</v>
      </c>
      <c r="R13" s="118">
        <v>398.18181818181819</v>
      </c>
      <c r="S13" s="113">
        <f>COUNTIFS(Faturamento!B:B,Base_Clientes[[#This Row],[INSTALAÇÃO]],Faturamento!V:V,"Atrasado")</f>
        <v>0</v>
      </c>
    </row>
    <row r="14" spans="1:19" hidden="1" x14ac:dyDescent="0.3">
      <c r="A14" s="113" t="s">
        <v>148</v>
      </c>
      <c r="B14" s="113" t="s">
        <v>108</v>
      </c>
      <c r="C14" s="113" t="s">
        <v>75</v>
      </c>
      <c r="D14" s="192" t="s">
        <v>1791</v>
      </c>
      <c r="E14" s="113" t="s">
        <v>109</v>
      </c>
      <c r="F14" s="113" t="s">
        <v>36</v>
      </c>
      <c r="G14" s="113"/>
      <c r="H14" s="113"/>
      <c r="I14" s="115" t="s">
        <v>149</v>
      </c>
      <c r="J14" s="113">
        <v>67996150274</v>
      </c>
      <c r="K14" s="114" t="s">
        <v>120</v>
      </c>
      <c r="L14" s="120">
        <v>0.25</v>
      </c>
      <c r="M14" s="114">
        <v>360</v>
      </c>
      <c r="N14" s="113"/>
      <c r="O14" s="113" t="s">
        <v>112</v>
      </c>
      <c r="P14" s="115" t="s">
        <v>150</v>
      </c>
      <c r="Q14" s="118">
        <v>432.33333333333331</v>
      </c>
      <c r="R14" s="118">
        <v>471.63636363636363</v>
      </c>
      <c r="S14" s="113">
        <f>COUNTIFS(Faturamento!B:B,Base_Clientes[[#This Row],[INSTALAÇÃO]],Faturamento!V:V,"Atrasado")</f>
        <v>0</v>
      </c>
    </row>
    <row r="15" spans="1:19" hidden="1" x14ac:dyDescent="0.3">
      <c r="A15" s="113" t="s">
        <v>151</v>
      </c>
      <c r="B15" s="113" t="s">
        <v>108</v>
      </c>
      <c r="C15" s="113" t="s">
        <v>76</v>
      </c>
      <c r="D15" s="192" t="s">
        <v>1791</v>
      </c>
      <c r="E15" s="113" t="s">
        <v>109</v>
      </c>
      <c r="F15" s="113" t="s">
        <v>36</v>
      </c>
      <c r="G15" s="113"/>
      <c r="H15" s="113"/>
      <c r="I15" s="115" t="s">
        <v>119</v>
      </c>
      <c r="J15" s="113">
        <v>67991133770</v>
      </c>
      <c r="K15" s="114" t="s">
        <v>120</v>
      </c>
      <c r="L15" s="116">
        <v>0.25</v>
      </c>
      <c r="M15" s="114">
        <v>306</v>
      </c>
      <c r="N15" s="113"/>
      <c r="O15" s="113" t="s">
        <v>112</v>
      </c>
      <c r="P15" s="115" t="s">
        <v>152</v>
      </c>
      <c r="Q15" s="118">
        <v>192.08333333333334</v>
      </c>
      <c r="R15" s="118">
        <v>209.54545454545453</v>
      </c>
      <c r="S15" s="113">
        <f>COUNTIFS(Faturamento!B:B,Base_Clientes[[#This Row],[INSTALAÇÃO]],Faturamento!V:V,"Atrasado")</f>
        <v>0</v>
      </c>
    </row>
    <row r="16" spans="1:19" hidden="1" x14ac:dyDescent="0.3">
      <c r="A16" s="113" t="s">
        <v>153</v>
      </c>
      <c r="B16" s="113" t="s">
        <v>108</v>
      </c>
      <c r="C16" s="113" t="s">
        <v>85</v>
      </c>
      <c r="D16" s="192" t="s">
        <v>1791</v>
      </c>
      <c r="E16" s="113" t="s">
        <v>124</v>
      </c>
      <c r="F16" s="113" t="s">
        <v>36</v>
      </c>
      <c r="G16" s="113" t="s">
        <v>131</v>
      </c>
      <c r="H16" s="191">
        <v>45954</v>
      </c>
      <c r="I16" s="114" t="s">
        <v>128</v>
      </c>
      <c r="J16" s="113">
        <v>67996446178</v>
      </c>
      <c r="K16" s="114" t="s">
        <v>111</v>
      </c>
      <c r="L16" s="116">
        <v>0.25</v>
      </c>
      <c r="M16" s="114">
        <v>351</v>
      </c>
      <c r="N16" s="113"/>
      <c r="O16" s="113" t="s">
        <v>112</v>
      </c>
      <c r="P16" s="115" t="s">
        <v>155</v>
      </c>
      <c r="Q16" s="118">
        <v>226.16666666666666</v>
      </c>
      <c r="R16" s="118">
        <v>246.72727272727272</v>
      </c>
      <c r="S16" s="113">
        <f>COUNTIFS(Faturamento!B:B,Base_Clientes[[#This Row],[INSTALAÇÃO]],Faturamento!V:V,"Atrasado")</f>
        <v>1</v>
      </c>
    </row>
    <row r="17" spans="1:19" hidden="1" x14ac:dyDescent="0.3">
      <c r="A17" s="113" t="s">
        <v>156</v>
      </c>
      <c r="B17" s="113" t="s">
        <v>108</v>
      </c>
      <c r="C17" s="113" t="s">
        <v>55</v>
      </c>
      <c r="D17" s="192" t="s">
        <v>1791</v>
      </c>
      <c r="E17" s="113" t="s">
        <v>109</v>
      </c>
      <c r="F17" s="113" t="s">
        <v>36</v>
      </c>
      <c r="G17" s="113"/>
      <c r="H17" s="113"/>
      <c r="I17" s="114" t="s">
        <v>128</v>
      </c>
      <c r="J17" s="113">
        <v>67996446178</v>
      </c>
      <c r="K17" s="114" t="s">
        <v>120</v>
      </c>
      <c r="L17" s="120">
        <v>0.25</v>
      </c>
      <c r="M17" s="114">
        <v>351</v>
      </c>
      <c r="N17" s="113"/>
      <c r="O17" s="113" t="s">
        <v>112</v>
      </c>
      <c r="P17" s="115" t="s">
        <v>157</v>
      </c>
      <c r="Q17" s="118">
        <v>134.36363636363637</v>
      </c>
      <c r="R17" s="118">
        <v>134.36363636363637</v>
      </c>
      <c r="S17" s="113">
        <f>COUNTIFS(Faturamento!B:B,Base_Clientes[[#This Row],[INSTALAÇÃO]],Faturamento!V:V,"Atrasado")</f>
        <v>0</v>
      </c>
    </row>
    <row r="18" spans="1:19" hidden="1" x14ac:dyDescent="0.3">
      <c r="A18" s="113" t="s">
        <v>158</v>
      </c>
      <c r="B18" s="113" t="s">
        <v>108</v>
      </c>
      <c r="C18" s="113" t="s">
        <v>66</v>
      </c>
      <c r="D18" s="192" t="s">
        <v>1791</v>
      </c>
      <c r="E18" s="113" t="s">
        <v>109</v>
      </c>
      <c r="F18" s="113" t="s">
        <v>36</v>
      </c>
      <c r="G18" s="113"/>
      <c r="H18" s="113"/>
      <c r="I18" s="115" t="s">
        <v>159</v>
      </c>
      <c r="J18" s="113">
        <v>67996266684</v>
      </c>
      <c r="K18" s="114" t="s">
        <v>111</v>
      </c>
      <c r="L18" s="120">
        <v>0.25</v>
      </c>
      <c r="M18" s="114">
        <v>357</v>
      </c>
      <c r="N18" s="113"/>
      <c r="O18" s="113" t="s">
        <v>112</v>
      </c>
      <c r="P18" s="115" t="s">
        <v>160</v>
      </c>
      <c r="Q18" s="118">
        <v>255.16666666666666</v>
      </c>
      <c r="R18" s="118">
        <v>278.36363636363637</v>
      </c>
      <c r="S18" s="113">
        <f>COUNTIFS(Faturamento!B:B,Base_Clientes[[#This Row],[INSTALAÇÃO]],Faturamento!V:V,"Atrasado")</f>
        <v>1</v>
      </c>
    </row>
    <row r="19" spans="1:19" hidden="1" x14ac:dyDescent="0.3">
      <c r="A19" s="113" t="s">
        <v>161</v>
      </c>
      <c r="B19" s="113" t="s">
        <v>108</v>
      </c>
      <c r="C19" s="113" t="s">
        <v>58</v>
      </c>
      <c r="D19" s="192" t="s">
        <v>1791</v>
      </c>
      <c r="E19" s="113" t="s">
        <v>109</v>
      </c>
      <c r="F19" s="113" t="s">
        <v>36</v>
      </c>
      <c r="G19" s="113"/>
      <c r="H19" s="113"/>
      <c r="I19" s="115" t="s">
        <v>162</v>
      </c>
      <c r="J19" s="113">
        <v>67992899434</v>
      </c>
      <c r="K19" s="114" t="s">
        <v>111</v>
      </c>
      <c r="L19" s="120">
        <v>0.25</v>
      </c>
      <c r="M19" s="114">
        <v>358</v>
      </c>
      <c r="N19" s="113"/>
      <c r="O19" s="113" t="s">
        <v>112</v>
      </c>
      <c r="P19" s="115" t="s">
        <v>163</v>
      </c>
      <c r="Q19" s="118">
        <v>412.33333333333331</v>
      </c>
      <c r="R19" s="118">
        <v>449.81818181818181</v>
      </c>
      <c r="S19" s="113">
        <f>COUNTIFS(Faturamento!B:B,Base_Clientes[[#This Row],[INSTALAÇÃO]],Faturamento!V:V,"Atrasado")</f>
        <v>0</v>
      </c>
    </row>
    <row r="20" spans="1:19" hidden="1" x14ac:dyDescent="0.3">
      <c r="A20" s="113" t="s">
        <v>164</v>
      </c>
      <c r="B20" s="113" t="s">
        <v>108</v>
      </c>
      <c r="C20" s="113" t="s">
        <v>86</v>
      </c>
      <c r="D20" s="192" t="s">
        <v>1791</v>
      </c>
      <c r="E20" s="113" t="s">
        <v>124</v>
      </c>
      <c r="F20" s="113" t="s">
        <v>125</v>
      </c>
      <c r="G20" s="113" t="s">
        <v>126</v>
      </c>
      <c r="H20" s="113"/>
      <c r="I20" s="115" t="s">
        <v>165</v>
      </c>
      <c r="J20" s="113" t="s">
        <v>166</v>
      </c>
      <c r="K20" s="114" t="s">
        <v>120</v>
      </c>
      <c r="L20" s="120">
        <v>0.25</v>
      </c>
      <c r="M20" s="114">
        <v>331</v>
      </c>
      <c r="N20" s="113"/>
      <c r="O20" s="113" t="s">
        <v>112</v>
      </c>
      <c r="P20" s="115"/>
      <c r="Q20" s="118">
        <v>235.08333333333334</v>
      </c>
      <c r="R20" s="118">
        <v>235.08333333333334</v>
      </c>
      <c r="S20" s="113">
        <f>COUNTIFS(Faturamento!B:B,Base_Clientes[[#This Row],[INSTALAÇÃO]],Faturamento!V:V,"Atrasado")</f>
        <v>0</v>
      </c>
    </row>
    <row r="21" spans="1:19" hidden="1" x14ac:dyDescent="0.3">
      <c r="A21" s="113" t="s">
        <v>167</v>
      </c>
      <c r="B21" s="113" t="s">
        <v>108</v>
      </c>
      <c r="C21" s="113" t="s">
        <v>123</v>
      </c>
      <c r="D21" s="192" t="s">
        <v>1791</v>
      </c>
      <c r="E21" s="113" t="s">
        <v>168</v>
      </c>
      <c r="F21" s="113" t="s">
        <v>125</v>
      </c>
      <c r="G21" s="113" t="s">
        <v>126</v>
      </c>
      <c r="H21" s="113"/>
      <c r="I21" s="115" t="s">
        <v>169</v>
      </c>
      <c r="J21" s="113">
        <v>67992337953</v>
      </c>
      <c r="K21" s="114" t="s">
        <v>170</v>
      </c>
      <c r="L21" s="120">
        <v>0.25</v>
      </c>
      <c r="M21" s="114">
        <v>358</v>
      </c>
      <c r="N21" s="113"/>
      <c r="O21" s="113" t="s">
        <v>112</v>
      </c>
      <c r="P21" s="115"/>
      <c r="Q21" s="118">
        <v>162</v>
      </c>
      <c r="R21" s="118">
        <v>162</v>
      </c>
      <c r="S21" s="113">
        <f>COUNTIFS(Faturamento!B:B,Base_Clientes[[#This Row],[INSTALAÇÃO]],Faturamento!V:V,"Atrasado")</f>
        <v>1</v>
      </c>
    </row>
    <row r="22" spans="1:19" hidden="1" x14ac:dyDescent="0.3">
      <c r="A22" s="113" t="s">
        <v>171</v>
      </c>
      <c r="B22" s="113" t="s">
        <v>108</v>
      </c>
      <c r="C22" s="113" t="s">
        <v>74</v>
      </c>
      <c r="D22" s="192" t="s">
        <v>1791</v>
      </c>
      <c r="E22" s="113" t="s">
        <v>109</v>
      </c>
      <c r="F22" s="113" t="s">
        <v>36</v>
      </c>
      <c r="G22" s="113"/>
      <c r="H22" s="113"/>
      <c r="I22" s="115" t="s">
        <v>159</v>
      </c>
      <c r="J22" s="113">
        <v>67996266684</v>
      </c>
      <c r="K22" s="114" t="s">
        <v>120</v>
      </c>
      <c r="L22" s="120">
        <v>0.25</v>
      </c>
      <c r="M22" s="114">
        <v>357</v>
      </c>
      <c r="N22" s="113"/>
      <c r="O22" s="113" t="s">
        <v>112</v>
      </c>
      <c r="P22" s="115" t="s">
        <v>172</v>
      </c>
      <c r="Q22" s="118">
        <v>453.91666666666669</v>
      </c>
      <c r="R22" s="118">
        <v>495.18181818181819</v>
      </c>
      <c r="S22" s="113">
        <f>COUNTIFS(Faturamento!B:B,Base_Clientes[[#This Row],[INSTALAÇÃO]],Faturamento!V:V,"Atrasado")</f>
        <v>0</v>
      </c>
    </row>
    <row r="23" spans="1:19" hidden="1" x14ac:dyDescent="0.3">
      <c r="A23" s="113" t="s">
        <v>173</v>
      </c>
      <c r="B23" s="113" t="s">
        <v>108</v>
      </c>
      <c r="C23" s="113" t="s">
        <v>56</v>
      </c>
      <c r="D23" s="192" t="s">
        <v>1791</v>
      </c>
      <c r="E23" s="113" t="s">
        <v>109</v>
      </c>
      <c r="F23" s="113" t="s">
        <v>36</v>
      </c>
      <c r="G23" s="113"/>
      <c r="H23" s="113"/>
      <c r="I23" s="115" t="s">
        <v>174</v>
      </c>
      <c r="J23" s="113" t="s">
        <v>175</v>
      </c>
      <c r="K23" s="114" t="s">
        <v>170</v>
      </c>
      <c r="L23" s="120">
        <v>0.25</v>
      </c>
      <c r="M23" s="114">
        <v>349</v>
      </c>
      <c r="N23" s="113"/>
      <c r="O23" s="113" t="s">
        <v>112</v>
      </c>
      <c r="P23" s="115" t="s">
        <v>176</v>
      </c>
      <c r="Q23" s="118">
        <v>156.25</v>
      </c>
      <c r="R23" s="118">
        <v>156.25</v>
      </c>
      <c r="S23" s="113">
        <f>COUNTIFS(Faturamento!B:B,Base_Clientes[[#This Row],[INSTALAÇÃO]],Faturamento!V:V,"Atrasado")</f>
        <v>1</v>
      </c>
    </row>
    <row r="24" spans="1:19" hidden="1" x14ac:dyDescent="0.3">
      <c r="A24" s="113" t="s">
        <v>177</v>
      </c>
      <c r="B24" s="113" t="s">
        <v>108</v>
      </c>
      <c r="C24" s="113" t="s">
        <v>40</v>
      </c>
      <c r="D24" s="192" t="s">
        <v>1791</v>
      </c>
      <c r="E24" s="113" t="s">
        <v>109</v>
      </c>
      <c r="F24" s="113" t="s">
        <v>36</v>
      </c>
      <c r="G24" s="113"/>
      <c r="H24" s="113"/>
      <c r="I24" s="115" t="s">
        <v>178</v>
      </c>
      <c r="J24" s="113" t="s">
        <v>179</v>
      </c>
      <c r="K24" s="114" t="s">
        <v>120</v>
      </c>
      <c r="L24" s="120">
        <v>0.25</v>
      </c>
      <c r="M24" s="114">
        <v>994</v>
      </c>
      <c r="N24" s="113"/>
      <c r="O24" s="113" t="s">
        <v>112</v>
      </c>
      <c r="P24" s="115" t="s">
        <v>180</v>
      </c>
      <c r="Q24" s="118">
        <v>362.41666666666669</v>
      </c>
      <c r="R24" s="118">
        <v>362.41666666666669</v>
      </c>
      <c r="S24" s="113">
        <f>COUNTIFS(Faturamento!B:B,Base_Clientes[[#This Row],[INSTALAÇÃO]],Faturamento!V:V,"Atrasado")</f>
        <v>0</v>
      </c>
    </row>
    <row r="25" spans="1:19" hidden="1" x14ac:dyDescent="0.3">
      <c r="A25" s="113" t="s">
        <v>181</v>
      </c>
      <c r="B25" s="113" t="s">
        <v>108</v>
      </c>
      <c r="C25" s="113" t="s">
        <v>182</v>
      </c>
      <c r="D25" s="192" t="s">
        <v>1791</v>
      </c>
      <c r="E25" s="113" t="s">
        <v>124</v>
      </c>
      <c r="F25" s="113" t="s">
        <v>36</v>
      </c>
      <c r="G25" s="113" t="s">
        <v>131</v>
      </c>
      <c r="H25" s="191">
        <v>45954</v>
      </c>
      <c r="I25" s="115" t="s">
        <v>149</v>
      </c>
      <c r="J25" s="113">
        <v>67996150274</v>
      </c>
      <c r="K25" s="114" t="s">
        <v>120</v>
      </c>
      <c r="L25" s="120">
        <v>0.25</v>
      </c>
      <c r="M25" s="114">
        <v>360</v>
      </c>
      <c r="N25" s="113"/>
      <c r="O25" s="113" t="s">
        <v>112</v>
      </c>
      <c r="P25" s="115" t="s">
        <v>183</v>
      </c>
      <c r="Q25" s="118">
        <v>185.66666666666666</v>
      </c>
      <c r="R25" s="118">
        <v>185.66666666666666</v>
      </c>
      <c r="S25" s="113">
        <f>COUNTIFS(Faturamento!B:B,Base_Clientes[[#This Row],[INSTALAÇÃO]],Faturamento!V:V,"Atrasado")</f>
        <v>5</v>
      </c>
    </row>
    <row r="26" spans="1:19" hidden="1" x14ac:dyDescent="0.3">
      <c r="A26" s="113" t="s">
        <v>184</v>
      </c>
      <c r="B26" s="113" t="s">
        <v>108</v>
      </c>
      <c r="C26" s="113" t="s">
        <v>51</v>
      </c>
      <c r="D26" s="192" t="s">
        <v>1791</v>
      </c>
      <c r="E26" s="113" t="s">
        <v>109</v>
      </c>
      <c r="F26" s="113" t="s">
        <v>36</v>
      </c>
      <c r="G26" s="113"/>
      <c r="H26" s="113"/>
      <c r="I26" s="115" t="s">
        <v>138</v>
      </c>
      <c r="J26" s="113">
        <v>67992637973</v>
      </c>
      <c r="K26" s="114" t="s">
        <v>120</v>
      </c>
      <c r="L26" s="120">
        <v>0.25</v>
      </c>
      <c r="M26" s="114">
        <v>371</v>
      </c>
      <c r="N26" s="113"/>
      <c r="O26" s="113" t="s">
        <v>112</v>
      </c>
      <c r="P26" s="115" t="s">
        <v>185</v>
      </c>
      <c r="Q26" s="118">
        <v>418.16666666666669</v>
      </c>
      <c r="R26" s="118">
        <v>418.16666666666669</v>
      </c>
      <c r="S26" s="113">
        <f>COUNTIFS(Faturamento!B:B,Base_Clientes[[#This Row],[INSTALAÇÃO]],Faturamento!V:V,"Atrasado")</f>
        <v>0</v>
      </c>
    </row>
    <row r="27" spans="1:19" hidden="1" x14ac:dyDescent="0.3">
      <c r="A27" s="113" t="s">
        <v>186</v>
      </c>
      <c r="B27" s="113" t="s">
        <v>108</v>
      </c>
      <c r="C27" s="113" t="s">
        <v>45</v>
      </c>
      <c r="D27" s="192" t="s">
        <v>1791</v>
      </c>
      <c r="E27" s="113" t="s">
        <v>109</v>
      </c>
      <c r="F27" s="113" t="s">
        <v>36</v>
      </c>
      <c r="G27" s="113"/>
      <c r="H27" s="113"/>
      <c r="I27" s="119" t="s">
        <v>187</v>
      </c>
      <c r="J27" s="113">
        <v>6784548587</v>
      </c>
      <c r="K27" s="114" t="s">
        <v>120</v>
      </c>
      <c r="L27" s="120">
        <v>0.25</v>
      </c>
      <c r="M27" s="114">
        <v>302</v>
      </c>
      <c r="N27" s="113"/>
      <c r="O27" s="113" t="s">
        <v>112</v>
      </c>
      <c r="P27" s="115" t="s">
        <v>188</v>
      </c>
      <c r="Q27" s="118">
        <v>218.66666666666666</v>
      </c>
      <c r="R27" s="118">
        <v>393</v>
      </c>
      <c r="S27" s="113">
        <f>COUNTIFS(Faturamento!B:B,Base_Clientes[[#This Row],[INSTALAÇÃO]],Faturamento!V:V,"Atrasado")</f>
        <v>0</v>
      </c>
    </row>
    <row r="28" spans="1:19" hidden="1" x14ac:dyDescent="0.3">
      <c r="A28" s="113" t="s">
        <v>189</v>
      </c>
      <c r="B28" s="113" t="s">
        <v>108</v>
      </c>
      <c r="C28" s="113" t="s">
        <v>87</v>
      </c>
      <c r="D28" s="192" t="s">
        <v>1791</v>
      </c>
      <c r="E28" s="113" t="s">
        <v>109</v>
      </c>
      <c r="F28" s="113" t="s">
        <v>36</v>
      </c>
      <c r="G28" s="113"/>
      <c r="H28" s="113"/>
      <c r="I28" s="115" t="s">
        <v>119</v>
      </c>
      <c r="J28" s="113">
        <v>67991767866</v>
      </c>
      <c r="K28" s="114" t="s">
        <v>120</v>
      </c>
      <c r="L28" s="120">
        <v>0.25</v>
      </c>
      <c r="M28" s="114">
        <v>306</v>
      </c>
      <c r="N28" s="113"/>
      <c r="O28" s="113" t="s">
        <v>112</v>
      </c>
      <c r="P28" s="115" t="s">
        <v>190</v>
      </c>
      <c r="Q28" s="118">
        <v>511.41666666666669</v>
      </c>
      <c r="R28" s="118">
        <v>511.41666666666669</v>
      </c>
      <c r="S28" s="113">
        <f>COUNTIFS(Faturamento!B:B,Base_Clientes[[#This Row],[INSTALAÇÃO]],Faturamento!V:V,"Atrasado")</f>
        <v>0</v>
      </c>
    </row>
    <row r="29" spans="1:19" hidden="1" x14ac:dyDescent="0.3">
      <c r="A29" s="113" t="s">
        <v>191</v>
      </c>
      <c r="B29" s="113" t="s">
        <v>108</v>
      </c>
      <c r="C29" s="113" t="s">
        <v>87</v>
      </c>
      <c r="D29" s="192" t="s">
        <v>1791</v>
      </c>
      <c r="E29" s="113" t="s">
        <v>109</v>
      </c>
      <c r="F29" s="113" t="s">
        <v>36</v>
      </c>
      <c r="G29" s="113"/>
      <c r="H29" s="113"/>
      <c r="I29" s="115" t="s">
        <v>119</v>
      </c>
      <c r="J29" s="113">
        <v>67991767866</v>
      </c>
      <c r="K29" s="114" t="s">
        <v>120</v>
      </c>
      <c r="L29" s="120">
        <v>0.25</v>
      </c>
      <c r="M29" s="114">
        <v>306</v>
      </c>
      <c r="N29" s="113"/>
      <c r="O29" s="113" t="s">
        <v>112</v>
      </c>
      <c r="P29" s="115" t="s">
        <v>190</v>
      </c>
      <c r="Q29" s="118">
        <v>279.08333333333331</v>
      </c>
      <c r="R29" s="118">
        <v>279.08333333333331</v>
      </c>
      <c r="S29" s="113">
        <f>COUNTIFS(Faturamento!B:B,Base_Clientes[[#This Row],[INSTALAÇÃO]],Faturamento!V:V,"Atrasado")</f>
        <v>0</v>
      </c>
    </row>
    <row r="30" spans="1:19" hidden="1" x14ac:dyDescent="0.3">
      <c r="A30" s="113" t="s">
        <v>192</v>
      </c>
      <c r="B30" s="113" t="s">
        <v>108</v>
      </c>
      <c r="C30" s="113" t="s">
        <v>59</v>
      </c>
      <c r="D30" s="192" t="s">
        <v>1791</v>
      </c>
      <c r="E30" s="113" t="s">
        <v>109</v>
      </c>
      <c r="F30" s="113" t="s">
        <v>36</v>
      </c>
      <c r="G30" s="113"/>
      <c r="H30" s="113"/>
      <c r="I30" s="115" t="s">
        <v>135</v>
      </c>
      <c r="J30" s="113">
        <v>67999516782</v>
      </c>
      <c r="K30" s="114" t="s">
        <v>111</v>
      </c>
      <c r="L30" s="120">
        <v>0.25</v>
      </c>
      <c r="M30" s="114">
        <v>362</v>
      </c>
      <c r="N30" s="113"/>
      <c r="O30" s="113" t="s">
        <v>112</v>
      </c>
      <c r="P30" s="115" t="s">
        <v>193</v>
      </c>
      <c r="Q30" s="118">
        <v>129.08333333333334</v>
      </c>
      <c r="R30" s="118">
        <v>140.81818181818181</v>
      </c>
      <c r="S30" s="113">
        <f>COUNTIFS(Faturamento!B:B,Base_Clientes[[#This Row],[INSTALAÇÃO]],Faturamento!V:V,"Atrasado")</f>
        <v>1</v>
      </c>
    </row>
    <row r="31" spans="1:19" hidden="1" x14ac:dyDescent="0.3">
      <c r="A31" s="113" t="s">
        <v>194</v>
      </c>
      <c r="B31" s="113" t="s">
        <v>108</v>
      </c>
      <c r="C31" s="113" t="s">
        <v>44</v>
      </c>
      <c r="D31" s="192" t="s">
        <v>1791</v>
      </c>
      <c r="E31" s="113" t="s">
        <v>109</v>
      </c>
      <c r="F31" s="113" t="s">
        <v>36</v>
      </c>
      <c r="G31" s="113"/>
      <c r="H31" s="113"/>
      <c r="I31" s="115" t="s">
        <v>159</v>
      </c>
      <c r="J31" s="113">
        <v>67996266684</v>
      </c>
      <c r="K31" s="114" t="s">
        <v>120</v>
      </c>
      <c r="L31" s="120">
        <v>0.25</v>
      </c>
      <c r="M31" s="114">
        <v>357</v>
      </c>
      <c r="N31" s="113"/>
      <c r="O31" s="113" t="s">
        <v>112</v>
      </c>
      <c r="P31" s="115" t="s">
        <v>195</v>
      </c>
      <c r="Q31" s="118">
        <v>958.25</v>
      </c>
      <c r="R31" s="118">
        <v>958.25</v>
      </c>
      <c r="S31" s="113">
        <f>COUNTIFS(Faturamento!B:B,Base_Clientes[[#This Row],[INSTALAÇÃO]],Faturamento!V:V,"Atrasado")</f>
        <v>1</v>
      </c>
    </row>
    <row r="32" spans="1:19" hidden="1" x14ac:dyDescent="0.3">
      <c r="A32" s="113" t="s">
        <v>196</v>
      </c>
      <c r="B32" s="113" t="s">
        <v>108</v>
      </c>
      <c r="C32" s="113" t="s">
        <v>68</v>
      </c>
      <c r="D32" s="192" t="s">
        <v>1791</v>
      </c>
      <c r="E32" s="113" t="s">
        <v>109</v>
      </c>
      <c r="F32" s="113" t="s">
        <v>36</v>
      </c>
      <c r="G32" s="113"/>
      <c r="H32" s="113"/>
      <c r="I32" s="115" t="s">
        <v>174</v>
      </c>
      <c r="J32" s="113" t="s">
        <v>175</v>
      </c>
      <c r="K32" s="114" t="s">
        <v>120</v>
      </c>
      <c r="L32" s="120">
        <v>0.25</v>
      </c>
      <c r="M32" s="114">
        <v>349</v>
      </c>
      <c r="N32" s="113"/>
      <c r="O32" s="113" t="s">
        <v>112</v>
      </c>
      <c r="P32" s="115" t="s">
        <v>197</v>
      </c>
      <c r="Q32" s="118">
        <v>802.5</v>
      </c>
      <c r="R32" s="118">
        <v>802.5</v>
      </c>
      <c r="S32" s="113">
        <f>COUNTIFS(Faturamento!B:B,Base_Clientes[[#This Row],[INSTALAÇÃO]],Faturamento!V:V,"Atrasado")</f>
        <v>0</v>
      </c>
    </row>
    <row r="33" spans="1:19" hidden="1" x14ac:dyDescent="0.3">
      <c r="A33" s="113" t="s">
        <v>198</v>
      </c>
      <c r="B33" s="113" t="s">
        <v>108</v>
      </c>
      <c r="C33" s="113" t="s">
        <v>86</v>
      </c>
      <c r="D33" s="192" t="s">
        <v>1791</v>
      </c>
      <c r="E33" s="113" t="s">
        <v>109</v>
      </c>
      <c r="F33" s="113" t="s">
        <v>36</v>
      </c>
      <c r="G33" s="113"/>
      <c r="H33" s="113"/>
      <c r="I33" s="115" t="s">
        <v>165</v>
      </c>
      <c r="J33" s="113" t="s">
        <v>166</v>
      </c>
      <c r="K33" s="114" t="s">
        <v>111</v>
      </c>
      <c r="L33" s="120">
        <v>0.25</v>
      </c>
      <c r="M33" s="114">
        <v>331</v>
      </c>
      <c r="N33" s="113"/>
      <c r="O33" s="113" t="s">
        <v>112</v>
      </c>
      <c r="P33" s="115" t="s">
        <v>199</v>
      </c>
      <c r="Q33" s="118">
        <v>372.25</v>
      </c>
      <c r="R33" s="118">
        <v>372.25</v>
      </c>
      <c r="S33" s="113">
        <f>COUNTIFS(Faturamento!B:B,Base_Clientes[[#This Row],[INSTALAÇÃO]],Faturamento!V:V,"Atrasado")</f>
        <v>0</v>
      </c>
    </row>
    <row r="34" spans="1:19" hidden="1" x14ac:dyDescent="0.3">
      <c r="A34" s="113" t="s">
        <v>200</v>
      </c>
      <c r="B34" s="113" t="s">
        <v>108</v>
      </c>
      <c r="C34" s="113" t="s">
        <v>46</v>
      </c>
      <c r="D34" s="192" t="s">
        <v>1791</v>
      </c>
      <c r="E34" s="113" t="s">
        <v>109</v>
      </c>
      <c r="F34" s="113" t="s">
        <v>36</v>
      </c>
      <c r="G34" s="113"/>
      <c r="H34" s="113"/>
      <c r="I34" s="119" t="s">
        <v>138</v>
      </c>
      <c r="J34" s="113">
        <v>67992637973</v>
      </c>
      <c r="K34" s="114" t="s">
        <v>120</v>
      </c>
      <c r="L34" s="120">
        <v>0.25</v>
      </c>
      <c r="M34" s="114">
        <v>371</v>
      </c>
      <c r="N34" s="113"/>
      <c r="O34" s="113" t="s">
        <v>112</v>
      </c>
      <c r="P34" s="115" t="s">
        <v>201</v>
      </c>
      <c r="Q34" s="118">
        <v>796.66666666666663</v>
      </c>
      <c r="R34" s="118">
        <v>796.66666666666663</v>
      </c>
      <c r="S34" s="113">
        <f>COUNTIFS(Faturamento!B:B,Base_Clientes[[#This Row],[INSTALAÇÃO]],Faturamento!V:V,"Atrasado")</f>
        <v>0</v>
      </c>
    </row>
    <row r="35" spans="1:19" hidden="1" x14ac:dyDescent="0.3">
      <c r="A35" s="113" t="s">
        <v>202</v>
      </c>
      <c r="B35" s="113" t="s">
        <v>108</v>
      </c>
      <c r="C35" s="113" t="s">
        <v>50</v>
      </c>
      <c r="D35" s="192" t="s">
        <v>1791</v>
      </c>
      <c r="E35" s="113" t="s">
        <v>109</v>
      </c>
      <c r="F35" s="113" t="s">
        <v>36</v>
      </c>
      <c r="G35" s="113"/>
      <c r="H35" s="113"/>
      <c r="I35" s="115" t="s">
        <v>119</v>
      </c>
      <c r="J35" s="113">
        <v>67999031330</v>
      </c>
      <c r="K35" s="114" t="s">
        <v>111</v>
      </c>
      <c r="L35" s="120">
        <v>0.25</v>
      </c>
      <c r="M35" s="114">
        <v>306</v>
      </c>
      <c r="N35" s="113"/>
      <c r="O35" s="113" t="s">
        <v>112</v>
      </c>
      <c r="P35" s="115" t="s">
        <v>203</v>
      </c>
      <c r="Q35" s="118">
        <v>153.91666666666666</v>
      </c>
      <c r="R35" s="118">
        <v>153.91666666666666</v>
      </c>
      <c r="S35" s="113">
        <f>COUNTIFS(Faturamento!B:B,Base_Clientes[[#This Row],[INSTALAÇÃO]],Faturamento!V:V,"Atrasado")</f>
        <v>0</v>
      </c>
    </row>
    <row r="36" spans="1:19" hidden="1" x14ac:dyDescent="0.3">
      <c r="A36" s="113" t="s">
        <v>204</v>
      </c>
      <c r="B36" s="113" t="s">
        <v>108</v>
      </c>
      <c r="C36" s="113" t="s">
        <v>52</v>
      </c>
      <c r="D36" s="192" t="s">
        <v>1791</v>
      </c>
      <c r="E36" s="113" t="s">
        <v>109</v>
      </c>
      <c r="F36" s="113" t="s">
        <v>36</v>
      </c>
      <c r="G36" s="113"/>
      <c r="H36" s="113"/>
      <c r="I36" s="115" t="s">
        <v>138</v>
      </c>
      <c r="J36" s="113">
        <v>67992637973</v>
      </c>
      <c r="K36" s="114" t="s">
        <v>111</v>
      </c>
      <c r="L36" s="120">
        <v>0.25</v>
      </c>
      <c r="M36" s="114">
        <v>371</v>
      </c>
      <c r="N36" s="113"/>
      <c r="O36" s="113" t="s">
        <v>112</v>
      </c>
      <c r="P36" s="115" t="s">
        <v>205</v>
      </c>
      <c r="Q36" s="118">
        <v>157.66666666666666</v>
      </c>
      <c r="R36" s="118">
        <v>157.66666666666666</v>
      </c>
      <c r="S36" s="113">
        <f>COUNTIFS(Faturamento!B:B,Base_Clientes[[#This Row],[INSTALAÇÃO]],Faturamento!V:V,"Atrasado")</f>
        <v>0</v>
      </c>
    </row>
    <row r="37" spans="1:19" hidden="1" x14ac:dyDescent="0.3">
      <c r="A37" s="113" t="s">
        <v>206</v>
      </c>
      <c r="B37" s="113" t="s">
        <v>108</v>
      </c>
      <c r="C37" s="113" t="s">
        <v>51</v>
      </c>
      <c r="D37" s="192" t="s">
        <v>1791</v>
      </c>
      <c r="E37" s="113" t="s">
        <v>109</v>
      </c>
      <c r="F37" s="113" t="s">
        <v>36</v>
      </c>
      <c r="G37" s="113"/>
      <c r="H37" s="113"/>
      <c r="I37" s="115" t="s">
        <v>138</v>
      </c>
      <c r="J37" s="113">
        <v>67992637973</v>
      </c>
      <c r="K37" s="114" t="s">
        <v>120</v>
      </c>
      <c r="L37" s="120">
        <v>0.25</v>
      </c>
      <c r="M37" s="114">
        <v>371</v>
      </c>
      <c r="N37" s="113"/>
      <c r="O37" s="113" t="s">
        <v>112</v>
      </c>
      <c r="P37" s="115" t="s">
        <v>207</v>
      </c>
      <c r="Q37" s="118">
        <v>166.66666666666666</v>
      </c>
      <c r="R37" s="118">
        <v>166.66666666666666</v>
      </c>
      <c r="S37" s="113">
        <f>COUNTIFS(Faturamento!B:B,Base_Clientes[[#This Row],[INSTALAÇÃO]],Faturamento!V:V,"Atrasado")</f>
        <v>0</v>
      </c>
    </row>
    <row r="38" spans="1:19" hidden="1" x14ac:dyDescent="0.3">
      <c r="A38" s="113" t="s">
        <v>208</v>
      </c>
      <c r="B38" s="113" t="s">
        <v>108</v>
      </c>
      <c r="C38" s="113" t="s">
        <v>47</v>
      </c>
      <c r="D38" s="192" t="s">
        <v>1791</v>
      </c>
      <c r="E38" s="113" t="s">
        <v>109</v>
      </c>
      <c r="F38" s="113" t="s">
        <v>36</v>
      </c>
      <c r="G38" s="113"/>
      <c r="H38" s="113"/>
      <c r="I38" s="119" t="s">
        <v>209</v>
      </c>
      <c r="J38" s="113">
        <v>67996711972</v>
      </c>
      <c r="K38" s="114" t="s">
        <v>111</v>
      </c>
      <c r="L38" s="116">
        <v>0.25</v>
      </c>
      <c r="M38" s="114">
        <v>302</v>
      </c>
      <c r="N38" s="113"/>
      <c r="O38" s="113" t="s">
        <v>112</v>
      </c>
      <c r="P38" s="115" t="s">
        <v>210</v>
      </c>
      <c r="Q38" s="118">
        <v>263.41666666666669</v>
      </c>
      <c r="R38" s="118">
        <v>287.36363636363637</v>
      </c>
      <c r="S38" s="113">
        <f>COUNTIFS(Faturamento!B:B,Base_Clientes[[#This Row],[INSTALAÇÃO]],Faturamento!V:V,"Atrasado")</f>
        <v>0</v>
      </c>
    </row>
    <row r="39" spans="1:19" hidden="1" x14ac:dyDescent="0.3">
      <c r="A39" s="113" t="s">
        <v>211</v>
      </c>
      <c r="B39" s="113" t="s">
        <v>108</v>
      </c>
      <c r="C39" s="113" t="s">
        <v>63</v>
      </c>
      <c r="D39" s="192" t="s">
        <v>1791</v>
      </c>
      <c r="E39" s="113" t="s">
        <v>109</v>
      </c>
      <c r="F39" s="113" t="s">
        <v>36</v>
      </c>
      <c r="G39" s="113"/>
      <c r="H39" s="113"/>
      <c r="I39" s="115" t="s">
        <v>159</v>
      </c>
      <c r="J39" s="113">
        <v>67996266684</v>
      </c>
      <c r="K39" s="114" t="s">
        <v>120</v>
      </c>
      <c r="L39" s="120">
        <v>0.25</v>
      </c>
      <c r="M39" s="114">
        <v>357</v>
      </c>
      <c r="N39" s="113"/>
      <c r="O39" s="113" t="s">
        <v>112</v>
      </c>
      <c r="P39" s="115" t="s">
        <v>212</v>
      </c>
      <c r="Q39" s="118">
        <v>297.66666666666669</v>
      </c>
      <c r="R39" s="118">
        <v>324.72727272727275</v>
      </c>
      <c r="S39" s="113">
        <f>COUNTIFS(Faturamento!B:B,Base_Clientes[[#This Row],[INSTALAÇÃO]],Faturamento!V:V,"Atrasado")</f>
        <v>1</v>
      </c>
    </row>
    <row r="40" spans="1:19" hidden="1" x14ac:dyDescent="0.3">
      <c r="A40" s="113" t="s">
        <v>213</v>
      </c>
      <c r="B40" s="113" t="s">
        <v>108</v>
      </c>
      <c r="C40" s="113" t="s">
        <v>72</v>
      </c>
      <c r="D40" s="192" t="s">
        <v>1791</v>
      </c>
      <c r="E40" s="113" t="s">
        <v>109</v>
      </c>
      <c r="F40" s="113" t="s">
        <v>36</v>
      </c>
      <c r="G40" s="113"/>
      <c r="H40" s="113"/>
      <c r="I40" s="115" t="s">
        <v>138</v>
      </c>
      <c r="J40" s="113">
        <v>67992637973</v>
      </c>
      <c r="K40" s="114" t="s">
        <v>120</v>
      </c>
      <c r="L40" s="120">
        <v>0.25</v>
      </c>
      <c r="M40" s="114">
        <v>371</v>
      </c>
      <c r="N40" s="113"/>
      <c r="O40" s="113" t="s">
        <v>112</v>
      </c>
      <c r="P40" s="115" t="s">
        <v>214</v>
      </c>
      <c r="Q40" s="118">
        <v>352.83333333333331</v>
      </c>
      <c r="R40" s="118">
        <v>384.90909090909093</v>
      </c>
      <c r="S40" s="113">
        <f>COUNTIFS(Faturamento!B:B,Base_Clientes[[#This Row],[INSTALAÇÃO]],Faturamento!V:V,"Atrasado")</f>
        <v>0</v>
      </c>
    </row>
    <row r="41" spans="1:19" hidden="1" x14ac:dyDescent="0.3">
      <c r="A41" s="113" t="s">
        <v>215</v>
      </c>
      <c r="B41" s="113" t="s">
        <v>108</v>
      </c>
      <c r="C41" s="113" t="s">
        <v>216</v>
      </c>
      <c r="D41" s="192" t="s">
        <v>1791</v>
      </c>
      <c r="E41" s="113" t="s">
        <v>124</v>
      </c>
      <c r="F41" s="113" t="s">
        <v>36</v>
      </c>
      <c r="G41" s="113" t="s">
        <v>131</v>
      </c>
      <c r="H41" s="191">
        <v>45954</v>
      </c>
      <c r="I41" s="115"/>
      <c r="J41" s="113">
        <v>67981311823</v>
      </c>
      <c r="K41" s="114" t="s">
        <v>111</v>
      </c>
      <c r="L41" s="120">
        <v>0.25</v>
      </c>
      <c r="M41" s="114">
        <v>362</v>
      </c>
      <c r="N41" s="113"/>
      <c r="O41" s="113" t="s">
        <v>112</v>
      </c>
      <c r="P41" s="115" t="s">
        <v>217</v>
      </c>
      <c r="Q41" s="118">
        <v>153.91666666666666</v>
      </c>
      <c r="R41" s="118">
        <v>153.91666666666666</v>
      </c>
      <c r="S41" s="113">
        <f>COUNTIFS(Faturamento!B:B,Base_Clientes[[#This Row],[INSTALAÇÃO]],Faturamento!V:V,"Atrasado")</f>
        <v>9</v>
      </c>
    </row>
    <row r="42" spans="1:19" hidden="1" x14ac:dyDescent="0.3">
      <c r="A42" s="113" t="s">
        <v>218</v>
      </c>
      <c r="B42" s="113" t="s">
        <v>108</v>
      </c>
      <c r="C42" s="113" t="s">
        <v>82</v>
      </c>
      <c r="D42" s="192" t="s">
        <v>1791</v>
      </c>
      <c r="E42" s="113" t="s">
        <v>109</v>
      </c>
      <c r="F42" s="113" t="s">
        <v>36</v>
      </c>
      <c r="G42" s="113"/>
      <c r="H42" s="113"/>
      <c r="I42" s="115" t="s">
        <v>119</v>
      </c>
      <c r="J42" s="113">
        <v>67991120875</v>
      </c>
      <c r="K42" s="114" t="s">
        <v>120</v>
      </c>
      <c r="L42" s="120">
        <v>0.25</v>
      </c>
      <c r="M42" s="114">
        <v>306</v>
      </c>
      <c r="N42" s="113"/>
      <c r="O42" s="113" t="s">
        <v>112</v>
      </c>
      <c r="P42" s="115" t="s">
        <v>219</v>
      </c>
      <c r="Q42" s="118">
        <v>818</v>
      </c>
      <c r="R42" s="118">
        <v>818</v>
      </c>
      <c r="S42" s="113">
        <f>COUNTIFS(Faturamento!B:B,Base_Clientes[[#This Row],[INSTALAÇÃO]],Faturamento!V:V,"Atrasado")</f>
        <v>1</v>
      </c>
    </row>
    <row r="43" spans="1:19" hidden="1" x14ac:dyDescent="0.3">
      <c r="A43" s="113" t="s">
        <v>220</v>
      </c>
      <c r="B43" s="113" t="s">
        <v>108</v>
      </c>
      <c r="C43" s="113" t="s">
        <v>51</v>
      </c>
      <c r="D43" s="192" t="s">
        <v>1791</v>
      </c>
      <c r="E43" s="113" t="s">
        <v>109</v>
      </c>
      <c r="F43" s="113" t="s">
        <v>36</v>
      </c>
      <c r="G43" s="113"/>
      <c r="H43" s="113"/>
      <c r="I43" s="115" t="s">
        <v>138</v>
      </c>
      <c r="J43" s="113">
        <v>67992637973</v>
      </c>
      <c r="K43" s="114" t="s">
        <v>120</v>
      </c>
      <c r="L43" s="120">
        <v>0.25</v>
      </c>
      <c r="M43" s="114">
        <v>371</v>
      </c>
      <c r="N43" s="113"/>
      <c r="O43" s="113" t="s">
        <v>112</v>
      </c>
      <c r="P43" s="115" t="s">
        <v>221</v>
      </c>
      <c r="Q43" s="118">
        <v>1056.1666666666667</v>
      </c>
      <c r="R43" s="118">
        <v>1056.1666666666667</v>
      </c>
      <c r="S43" s="113">
        <f>COUNTIFS(Faturamento!B:B,Base_Clientes[[#This Row],[INSTALAÇÃO]],Faturamento!V:V,"Atrasado")</f>
        <v>0</v>
      </c>
    </row>
    <row r="44" spans="1:19" hidden="1" x14ac:dyDescent="0.3">
      <c r="A44" s="113" t="s">
        <v>222</v>
      </c>
      <c r="B44" s="113" t="s">
        <v>108</v>
      </c>
      <c r="C44" s="113" t="s">
        <v>38</v>
      </c>
      <c r="D44" s="192" t="s">
        <v>1791</v>
      </c>
      <c r="E44" s="113" t="s">
        <v>109</v>
      </c>
      <c r="F44" s="113" t="s">
        <v>36</v>
      </c>
      <c r="G44" s="113"/>
      <c r="H44" s="113"/>
      <c r="I44" s="115" t="s">
        <v>149</v>
      </c>
      <c r="J44" s="113">
        <v>67996150274</v>
      </c>
      <c r="K44" s="114" t="s">
        <v>120</v>
      </c>
      <c r="L44" s="116">
        <v>0.25</v>
      </c>
      <c r="M44" s="114">
        <v>360</v>
      </c>
      <c r="N44" s="113"/>
      <c r="O44" s="113" t="s">
        <v>112</v>
      </c>
      <c r="P44" s="115" t="s">
        <v>223</v>
      </c>
      <c r="Q44" s="118">
        <v>378.91666666666669</v>
      </c>
      <c r="R44" s="118">
        <v>413.36363636363637</v>
      </c>
      <c r="S44" s="113">
        <f>COUNTIFS(Faturamento!B:B,Base_Clientes[[#This Row],[INSTALAÇÃO]],Faturamento!V:V,"Atrasado")</f>
        <v>0</v>
      </c>
    </row>
    <row r="45" spans="1:19" hidden="1" x14ac:dyDescent="0.3">
      <c r="A45" s="113" t="s">
        <v>224</v>
      </c>
      <c r="B45" s="113" t="s">
        <v>108</v>
      </c>
      <c r="C45" s="113" t="s">
        <v>57</v>
      </c>
      <c r="D45" s="192" t="s">
        <v>1791</v>
      </c>
      <c r="E45" s="113" t="s">
        <v>109</v>
      </c>
      <c r="F45" s="113" t="s">
        <v>36</v>
      </c>
      <c r="G45" s="113"/>
      <c r="H45" s="113"/>
      <c r="I45" s="119" t="s">
        <v>225</v>
      </c>
      <c r="J45" s="113" t="s">
        <v>226</v>
      </c>
      <c r="K45" s="114" t="s">
        <v>120</v>
      </c>
      <c r="L45" s="120">
        <v>0.25</v>
      </c>
      <c r="M45" s="114">
        <v>994</v>
      </c>
      <c r="N45" s="113"/>
      <c r="O45" s="113" t="s">
        <v>112</v>
      </c>
      <c r="P45" s="115" t="s">
        <v>227</v>
      </c>
      <c r="Q45" s="118">
        <v>335.75</v>
      </c>
      <c r="R45" s="118">
        <v>335.75</v>
      </c>
      <c r="S45" s="113">
        <f>COUNTIFS(Faturamento!B:B,Base_Clientes[[#This Row],[INSTALAÇÃO]],Faturamento!V:V,"Atrasado")</f>
        <v>0</v>
      </c>
    </row>
    <row r="46" spans="1:19" hidden="1" x14ac:dyDescent="0.3">
      <c r="A46" s="113" t="s">
        <v>228</v>
      </c>
      <c r="B46" s="113" t="s">
        <v>108</v>
      </c>
      <c r="C46" s="113" t="s">
        <v>39</v>
      </c>
      <c r="D46" s="192" t="s">
        <v>1791</v>
      </c>
      <c r="E46" s="113" t="s">
        <v>109</v>
      </c>
      <c r="F46" s="113" t="s">
        <v>36</v>
      </c>
      <c r="G46" s="113"/>
      <c r="H46" s="113"/>
      <c r="I46" s="115" t="s">
        <v>119</v>
      </c>
      <c r="J46" s="113">
        <v>67991162146</v>
      </c>
      <c r="K46" s="114" t="s">
        <v>120</v>
      </c>
      <c r="L46" s="120">
        <v>0.25</v>
      </c>
      <c r="M46" s="114">
        <v>306</v>
      </c>
      <c r="N46" s="113"/>
      <c r="O46" s="113" t="s">
        <v>112</v>
      </c>
      <c r="P46" s="115" t="s">
        <v>229</v>
      </c>
      <c r="Q46" s="118">
        <v>286.5</v>
      </c>
      <c r="R46" s="118">
        <v>286.5</v>
      </c>
      <c r="S46" s="113">
        <f>COUNTIFS(Faturamento!B:B,Base_Clientes[[#This Row],[INSTALAÇÃO]],Faturamento!V:V,"Atrasado")</f>
        <v>0</v>
      </c>
    </row>
    <row r="47" spans="1:19" hidden="1" x14ac:dyDescent="0.3">
      <c r="A47" s="113" t="s">
        <v>230</v>
      </c>
      <c r="B47" s="113" t="s">
        <v>108</v>
      </c>
      <c r="C47" s="113" t="s">
        <v>88</v>
      </c>
      <c r="D47" s="192" t="s">
        <v>1791</v>
      </c>
      <c r="E47" s="113" t="s">
        <v>109</v>
      </c>
      <c r="F47" s="113" t="s">
        <v>36</v>
      </c>
      <c r="G47" s="113"/>
      <c r="H47" s="113"/>
      <c r="I47" s="115" t="s">
        <v>174</v>
      </c>
      <c r="J47" s="113" t="s">
        <v>175</v>
      </c>
      <c r="K47" s="114" t="s">
        <v>120</v>
      </c>
      <c r="L47" s="120">
        <v>0.25</v>
      </c>
      <c r="M47" s="114">
        <v>349</v>
      </c>
      <c r="N47" s="113"/>
      <c r="O47" s="113" t="s">
        <v>112</v>
      </c>
      <c r="P47" s="115" t="s">
        <v>231</v>
      </c>
      <c r="Q47" s="118">
        <v>266</v>
      </c>
      <c r="R47" s="118">
        <v>290.18181818181819</v>
      </c>
      <c r="S47" s="113">
        <f>COUNTIFS(Faturamento!B:B,Base_Clientes[[#This Row],[INSTALAÇÃO]],Faturamento!V:V,"Atrasado")</f>
        <v>0</v>
      </c>
    </row>
    <row r="48" spans="1:19" hidden="1" x14ac:dyDescent="0.3">
      <c r="A48" s="113" t="s">
        <v>232</v>
      </c>
      <c r="B48" s="113" t="s">
        <v>108</v>
      </c>
      <c r="C48" s="113" t="s">
        <v>73</v>
      </c>
      <c r="D48" s="192" t="s">
        <v>1791</v>
      </c>
      <c r="E48" s="113" t="s">
        <v>109</v>
      </c>
      <c r="F48" s="113" t="s">
        <v>36</v>
      </c>
      <c r="G48" s="113"/>
      <c r="H48" s="113"/>
      <c r="I48" s="119" t="s">
        <v>233</v>
      </c>
      <c r="J48" s="113" t="s">
        <v>234</v>
      </c>
      <c r="K48" s="114" t="s">
        <v>120</v>
      </c>
      <c r="L48" s="120">
        <v>0.25</v>
      </c>
      <c r="M48" s="114">
        <v>994</v>
      </c>
      <c r="N48" s="113"/>
      <c r="O48" s="113" t="s">
        <v>112</v>
      </c>
      <c r="P48" s="115" t="s">
        <v>235</v>
      </c>
      <c r="Q48" s="118">
        <v>131.66666666666666</v>
      </c>
      <c r="R48" s="118">
        <v>143.63636363636363</v>
      </c>
      <c r="S48" s="113">
        <f>COUNTIFS(Faturamento!B:B,Base_Clientes[[#This Row],[INSTALAÇÃO]],Faturamento!V:V,"Atrasado")</f>
        <v>0</v>
      </c>
    </row>
    <row r="49" spans="1:19" hidden="1" x14ac:dyDescent="0.3">
      <c r="A49" s="113" t="s">
        <v>236</v>
      </c>
      <c r="B49" s="113" t="s">
        <v>108</v>
      </c>
      <c r="C49" s="113" t="s">
        <v>54</v>
      </c>
      <c r="D49" s="192" t="s">
        <v>1791</v>
      </c>
      <c r="E49" s="113" t="s">
        <v>109</v>
      </c>
      <c r="F49" s="113" t="s">
        <v>36</v>
      </c>
      <c r="G49" s="113"/>
      <c r="H49" s="113"/>
      <c r="I49" s="115" t="s">
        <v>159</v>
      </c>
      <c r="J49" s="113">
        <v>67996266684</v>
      </c>
      <c r="K49" s="114" t="s">
        <v>120</v>
      </c>
      <c r="L49" s="120">
        <v>0.25</v>
      </c>
      <c r="M49" s="114">
        <v>357</v>
      </c>
      <c r="N49" s="113"/>
      <c r="O49" s="113" t="s">
        <v>112</v>
      </c>
      <c r="P49" s="115" t="s">
        <v>237</v>
      </c>
      <c r="Q49" s="118">
        <v>708</v>
      </c>
      <c r="R49" s="118">
        <v>708</v>
      </c>
      <c r="S49" s="113">
        <f>COUNTIFS(Faturamento!B:B,Base_Clientes[[#This Row],[INSTALAÇÃO]],Faturamento!V:V,"Atrasado")</f>
        <v>0</v>
      </c>
    </row>
    <row r="50" spans="1:19" hidden="1" x14ac:dyDescent="0.3">
      <c r="A50" s="113" t="s">
        <v>238</v>
      </c>
      <c r="B50" s="113" t="s">
        <v>108</v>
      </c>
      <c r="C50" s="113" t="s">
        <v>44</v>
      </c>
      <c r="D50" s="192" t="s">
        <v>1791</v>
      </c>
      <c r="E50" s="113" t="s">
        <v>109</v>
      </c>
      <c r="F50" s="113" t="s">
        <v>36</v>
      </c>
      <c r="G50" s="113"/>
      <c r="H50" s="113"/>
      <c r="I50" s="115" t="s">
        <v>159</v>
      </c>
      <c r="J50" s="113">
        <v>67996266684</v>
      </c>
      <c r="K50" s="114" t="s">
        <v>120</v>
      </c>
      <c r="L50" s="120">
        <v>0.25</v>
      </c>
      <c r="M50" s="114">
        <v>357</v>
      </c>
      <c r="N50" s="113"/>
      <c r="O50" s="113" t="s">
        <v>112</v>
      </c>
      <c r="P50" s="115" t="s">
        <v>239</v>
      </c>
      <c r="Q50" s="118">
        <v>468.66666666666669</v>
      </c>
      <c r="R50" s="118">
        <v>468.66666666666669</v>
      </c>
      <c r="S50" s="113">
        <f>COUNTIFS(Faturamento!B:B,Base_Clientes[[#This Row],[INSTALAÇÃO]],Faturamento!V:V,"Atrasado")</f>
        <v>0</v>
      </c>
    </row>
    <row r="51" spans="1:19" hidden="1" x14ac:dyDescent="0.3">
      <c r="A51" s="113" t="s">
        <v>240</v>
      </c>
      <c r="B51" s="113" t="s">
        <v>108</v>
      </c>
      <c r="C51" s="113" t="s">
        <v>41</v>
      </c>
      <c r="D51" s="192" t="s">
        <v>1791</v>
      </c>
      <c r="E51" s="113" t="s">
        <v>109</v>
      </c>
      <c r="F51" s="113" t="s">
        <v>36</v>
      </c>
      <c r="G51" s="113"/>
      <c r="H51" s="113"/>
      <c r="I51" s="115" t="s">
        <v>119</v>
      </c>
      <c r="J51" s="113">
        <v>67996135721</v>
      </c>
      <c r="K51" s="114" t="s">
        <v>111</v>
      </c>
      <c r="L51" s="116">
        <v>0.25</v>
      </c>
      <c r="M51" s="114">
        <v>319</v>
      </c>
      <c r="N51" s="113"/>
      <c r="O51" s="113" t="s">
        <v>112</v>
      </c>
      <c r="P51" s="115" t="s">
        <v>241</v>
      </c>
      <c r="Q51" s="118">
        <v>229.41666666666666</v>
      </c>
      <c r="R51" s="118">
        <v>250.27272727272728</v>
      </c>
      <c r="S51" s="113">
        <f>COUNTIFS(Faturamento!B:B,Base_Clientes[[#This Row],[INSTALAÇÃO]],Faturamento!V:V,"Atrasado")</f>
        <v>0</v>
      </c>
    </row>
    <row r="52" spans="1:19" hidden="1" x14ac:dyDescent="0.3">
      <c r="A52" s="113" t="s">
        <v>242</v>
      </c>
      <c r="B52" s="113" t="s">
        <v>108</v>
      </c>
      <c r="C52" s="113" t="s">
        <v>74</v>
      </c>
      <c r="D52" s="192" t="s">
        <v>1791</v>
      </c>
      <c r="E52" s="113" t="s">
        <v>109</v>
      </c>
      <c r="F52" s="113" t="s">
        <v>36</v>
      </c>
      <c r="G52" s="113"/>
      <c r="H52" s="113"/>
      <c r="I52" s="115" t="s">
        <v>159</v>
      </c>
      <c r="J52" s="113">
        <v>67996266684</v>
      </c>
      <c r="K52" s="114" t="s">
        <v>120</v>
      </c>
      <c r="L52" s="116">
        <v>0.25</v>
      </c>
      <c r="M52" s="114">
        <v>357</v>
      </c>
      <c r="N52" s="113"/>
      <c r="O52" s="113" t="s">
        <v>112</v>
      </c>
      <c r="P52" s="115" t="s">
        <v>243</v>
      </c>
      <c r="Q52" s="118">
        <v>162.18181818181819</v>
      </c>
      <c r="R52" s="118">
        <v>178.4</v>
      </c>
      <c r="S52" s="113">
        <f>COUNTIFS(Faturamento!B:B,Base_Clientes[[#This Row],[INSTALAÇÃO]],Faturamento!V:V,"Atrasado")</f>
        <v>0</v>
      </c>
    </row>
    <row r="53" spans="1:19" x14ac:dyDescent="0.3">
      <c r="A53" s="113" t="s">
        <v>244</v>
      </c>
      <c r="B53" s="113" t="s">
        <v>108</v>
      </c>
      <c r="C53" s="113" t="s">
        <v>86</v>
      </c>
      <c r="D53" s="192" t="s">
        <v>1791</v>
      </c>
      <c r="E53" s="113" t="s">
        <v>109</v>
      </c>
      <c r="F53" s="113" t="s">
        <v>36</v>
      </c>
      <c r="G53" s="113"/>
      <c r="H53" s="113"/>
      <c r="I53" s="115" t="s">
        <v>165</v>
      </c>
      <c r="J53" s="113" t="s">
        <v>245</v>
      </c>
      <c r="K53" s="114" t="s">
        <v>120</v>
      </c>
      <c r="L53" s="120">
        <v>0.25</v>
      </c>
      <c r="M53" s="114">
        <v>331</v>
      </c>
      <c r="N53" s="113"/>
      <c r="O53" s="113" t="s">
        <v>112</v>
      </c>
      <c r="P53" s="115" t="s">
        <v>246</v>
      </c>
      <c r="Q53" s="118">
        <v>433.16666666666669</v>
      </c>
      <c r="R53" s="118">
        <v>433.16666666666669</v>
      </c>
      <c r="S53" s="113">
        <f>COUNTIFS(Faturamento!B:B,Base_Clientes[[#This Row],[INSTALAÇÃO]],Faturamento!V:V,"Atrasado")</f>
        <v>0</v>
      </c>
    </row>
    <row r="54" spans="1:19" hidden="1" x14ac:dyDescent="0.3">
      <c r="A54" s="113" t="s">
        <v>247</v>
      </c>
      <c r="B54" s="113" t="s">
        <v>108</v>
      </c>
      <c r="C54" s="113" t="s">
        <v>81</v>
      </c>
      <c r="D54" s="192" t="s">
        <v>1791</v>
      </c>
      <c r="E54" s="113" t="s">
        <v>124</v>
      </c>
      <c r="F54" s="113" t="s">
        <v>36</v>
      </c>
      <c r="G54" s="113" t="s">
        <v>131</v>
      </c>
      <c r="H54" s="191">
        <v>45954</v>
      </c>
      <c r="I54" s="114" t="s">
        <v>248</v>
      </c>
      <c r="J54" s="113">
        <v>67999050448</v>
      </c>
      <c r="K54" s="114" t="s">
        <v>120</v>
      </c>
      <c r="L54" s="120">
        <v>0.25</v>
      </c>
      <c r="M54" s="114">
        <v>362</v>
      </c>
      <c r="N54" s="113"/>
      <c r="O54" s="113" t="s">
        <v>112</v>
      </c>
      <c r="P54" s="115" t="s">
        <v>249</v>
      </c>
      <c r="Q54" s="118">
        <v>335.41666666666669</v>
      </c>
      <c r="R54" s="118">
        <v>365.90909090909093</v>
      </c>
      <c r="S54" s="113">
        <f>COUNTIFS(Faturamento!B:B,Base_Clientes[[#This Row],[INSTALAÇÃO]],Faturamento!V:V,"Atrasado")</f>
        <v>2</v>
      </c>
    </row>
    <row r="55" spans="1:19" hidden="1" x14ac:dyDescent="0.3">
      <c r="A55" s="113" t="s">
        <v>250</v>
      </c>
      <c r="B55" s="113" t="s">
        <v>108</v>
      </c>
      <c r="C55" s="113" t="s">
        <v>42</v>
      </c>
      <c r="D55" s="192" t="s">
        <v>1791</v>
      </c>
      <c r="E55" s="113" t="s">
        <v>124</v>
      </c>
      <c r="F55" s="113" t="s">
        <v>125</v>
      </c>
      <c r="G55" s="113" t="s">
        <v>126</v>
      </c>
      <c r="H55" s="113"/>
      <c r="I55" s="119" t="s">
        <v>251</v>
      </c>
      <c r="J55" s="113">
        <v>65999839279</v>
      </c>
      <c r="K55" s="114" t="s">
        <v>111</v>
      </c>
      <c r="L55" s="116">
        <v>0.25</v>
      </c>
      <c r="M55" s="114">
        <v>358</v>
      </c>
      <c r="N55" s="113"/>
      <c r="O55" s="113" t="s">
        <v>112</v>
      </c>
      <c r="P55" s="115" t="s">
        <v>252</v>
      </c>
      <c r="Q55" s="118">
        <v>150.66666666666666</v>
      </c>
      <c r="R55" s="118">
        <v>164.36363636363637</v>
      </c>
      <c r="S55" s="113">
        <f>COUNTIFS(Faturamento!B:B,Base_Clientes[[#This Row],[INSTALAÇÃO]],Faturamento!V:V,"Atrasado")</f>
        <v>0</v>
      </c>
    </row>
    <row r="56" spans="1:19" hidden="1" x14ac:dyDescent="0.3">
      <c r="A56" s="113" t="s">
        <v>253</v>
      </c>
      <c r="B56" s="113" t="s">
        <v>108</v>
      </c>
      <c r="C56" s="113" t="s">
        <v>44</v>
      </c>
      <c r="D56" s="192" t="s">
        <v>1791</v>
      </c>
      <c r="E56" s="113" t="s">
        <v>124</v>
      </c>
      <c r="F56" s="113" t="s">
        <v>125</v>
      </c>
      <c r="G56" s="113" t="s">
        <v>126</v>
      </c>
      <c r="H56" s="113"/>
      <c r="I56" s="115" t="s">
        <v>159</v>
      </c>
      <c r="J56" s="113">
        <v>67996266684</v>
      </c>
      <c r="K56" s="114" t="s">
        <v>111</v>
      </c>
      <c r="L56" s="116">
        <v>0.25</v>
      </c>
      <c r="M56" s="114">
        <v>357</v>
      </c>
      <c r="N56" s="113"/>
      <c r="O56" s="113" t="s">
        <v>112</v>
      </c>
      <c r="P56" s="115" t="s">
        <v>254</v>
      </c>
      <c r="Q56" s="118">
        <v>365</v>
      </c>
      <c r="R56" s="118">
        <v>167.54545454545453</v>
      </c>
      <c r="S56" s="113">
        <f>COUNTIFS(Faturamento!B:B,Base_Clientes[[#This Row],[INSTALAÇÃO]],Faturamento!V:V,"Atrasado")</f>
        <v>0</v>
      </c>
    </row>
    <row r="57" spans="1:19" hidden="1" x14ac:dyDescent="0.3">
      <c r="A57" s="113" t="s">
        <v>255</v>
      </c>
      <c r="B57" s="113" t="s">
        <v>108</v>
      </c>
      <c r="C57" s="113" t="s">
        <v>64</v>
      </c>
      <c r="D57" s="192" t="s">
        <v>1791</v>
      </c>
      <c r="E57" s="113" t="s">
        <v>109</v>
      </c>
      <c r="F57" s="113" t="s">
        <v>36</v>
      </c>
      <c r="G57" s="113"/>
      <c r="H57" s="113"/>
      <c r="I57" s="115" t="s">
        <v>119</v>
      </c>
      <c r="J57" s="113">
        <v>67999361728</v>
      </c>
      <c r="K57" s="114" t="s">
        <v>120</v>
      </c>
      <c r="L57" s="120">
        <v>0.25</v>
      </c>
      <c r="M57" s="114">
        <v>319</v>
      </c>
      <c r="N57" s="113"/>
      <c r="O57" s="113" t="s">
        <v>112</v>
      </c>
      <c r="P57" s="115" t="s">
        <v>256</v>
      </c>
      <c r="Q57" s="118">
        <v>460.25</v>
      </c>
      <c r="R57" s="118">
        <v>502.09090909090907</v>
      </c>
      <c r="S57" s="113">
        <f>COUNTIFS(Faturamento!B:B,Base_Clientes[[#This Row],[INSTALAÇÃO]],Faturamento!V:V,"Atrasado")</f>
        <v>0</v>
      </c>
    </row>
    <row r="58" spans="1:19" hidden="1" x14ac:dyDescent="0.3">
      <c r="A58" s="113" t="s">
        <v>257</v>
      </c>
      <c r="B58" s="113" t="s">
        <v>108</v>
      </c>
      <c r="C58" s="113" t="s">
        <v>69</v>
      </c>
      <c r="D58" s="192" t="s">
        <v>1791</v>
      </c>
      <c r="E58" s="113" t="s">
        <v>109</v>
      </c>
      <c r="F58" s="113" t="s">
        <v>36</v>
      </c>
      <c r="G58" s="113"/>
      <c r="H58" s="113"/>
      <c r="I58" s="115" t="s">
        <v>119</v>
      </c>
      <c r="J58" s="113">
        <v>67993249456</v>
      </c>
      <c r="K58" s="114" t="s">
        <v>111</v>
      </c>
      <c r="L58" s="116">
        <v>0.25</v>
      </c>
      <c r="M58" s="114">
        <v>306</v>
      </c>
      <c r="N58" s="113"/>
      <c r="O58" s="113" t="s">
        <v>112</v>
      </c>
      <c r="P58" s="115" t="s">
        <v>258</v>
      </c>
      <c r="Q58" s="118">
        <v>302.75</v>
      </c>
      <c r="R58" s="118">
        <v>330.27272727272725</v>
      </c>
      <c r="S58" s="113">
        <f>COUNTIFS(Faturamento!B:B,Base_Clientes[[#This Row],[INSTALAÇÃO]],Faturamento!V:V,"Atrasado")</f>
        <v>0</v>
      </c>
    </row>
    <row r="59" spans="1:19" hidden="1" x14ac:dyDescent="0.3">
      <c r="A59" s="113" t="s">
        <v>259</v>
      </c>
      <c r="B59" s="113" t="s">
        <v>108</v>
      </c>
      <c r="C59" s="113" t="s">
        <v>39</v>
      </c>
      <c r="D59" s="192" t="s">
        <v>1791</v>
      </c>
      <c r="E59" s="113" t="s">
        <v>124</v>
      </c>
      <c r="F59" s="113" t="s">
        <v>36</v>
      </c>
      <c r="G59" s="113" t="s">
        <v>131</v>
      </c>
      <c r="H59" s="191">
        <v>45954</v>
      </c>
      <c r="I59" s="115" t="s">
        <v>119</v>
      </c>
      <c r="J59" s="113">
        <v>67991120875</v>
      </c>
      <c r="K59" s="114" t="s">
        <v>120</v>
      </c>
      <c r="L59" s="120">
        <v>0.25</v>
      </c>
      <c r="M59" s="114">
        <v>306</v>
      </c>
      <c r="N59" s="113"/>
      <c r="O59" s="113" t="s">
        <v>112</v>
      </c>
      <c r="P59" s="115" t="s">
        <v>260</v>
      </c>
      <c r="Q59" s="118">
        <v>2675.750833333333</v>
      </c>
      <c r="R59" s="118">
        <v>2675.750833333333</v>
      </c>
      <c r="S59" s="113">
        <f>COUNTIFS(Faturamento!B:B,Base_Clientes[[#This Row],[INSTALAÇÃO]],Faturamento!V:V,"Atrasado")</f>
        <v>2</v>
      </c>
    </row>
    <row r="60" spans="1:19" hidden="1" x14ac:dyDescent="0.3">
      <c r="A60" s="113" t="s">
        <v>261</v>
      </c>
      <c r="B60" s="113" t="s">
        <v>108</v>
      </c>
      <c r="C60" s="113" t="s">
        <v>38</v>
      </c>
      <c r="D60" s="192" t="s">
        <v>1791</v>
      </c>
      <c r="E60" s="113" t="s">
        <v>109</v>
      </c>
      <c r="F60" s="113" t="s">
        <v>36</v>
      </c>
      <c r="G60" s="113"/>
      <c r="H60" s="113"/>
      <c r="I60" s="119" t="s">
        <v>262</v>
      </c>
      <c r="J60" s="113">
        <v>67999159477</v>
      </c>
      <c r="K60" s="114" t="s">
        <v>170</v>
      </c>
      <c r="L60" s="120">
        <v>0.25</v>
      </c>
      <c r="M60" s="114">
        <v>306</v>
      </c>
      <c r="N60" s="113"/>
      <c r="O60" s="113" t="s">
        <v>112</v>
      </c>
      <c r="P60" s="115" t="s">
        <v>263</v>
      </c>
      <c r="Q60" s="118">
        <v>144</v>
      </c>
      <c r="R60" s="118">
        <v>144</v>
      </c>
      <c r="S60" s="113">
        <f>COUNTIFS(Faturamento!B:B,Base_Clientes[[#This Row],[INSTALAÇÃO]],Faturamento!V:V,"Atrasado")</f>
        <v>0</v>
      </c>
    </row>
    <row r="61" spans="1:19" ht="14.4" hidden="1" x14ac:dyDescent="0.3">
      <c r="A61" s="113" t="s">
        <v>264</v>
      </c>
      <c r="B61" s="113" t="s">
        <v>108</v>
      </c>
      <c r="C61" s="113" t="s">
        <v>70</v>
      </c>
      <c r="D61" s="192" t="s">
        <v>1791</v>
      </c>
      <c r="E61" s="113" t="s">
        <v>109</v>
      </c>
      <c r="F61" s="113" t="s">
        <v>36</v>
      </c>
      <c r="G61" s="113"/>
      <c r="H61" s="113"/>
      <c r="I61" s="197" t="s">
        <v>1796</v>
      </c>
      <c r="J61" s="113">
        <v>67992876000</v>
      </c>
      <c r="K61" s="114" t="s">
        <v>120</v>
      </c>
      <c r="L61" s="116">
        <v>0.25</v>
      </c>
      <c r="M61" s="114">
        <v>306</v>
      </c>
      <c r="N61" s="113"/>
      <c r="O61" s="113" t="s">
        <v>112</v>
      </c>
      <c r="P61" s="115" t="s">
        <v>265</v>
      </c>
      <c r="Q61" s="118">
        <v>229</v>
      </c>
      <c r="R61" s="118">
        <v>249.81818181818181</v>
      </c>
      <c r="S61" s="113">
        <f>COUNTIFS(Faturamento!B:B,Base_Clientes[[#This Row],[INSTALAÇÃO]],Faturamento!V:V,"Atrasado")</f>
        <v>0</v>
      </c>
    </row>
    <row r="62" spans="1:19" hidden="1" x14ac:dyDescent="0.3">
      <c r="A62" s="113" t="s">
        <v>266</v>
      </c>
      <c r="B62" s="113" t="s">
        <v>108</v>
      </c>
      <c r="C62" s="113" t="s">
        <v>67</v>
      </c>
      <c r="D62" s="192" t="s">
        <v>1791</v>
      </c>
      <c r="E62" s="113" t="s">
        <v>109</v>
      </c>
      <c r="F62" s="113" t="s">
        <v>36</v>
      </c>
      <c r="G62" s="113"/>
      <c r="H62" s="113"/>
      <c r="I62" s="115" t="s">
        <v>119</v>
      </c>
      <c r="J62" s="113">
        <v>67991060202</v>
      </c>
      <c r="K62" s="114" t="s">
        <v>120</v>
      </c>
      <c r="L62" s="120">
        <v>0.25</v>
      </c>
      <c r="M62" s="114">
        <v>306</v>
      </c>
      <c r="N62" s="113"/>
      <c r="O62" s="113" t="s">
        <v>112</v>
      </c>
      <c r="P62" s="115" t="s">
        <v>267</v>
      </c>
      <c r="Q62" s="118">
        <v>604.16666666666663</v>
      </c>
      <c r="R62" s="118">
        <v>659.09090909090912</v>
      </c>
      <c r="S62" s="113">
        <f>COUNTIFS(Faturamento!B:B,Base_Clientes[[#This Row],[INSTALAÇÃO]],Faturamento!V:V,"Atrasado")</f>
        <v>0</v>
      </c>
    </row>
    <row r="63" spans="1:19" hidden="1" x14ac:dyDescent="0.3">
      <c r="A63" s="113" t="s">
        <v>268</v>
      </c>
      <c r="B63" s="113" t="s">
        <v>108</v>
      </c>
      <c r="C63" s="113" t="s">
        <v>269</v>
      </c>
      <c r="D63" s="192" t="s">
        <v>1791</v>
      </c>
      <c r="E63" s="113" t="s">
        <v>124</v>
      </c>
      <c r="F63" s="113" t="s">
        <v>125</v>
      </c>
      <c r="G63" s="113" t="s">
        <v>126</v>
      </c>
      <c r="H63" s="113"/>
      <c r="I63" s="115" t="s">
        <v>119</v>
      </c>
      <c r="J63" s="113">
        <v>67996859014</v>
      </c>
      <c r="K63" s="114" t="s">
        <v>111</v>
      </c>
      <c r="L63" s="120">
        <v>0.25</v>
      </c>
      <c r="M63" s="114">
        <v>319</v>
      </c>
      <c r="N63" s="113"/>
      <c r="O63" s="113" t="s">
        <v>112</v>
      </c>
      <c r="P63" s="115" t="s">
        <v>270</v>
      </c>
      <c r="Q63" s="118">
        <v>308.33333333333331</v>
      </c>
      <c r="R63" s="118">
        <v>336.36363636363637</v>
      </c>
      <c r="S63" s="113">
        <f>COUNTIFS(Faturamento!B:B,Base_Clientes[[#This Row],[INSTALAÇÃO]],Faturamento!V:V,"Atrasado")</f>
        <v>4</v>
      </c>
    </row>
    <row r="64" spans="1:19" hidden="1" x14ac:dyDescent="0.3">
      <c r="A64" s="113" t="s">
        <v>271</v>
      </c>
      <c r="B64" s="113" t="s">
        <v>108</v>
      </c>
      <c r="C64" s="113" t="s">
        <v>272</v>
      </c>
      <c r="D64" s="192" t="s">
        <v>1791</v>
      </c>
      <c r="E64" s="113" t="s">
        <v>124</v>
      </c>
      <c r="F64" s="113" t="s">
        <v>125</v>
      </c>
      <c r="G64" s="113" t="s">
        <v>126</v>
      </c>
      <c r="H64" s="113"/>
      <c r="I64" s="115" t="s">
        <v>119</v>
      </c>
      <c r="J64" s="113">
        <v>67996687077</v>
      </c>
      <c r="K64" s="114" t="s">
        <v>111</v>
      </c>
      <c r="L64" s="116">
        <v>0.25</v>
      </c>
      <c r="M64" s="114">
        <v>319</v>
      </c>
      <c r="N64" s="113"/>
      <c r="O64" s="113" t="s">
        <v>112</v>
      </c>
      <c r="P64" s="115" t="s">
        <v>273</v>
      </c>
      <c r="Q64" s="118">
        <v>268.58333333333331</v>
      </c>
      <c r="R64" s="118">
        <v>293</v>
      </c>
      <c r="S64" s="113">
        <f>COUNTIFS(Faturamento!B:B,Base_Clientes[[#This Row],[INSTALAÇÃO]],Faturamento!V:V,"Atrasado")</f>
        <v>0</v>
      </c>
    </row>
    <row r="65" spans="1:19" hidden="1" x14ac:dyDescent="0.3">
      <c r="A65" s="113" t="s">
        <v>274</v>
      </c>
      <c r="B65" s="113" t="s">
        <v>108</v>
      </c>
      <c r="C65" s="113" t="s">
        <v>78</v>
      </c>
      <c r="D65" s="192" t="s">
        <v>1791</v>
      </c>
      <c r="E65" s="113" t="s">
        <v>109</v>
      </c>
      <c r="F65" s="113" t="s">
        <v>36</v>
      </c>
      <c r="G65" s="113"/>
      <c r="H65" s="113"/>
      <c r="I65" s="115" t="s">
        <v>119</v>
      </c>
      <c r="J65" s="113">
        <v>67992021114</v>
      </c>
      <c r="K65" s="114" t="s">
        <v>120</v>
      </c>
      <c r="L65" s="120">
        <v>0.25</v>
      </c>
      <c r="M65" s="114">
        <v>306</v>
      </c>
      <c r="N65" s="113"/>
      <c r="O65" s="113" t="s">
        <v>112</v>
      </c>
      <c r="P65" s="115" t="s">
        <v>275</v>
      </c>
      <c r="Q65" s="118">
        <v>346.58333333333331</v>
      </c>
      <c r="R65" s="118">
        <v>378.09090909090907</v>
      </c>
      <c r="S65" s="113">
        <f>COUNTIFS(Faturamento!B:B,Base_Clientes[[#This Row],[INSTALAÇÃO]],Faturamento!V:V,"Atrasado")</f>
        <v>0</v>
      </c>
    </row>
    <row r="66" spans="1:19" hidden="1" x14ac:dyDescent="0.3">
      <c r="A66" s="113" t="s">
        <v>276</v>
      </c>
      <c r="B66" s="113" t="s">
        <v>108</v>
      </c>
      <c r="C66" s="113" t="s">
        <v>38</v>
      </c>
      <c r="D66" s="192" t="s">
        <v>1791</v>
      </c>
      <c r="E66" s="113" t="s">
        <v>109</v>
      </c>
      <c r="F66" s="113" t="s">
        <v>36</v>
      </c>
      <c r="G66" s="113"/>
      <c r="H66" s="113"/>
      <c r="I66" s="115" t="s">
        <v>277</v>
      </c>
      <c r="J66" s="113" t="s">
        <v>278</v>
      </c>
      <c r="K66" s="114" t="s">
        <v>111</v>
      </c>
      <c r="L66" s="120">
        <v>0.25</v>
      </c>
      <c r="M66" s="114">
        <v>302</v>
      </c>
      <c r="N66" s="113"/>
      <c r="O66" s="113" t="s">
        <v>112</v>
      </c>
      <c r="P66" s="115" t="s">
        <v>279</v>
      </c>
      <c r="Q66" s="118">
        <v>147.33333333333334</v>
      </c>
      <c r="R66" s="118">
        <v>147.33333333333334</v>
      </c>
      <c r="S66" s="113">
        <f>COUNTIFS(Faturamento!B:B,Base_Clientes[[#This Row],[INSTALAÇÃO]],Faturamento!V:V,"Atrasado")</f>
        <v>0</v>
      </c>
    </row>
    <row r="67" spans="1:19" hidden="1" x14ac:dyDescent="0.3">
      <c r="A67" s="113" t="s">
        <v>280</v>
      </c>
      <c r="B67" s="113" t="s">
        <v>108</v>
      </c>
      <c r="C67" s="113" t="s">
        <v>42</v>
      </c>
      <c r="D67" s="192" t="s">
        <v>1791</v>
      </c>
      <c r="E67" s="113" t="s">
        <v>109</v>
      </c>
      <c r="F67" s="113" t="s">
        <v>36</v>
      </c>
      <c r="G67" s="113"/>
      <c r="H67" s="113"/>
      <c r="I67" s="115" t="s">
        <v>281</v>
      </c>
      <c r="J67" s="113">
        <v>67998302932</v>
      </c>
      <c r="K67" s="114" t="s">
        <v>111</v>
      </c>
      <c r="L67" s="116">
        <v>0.25</v>
      </c>
      <c r="M67" s="114">
        <v>358</v>
      </c>
      <c r="N67" s="113"/>
      <c r="O67" s="113" t="s">
        <v>112</v>
      </c>
      <c r="P67" s="115" t="s">
        <v>282</v>
      </c>
      <c r="Q67" s="118">
        <v>163.16666666666666</v>
      </c>
      <c r="R67" s="118">
        <v>178</v>
      </c>
      <c r="S67" s="113">
        <f>COUNTIFS(Faturamento!B:B,Base_Clientes[[#This Row],[INSTALAÇÃO]],Faturamento!V:V,"Atrasado")</f>
        <v>0</v>
      </c>
    </row>
    <row r="68" spans="1:19" hidden="1" x14ac:dyDescent="0.3">
      <c r="A68" s="113" t="s">
        <v>283</v>
      </c>
      <c r="B68" s="113" t="s">
        <v>108</v>
      </c>
      <c r="C68" s="113" t="s">
        <v>64</v>
      </c>
      <c r="D68" s="192" t="s">
        <v>1791</v>
      </c>
      <c r="E68" s="113" t="s">
        <v>109</v>
      </c>
      <c r="F68" s="113" t="s">
        <v>36</v>
      </c>
      <c r="G68" s="113"/>
      <c r="H68" s="113"/>
      <c r="I68" s="115" t="s">
        <v>119</v>
      </c>
      <c r="J68" s="113">
        <v>6796411024</v>
      </c>
      <c r="K68" s="114" t="s">
        <v>120</v>
      </c>
      <c r="L68" s="120">
        <v>0.25</v>
      </c>
      <c r="M68" s="114">
        <v>319</v>
      </c>
      <c r="N68" s="113"/>
      <c r="O68" s="113" t="s">
        <v>112</v>
      </c>
      <c r="P68" s="115" t="s">
        <v>284</v>
      </c>
      <c r="Q68" s="118">
        <v>331.66666666666669</v>
      </c>
      <c r="R68" s="118">
        <v>361.81818181818181</v>
      </c>
      <c r="S68" s="113">
        <f>COUNTIFS(Faturamento!B:B,Base_Clientes[[#This Row],[INSTALAÇÃO]],Faturamento!V:V,"Atrasado")</f>
        <v>0</v>
      </c>
    </row>
    <row r="69" spans="1:19" hidden="1" x14ac:dyDescent="0.3">
      <c r="A69" s="113" t="s">
        <v>285</v>
      </c>
      <c r="B69" s="113" t="s">
        <v>108</v>
      </c>
      <c r="C69" s="113" t="s">
        <v>44</v>
      </c>
      <c r="D69" s="192" t="s">
        <v>1791</v>
      </c>
      <c r="E69" s="113" t="s">
        <v>109</v>
      </c>
      <c r="F69" s="113" t="s">
        <v>36</v>
      </c>
      <c r="G69" s="113"/>
      <c r="H69" s="113"/>
      <c r="I69" s="115" t="s">
        <v>159</v>
      </c>
      <c r="J69" s="113">
        <v>67996266684</v>
      </c>
      <c r="K69" s="114" t="s">
        <v>120</v>
      </c>
      <c r="L69" s="120">
        <v>0.25</v>
      </c>
      <c r="M69" s="114">
        <v>357</v>
      </c>
      <c r="N69" s="113"/>
      <c r="O69" s="113" t="s">
        <v>112</v>
      </c>
      <c r="P69" s="115" t="s">
        <v>286</v>
      </c>
      <c r="Q69" s="118">
        <v>467.91666666666669</v>
      </c>
      <c r="R69" s="118">
        <v>510.45454545454544</v>
      </c>
      <c r="S69" s="113">
        <f>COUNTIFS(Faturamento!B:B,Base_Clientes[[#This Row],[INSTALAÇÃO]],Faturamento!V:V,"Atrasado")</f>
        <v>1</v>
      </c>
    </row>
    <row r="70" spans="1:19" hidden="1" x14ac:dyDescent="0.3">
      <c r="A70" s="113" t="s">
        <v>287</v>
      </c>
      <c r="B70" s="113" t="s">
        <v>108</v>
      </c>
      <c r="C70" s="113" t="s">
        <v>71</v>
      </c>
      <c r="D70" s="192" t="s">
        <v>1791</v>
      </c>
      <c r="E70" s="113" t="s">
        <v>109</v>
      </c>
      <c r="F70" s="113" t="s">
        <v>36</v>
      </c>
      <c r="G70" s="113"/>
      <c r="H70" s="113"/>
      <c r="I70" s="115" t="s">
        <v>119</v>
      </c>
      <c r="J70" s="113" t="s">
        <v>288</v>
      </c>
      <c r="K70" s="114" t="s">
        <v>120</v>
      </c>
      <c r="L70" s="120">
        <v>0.25</v>
      </c>
      <c r="M70" s="114">
        <v>306</v>
      </c>
      <c r="N70" s="113"/>
      <c r="O70" s="113" t="s">
        <v>112</v>
      </c>
      <c r="P70" s="115" t="s">
        <v>289</v>
      </c>
      <c r="Q70" s="118">
        <v>187.5</v>
      </c>
      <c r="R70" s="118">
        <v>187.5</v>
      </c>
      <c r="S70" s="113">
        <f>COUNTIFS(Faturamento!B:B,Base_Clientes[[#This Row],[INSTALAÇÃO]],Faturamento!V:V,"Atrasado")</f>
        <v>0</v>
      </c>
    </row>
    <row r="71" spans="1:19" hidden="1" x14ac:dyDescent="0.3">
      <c r="A71" s="113" t="s">
        <v>290</v>
      </c>
      <c r="B71" s="113" t="s">
        <v>108</v>
      </c>
      <c r="C71" s="113" t="s">
        <v>77</v>
      </c>
      <c r="D71" s="192" t="s">
        <v>1791</v>
      </c>
      <c r="E71" s="113" t="s">
        <v>109</v>
      </c>
      <c r="F71" s="113" t="s">
        <v>36</v>
      </c>
      <c r="G71" s="113"/>
      <c r="H71" s="113"/>
      <c r="I71" s="115" t="s">
        <v>138</v>
      </c>
      <c r="J71" s="113">
        <v>67992637973</v>
      </c>
      <c r="K71" s="114" t="s">
        <v>120</v>
      </c>
      <c r="L71" s="120">
        <v>0.25</v>
      </c>
      <c r="M71" s="114">
        <v>371</v>
      </c>
      <c r="N71" s="113"/>
      <c r="O71" s="113" t="s">
        <v>112</v>
      </c>
      <c r="P71" s="115" t="s">
        <v>291</v>
      </c>
      <c r="Q71" s="118">
        <v>397.41666666666669</v>
      </c>
      <c r="R71" s="118">
        <v>433.54545454545456</v>
      </c>
      <c r="S71" s="113">
        <f>COUNTIFS(Faturamento!B:B,Base_Clientes[[#This Row],[INSTALAÇÃO]],Faturamento!V:V,"Atrasado")</f>
        <v>0</v>
      </c>
    </row>
    <row r="72" spans="1:19" hidden="1" x14ac:dyDescent="0.3">
      <c r="A72" s="113" t="s">
        <v>292</v>
      </c>
      <c r="B72" s="113" t="s">
        <v>108</v>
      </c>
      <c r="C72" s="113" t="s">
        <v>90</v>
      </c>
      <c r="D72" s="192" t="s">
        <v>1791</v>
      </c>
      <c r="E72" s="113" t="s">
        <v>109</v>
      </c>
      <c r="F72" s="113" t="s">
        <v>36</v>
      </c>
      <c r="G72" s="113"/>
      <c r="H72" s="113"/>
      <c r="I72" s="114" t="s">
        <v>128</v>
      </c>
      <c r="J72" s="113">
        <v>67996446178</v>
      </c>
      <c r="K72" s="114" t="s">
        <v>120</v>
      </c>
      <c r="L72" s="120">
        <v>0.25</v>
      </c>
      <c r="M72" s="114">
        <v>351</v>
      </c>
      <c r="N72" s="113"/>
      <c r="O72" s="113" t="s">
        <v>112</v>
      </c>
      <c r="P72" s="115" t="s">
        <v>293</v>
      </c>
      <c r="Q72" s="118">
        <v>432.33333333333331</v>
      </c>
      <c r="R72" s="118">
        <v>93.7</v>
      </c>
      <c r="S72" s="113">
        <f>COUNTIFS(Faturamento!B:B,Base_Clientes[[#This Row],[INSTALAÇÃO]],Faturamento!V:V,"Atrasado")</f>
        <v>0</v>
      </c>
    </row>
    <row r="73" spans="1:19" hidden="1" x14ac:dyDescent="0.3">
      <c r="A73" s="113" t="s">
        <v>294</v>
      </c>
      <c r="B73" s="113" t="s">
        <v>108</v>
      </c>
      <c r="C73" s="113" t="s">
        <v>80</v>
      </c>
      <c r="D73" s="192" t="s">
        <v>1791</v>
      </c>
      <c r="E73" s="113" t="s">
        <v>109</v>
      </c>
      <c r="F73" s="113" t="s">
        <v>36</v>
      </c>
      <c r="G73" s="113"/>
      <c r="H73" s="113"/>
      <c r="I73" s="115" t="s">
        <v>295</v>
      </c>
      <c r="J73" s="113">
        <v>67992637973</v>
      </c>
      <c r="K73" s="114" t="s">
        <v>120</v>
      </c>
      <c r="L73" s="120">
        <v>0.25</v>
      </c>
      <c r="M73" s="114">
        <v>358</v>
      </c>
      <c r="N73" s="113"/>
      <c r="O73" s="113" t="s">
        <v>112</v>
      </c>
      <c r="P73" s="115" t="s">
        <v>296</v>
      </c>
      <c r="Q73" s="118">
        <v>586</v>
      </c>
      <c r="R73" s="118">
        <v>586</v>
      </c>
      <c r="S73" s="113">
        <f>COUNTIFS(Faturamento!B:B,Base_Clientes[[#This Row],[INSTALAÇÃO]],Faturamento!V:V,"Atrasado")</f>
        <v>0</v>
      </c>
    </row>
    <row r="74" spans="1:19" hidden="1" x14ac:dyDescent="0.3">
      <c r="A74" s="113" t="s">
        <v>297</v>
      </c>
      <c r="B74" s="113" t="s">
        <v>108</v>
      </c>
      <c r="C74" s="113" t="s">
        <v>44</v>
      </c>
      <c r="D74" s="192" t="s">
        <v>1791</v>
      </c>
      <c r="E74" s="113" t="s">
        <v>109</v>
      </c>
      <c r="F74" s="113" t="s">
        <v>36</v>
      </c>
      <c r="G74" s="113"/>
      <c r="H74" s="113"/>
      <c r="I74" s="115" t="s">
        <v>159</v>
      </c>
      <c r="J74" s="113">
        <v>67996266684</v>
      </c>
      <c r="K74" s="114" t="s">
        <v>111</v>
      </c>
      <c r="L74" s="120">
        <v>0.25</v>
      </c>
      <c r="M74" s="114">
        <v>357</v>
      </c>
      <c r="N74" s="113"/>
      <c r="O74" s="113" t="s">
        <v>112</v>
      </c>
      <c r="P74" s="115" t="s">
        <v>298</v>
      </c>
      <c r="Q74" s="118">
        <v>215.58333333333334</v>
      </c>
      <c r="R74" s="118">
        <v>215.58333333333334</v>
      </c>
      <c r="S74" s="113">
        <f>COUNTIFS(Faturamento!B:B,Base_Clientes[[#This Row],[INSTALAÇÃO]],Faturamento!V:V,"Atrasado")</f>
        <v>0</v>
      </c>
    </row>
    <row r="75" spans="1:19" hidden="1" x14ac:dyDescent="0.3">
      <c r="A75" s="113" t="s">
        <v>299</v>
      </c>
      <c r="B75" s="113" t="s">
        <v>108</v>
      </c>
      <c r="C75" s="113" t="s">
        <v>300</v>
      </c>
      <c r="D75" s="192" t="s">
        <v>1791</v>
      </c>
      <c r="E75" s="113" t="s">
        <v>124</v>
      </c>
      <c r="F75" s="113" t="s">
        <v>125</v>
      </c>
      <c r="G75" s="113" t="s">
        <v>126</v>
      </c>
      <c r="H75" s="113"/>
      <c r="I75" s="115" t="s">
        <v>174</v>
      </c>
      <c r="J75" s="113" t="s">
        <v>175</v>
      </c>
      <c r="K75" s="114" t="s">
        <v>120</v>
      </c>
      <c r="L75" s="116">
        <v>0.25</v>
      </c>
      <c r="M75" s="114">
        <v>349</v>
      </c>
      <c r="N75" s="113"/>
      <c r="O75" s="113" t="s">
        <v>112</v>
      </c>
      <c r="P75" s="115" t="s">
        <v>301</v>
      </c>
      <c r="Q75" s="118">
        <v>232.91666666666666</v>
      </c>
      <c r="R75" s="118">
        <v>254.09090909090909</v>
      </c>
      <c r="S75" s="113">
        <f>COUNTIFS(Faturamento!B:B,Base_Clientes[[#This Row],[INSTALAÇÃO]],Faturamento!V:V,"Atrasado")</f>
        <v>0</v>
      </c>
    </row>
    <row r="76" spans="1:19" hidden="1" x14ac:dyDescent="0.3">
      <c r="A76" s="113" t="s">
        <v>302</v>
      </c>
      <c r="B76" s="113" t="s">
        <v>108</v>
      </c>
      <c r="C76" s="113" t="s">
        <v>303</v>
      </c>
      <c r="D76" s="192" t="s">
        <v>1791</v>
      </c>
      <c r="E76" s="113" t="s">
        <v>124</v>
      </c>
      <c r="F76" s="113" t="s">
        <v>125</v>
      </c>
      <c r="G76" s="113" t="s">
        <v>126</v>
      </c>
      <c r="H76" s="113"/>
      <c r="I76" s="115" t="s">
        <v>138</v>
      </c>
      <c r="J76" s="113">
        <v>67992637973</v>
      </c>
      <c r="K76" s="114" t="s">
        <v>120</v>
      </c>
      <c r="L76" s="120">
        <v>0.25</v>
      </c>
      <c r="M76" s="114">
        <v>371</v>
      </c>
      <c r="N76" s="113"/>
      <c r="O76" s="113" t="s">
        <v>112</v>
      </c>
      <c r="P76" s="115" t="s">
        <v>304</v>
      </c>
      <c r="Q76" s="118">
        <v>513.41666666666663</v>
      </c>
      <c r="R76" s="118">
        <v>513.41666666666663</v>
      </c>
      <c r="S76" s="113">
        <f>COUNTIFS(Faturamento!B:B,Base_Clientes[[#This Row],[INSTALAÇÃO]],Faturamento!V:V,"Atrasado")</f>
        <v>0</v>
      </c>
    </row>
    <row r="77" spans="1:19" hidden="1" x14ac:dyDescent="0.3">
      <c r="A77" s="113" t="s">
        <v>305</v>
      </c>
      <c r="B77" s="113" t="s">
        <v>108</v>
      </c>
      <c r="C77" s="113" t="s">
        <v>45</v>
      </c>
      <c r="D77" s="192" t="s">
        <v>1791</v>
      </c>
      <c r="E77" s="113" t="s">
        <v>109</v>
      </c>
      <c r="F77" s="113" t="s">
        <v>36</v>
      </c>
      <c r="G77" s="113"/>
      <c r="H77" s="113"/>
      <c r="I77" s="115" t="s">
        <v>277</v>
      </c>
      <c r="J77" s="113" t="s">
        <v>278</v>
      </c>
      <c r="K77" s="114" t="s">
        <v>120</v>
      </c>
      <c r="L77" s="120">
        <v>0.25</v>
      </c>
      <c r="M77" s="114">
        <v>302</v>
      </c>
      <c r="N77" s="113"/>
      <c r="O77" s="113" t="s">
        <v>112</v>
      </c>
      <c r="P77" s="115" t="s">
        <v>306</v>
      </c>
      <c r="Q77" s="118">
        <v>1810.6008333333332</v>
      </c>
      <c r="R77" s="118">
        <v>1810.6008333333332</v>
      </c>
      <c r="S77" s="113">
        <f>COUNTIFS(Faturamento!B:B,Base_Clientes[[#This Row],[INSTALAÇÃO]],Faturamento!V:V,"Atrasado")</f>
        <v>0</v>
      </c>
    </row>
    <row r="78" spans="1:19" hidden="1" x14ac:dyDescent="0.3">
      <c r="A78" s="113" t="s">
        <v>307</v>
      </c>
      <c r="B78" s="113" t="s">
        <v>108</v>
      </c>
      <c r="C78" s="113" t="s">
        <v>64</v>
      </c>
      <c r="D78" s="192" t="s">
        <v>1791</v>
      </c>
      <c r="E78" s="113" t="s">
        <v>109</v>
      </c>
      <c r="F78" s="113" t="s">
        <v>36</v>
      </c>
      <c r="G78" s="113"/>
      <c r="H78" s="113"/>
      <c r="I78" s="115" t="s">
        <v>119</v>
      </c>
      <c r="J78" s="113">
        <v>67996983476</v>
      </c>
      <c r="K78" s="114" t="s">
        <v>120</v>
      </c>
      <c r="L78" s="116">
        <v>0.25</v>
      </c>
      <c r="M78" s="114">
        <v>319</v>
      </c>
      <c r="N78" s="113"/>
      <c r="O78" s="113" t="s">
        <v>112</v>
      </c>
      <c r="P78" s="115" t="s">
        <v>308</v>
      </c>
      <c r="Q78" s="118">
        <v>242</v>
      </c>
      <c r="R78" s="118">
        <v>264</v>
      </c>
      <c r="S78" s="113">
        <f>COUNTIFS(Faturamento!B:B,Base_Clientes[[#This Row],[INSTALAÇÃO]],Faturamento!V:V,"Atrasado")</f>
        <v>0</v>
      </c>
    </row>
    <row r="79" spans="1:19" hidden="1" x14ac:dyDescent="0.3">
      <c r="A79" s="113" t="s">
        <v>309</v>
      </c>
      <c r="B79" s="113" t="s">
        <v>108</v>
      </c>
      <c r="C79" s="113" t="s">
        <v>80</v>
      </c>
      <c r="D79" s="192" t="s">
        <v>1791</v>
      </c>
      <c r="E79" s="113" t="s">
        <v>109</v>
      </c>
      <c r="F79" s="113" t="s">
        <v>36</v>
      </c>
      <c r="G79" s="113"/>
      <c r="H79" s="113"/>
      <c r="I79" s="115" t="s">
        <v>135</v>
      </c>
      <c r="J79" s="113">
        <v>67999516782</v>
      </c>
      <c r="K79" s="114" t="s">
        <v>111</v>
      </c>
      <c r="L79" s="116">
        <v>0.25</v>
      </c>
      <c r="M79" s="114">
        <v>362</v>
      </c>
      <c r="N79" s="113"/>
      <c r="O79" s="113" t="s">
        <v>112</v>
      </c>
      <c r="P79" s="115" t="s">
        <v>310</v>
      </c>
      <c r="Q79" s="118">
        <v>112.25</v>
      </c>
      <c r="R79" s="118">
        <v>122.45454545454545</v>
      </c>
      <c r="S79" s="113">
        <f>COUNTIFS(Faturamento!B:B,Base_Clientes[[#This Row],[INSTALAÇÃO]],Faturamento!V:V,"Atrasado")</f>
        <v>0</v>
      </c>
    </row>
    <row r="80" spans="1:19" hidden="1" x14ac:dyDescent="0.3">
      <c r="A80" s="113" t="s">
        <v>311</v>
      </c>
      <c r="B80" s="113" t="s">
        <v>108</v>
      </c>
      <c r="C80" s="113" t="s">
        <v>65</v>
      </c>
      <c r="D80" s="192" t="s">
        <v>1791</v>
      </c>
      <c r="E80" s="113" t="s">
        <v>109</v>
      </c>
      <c r="F80" s="113" t="s">
        <v>36</v>
      </c>
      <c r="G80" s="113"/>
      <c r="H80" s="113"/>
      <c r="I80" s="115" t="s">
        <v>312</v>
      </c>
      <c r="J80" s="113" t="s">
        <v>313</v>
      </c>
      <c r="K80" s="114" t="s">
        <v>120</v>
      </c>
      <c r="L80" s="120">
        <v>0.25</v>
      </c>
      <c r="M80" s="114">
        <v>994</v>
      </c>
      <c r="N80" s="113"/>
      <c r="O80" s="113" t="s">
        <v>112</v>
      </c>
      <c r="P80" s="115" t="s">
        <v>314</v>
      </c>
      <c r="Q80" s="118">
        <v>350.91666666666669</v>
      </c>
      <c r="R80" s="118">
        <v>350.91666666666669</v>
      </c>
      <c r="S80" s="113">
        <f>COUNTIFS(Faturamento!B:B,Base_Clientes[[#This Row],[INSTALAÇÃO]],Faturamento!V:V,"Atrasado")</f>
        <v>1</v>
      </c>
    </row>
    <row r="81" spans="1:19" hidden="1" x14ac:dyDescent="0.3">
      <c r="A81" s="113" t="s">
        <v>315</v>
      </c>
      <c r="B81" s="113" t="s">
        <v>108</v>
      </c>
      <c r="C81" s="113" t="s">
        <v>316</v>
      </c>
      <c r="D81" s="192" t="s">
        <v>1791</v>
      </c>
      <c r="E81" s="113" t="s">
        <v>124</v>
      </c>
      <c r="F81" s="113" t="s">
        <v>36</v>
      </c>
      <c r="G81" s="113" t="s">
        <v>131</v>
      </c>
      <c r="H81" s="191">
        <v>45954</v>
      </c>
      <c r="I81" s="114" t="s">
        <v>128</v>
      </c>
      <c r="J81" s="113">
        <v>67996446178</v>
      </c>
      <c r="K81" s="114" t="s">
        <v>120</v>
      </c>
      <c r="L81" s="120">
        <v>0.25</v>
      </c>
      <c r="M81" s="114">
        <v>351</v>
      </c>
      <c r="N81" s="113"/>
      <c r="O81" s="113" t="s">
        <v>112</v>
      </c>
      <c r="P81" s="115" t="s">
        <v>317</v>
      </c>
      <c r="Q81" s="118">
        <v>409.33333333333331</v>
      </c>
      <c r="R81" s="118">
        <v>409.33333333333331</v>
      </c>
      <c r="S81" s="113">
        <f>COUNTIFS(Faturamento!B:B,Base_Clientes[[#This Row],[INSTALAÇÃO]],Faturamento!V:V,"Atrasado")</f>
        <v>4</v>
      </c>
    </row>
    <row r="82" spans="1:19" hidden="1" x14ac:dyDescent="0.3">
      <c r="A82" s="113" t="s">
        <v>318</v>
      </c>
      <c r="B82" s="113" t="s">
        <v>108</v>
      </c>
      <c r="C82" s="113" t="s">
        <v>41</v>
      </c>
      <c r="D82" s="192" t="s">
        <v>1791</v>
      </c>
      <c r="E82" s="113" t="s">
        <v>109</v>
      </c>
      <c r="F82" s="113" t="s">
        <v>36</v>
      </c>
      <c r="G82" s="113"/>
      <c r="H82" s="113"/>
      <c r="I82" s="115" t="s">
        <v>119</v>
      </c>
      <c r="J82" s="113">
        <v>67999998719</v>
      </c>
      <c r="K82" s="114" t="s">
        <v>111</v>
      </c>
      <c r="L82" s="120">
        <v>0.25</v>
      </c>
      <c r="M82" s="114">
        <v>319</v>
      </c>
      <c r="N82" s="113"/>
      <c r="O82" s="113" t="s">
        <v>112</v>
      </c>
      <c r="P82" s="115" t="s">
        <v>319</v>
      </c>
      <c r="Q82" s="118">
        <v>739.58333333333337</v>
      </c>
      <c r="R82" s="118">
        <v>806.81818181818187</v>
      </c>
      <c r="S82" s="113">
        <f>COUNTIFS(Faturamento!B:B,Base_Clientes[[#This Row],[INSTALAÇÃO]],Faturamento!V:V,"Atrasado")</f>
        <v>1</v>
      </c>
    </row>
    <row r="83" spans="1:19" hidden="1" x14ac:dyDescent="0.3">
      <c r="A83" s="113" t="s">
        <v>320</v>
      </c>
      <c r="B83" s="113" t="s">
        <v>108</v>
      </c>
      <c r="C83" s="113" t="s">
        <v>60</v>
      </c>
      <c r="D83" s="192" t="s">
        <v>1791</v>
      </c>
      <c r="E83" s="113" t="s">
        <v>109</v>
      </c>
      <c r="F83" s="113" t="s">
        <v>36</v>
      </c>
      <c r="G83" s="113"/>
      <c r="H83" s="113"/>
      <c r="I83" s="115" t="s">
        <v>119</v>
      </c>
      <c r="J83" s="113">
        <v>67981263396</v>
      </c>
      <c r="K83" s="114" t="s">
        <v>120</v>
      </c>
      <c r="L83" s="120">
        <v>0.25</v>
      </c>
      <c r="M83" s="114">
        <v>319</v>
      </c>
      <c r="N83" s="113"/>
      <c r="O83" s="113" t="s">
        <v>112</v>
      </c>
      <c r="P83" s="115" t="s">
        <v>321</v>
      </c>
      <c r="Q83" s="118">
        <v>353.5</v>
      </c>
      <c r="R83" s="118">
        <v>385.63636363636363</v>
      </c>
      <c r="S83" s="113">
        <f>COUNTIFS(Faturamento!B:B,Base_Clientes[[#This Row],[INSTALAÇÃO]],Faturamento!V:V,"Atrasado")</f>
        <v>0</v>
      </c>
    </row>
    <row r="84" spans="1:19" hidden="1" x14ac:dyDescent="0.3">
      <c r="A84" s="113" t="s">
        <v>322</v>
      </c>
      <c r="B84" s="113" t="s">
        <v>108</v>
      </c>
      <c r="C84" s="113" t="s">
        <v>64</v>
      </c>
      <c r="D84" s="192" t="s">
        <v>1791</v>
      </c>
      <c r="E84" s="113" t="s">
        <v>109</v>
      </c>
      <c r="F84" s="113" t="s">
        <v>36</v>
      </c>
      <c r="G84" s="113"/>
      <c r="H84" s="113"/>
      <c r="I84" s="115" t="s">
        <v>119</v>
      </c>
      <c r="J84" s="113">
        <v>67998363594</v>
      </c>
      <c r="K84" s="114" t="s">
        <v>120</v>
      </c>
      <c r="L84" s="120">
        <v>0.25</v>
      </c>
      <c r="M84" s="114">
        <v>319</v>
      </c>
      <c r="N84" s="113"/>
      <c r="O84" s="113" t="s">
        <v>112</v>
      </c>
      <c r="P84" s="115" t="s">
        <v>323</v>
      </c>
      <c r="Q84" s="118">
        <v>32.666666666666664</v>
      </c>
      <c r="R84" s="118">
        <v>392</v>
      </c>
      <c r="S84" s="113">
        <f>COUNTIFS(Faturamento!B:B,Base_Clientes[[#This Row],[INSTALAÇÃO]],Faturamento!V:V,"Atrasado")</f>
        <v>0</v>
      </c>
    </row>
    <row r="85" spans="1:19" hidden="1" x14ac:dyDescent="0.3">
      <c r="A85" s="113" t="s">
        <v>324</v>
      </c>
      <c r="B85" s="113" t="s">
        <v>108</v>
      </c>
      <c r="C85" s="113" t="s">
        <v>61</v>
      </c>
      <c r="D85" s="192" t="s">
        <v>1791</v>
      </c>
      <c r="E85" s="113" t="s">
        <v>109</v>
      </c>
      <c r="F85" s="113" t="s">
        <v>36</v>
      </c>
      <c r="G85" s="113"/>
      <c r="H85" s="113"/>
      <c r="I85" s="115" t="s">
        <v>119</v>
      </c>
      <c r="J85" s="113">
        <v>67996071169</v>
      </c>
      <c r="K85" s="114" t="s">
        <v>120</v>
      </c>
      <c r="L85" s="120">
        <v>0.25</v>
      </c>
      <c r="M85" s="114">
        <v>319</v>
      </c>
      <c r="N85" s="113"/>
      <c r="O85" s="113" t="s">
        <v>112</v>
      </c>
      <c r="P85" s="115" t="s">
        <v>325</v>
      </c>
      <c r="Q85" s="118">
        <v>288.75</v>
      </c>
      <c r="R85" s="118">
        <v>315</v>
      </c>
      <c r="S85" s="113">
        <f>COUNTIFS(Faturamento!B:B,Base_Clientes[[#This Row],[INSTALAÇÃO]],Faturamento!V:V,"Atrasado")</f>
        <v>0</v>
      </c>
    </row>
    <row r="86" spans="1:19" hidden="1" x14ac:dyDescent="0.3">
      <c r="A86" s="113" t="s">
        <v>326</v>
      </c>
      <c r="B86" s="113" t="s">
        <v>108</v>
      </c>
      <c r="C86" s="113" t="s">
        <v>53</v>
      </c>
      <c r="D86" s="192" t="s">
        <v>1791</v>
      </c>
      <c r="E86" s="113" t="s">
        <v>109</v>
      </c>
      <c r="F86" s="113" t="s">
        <v>36</v>
      </c>
      <c r="G86" s="113"/>
      <c r="H86" s="113"/>
      <c r="I86" s="119" t="s">
        <v>327</v>
      </c>
      <c r="J86" s="113" t="s">
        <v>328</v>
      </c>
      <c r="K86" s="114" t="s">
        <v>120</v>
      </c>
      <c r="L86" s="120">
        <v>0.25</v>
      </c>
      <c r="M86" s="114">
        <v>302</v>
      </c>
      <c r="N86" s="113"/>
      <c r="O86" s="113" t="s">
        <v>112</v>
      </c>
      <c r="P86" s="115" t="s">
        <v>329</v>
      </c>
      <c r="Q86" s="118">
        <v>323.25</v>
      </c>
      <c r="R86" s="118">
        <v>352.63636363636363</v>
      </c>
      <c r="S86" s="113">
        <f>COUNTIFS(Faturamento!B:B,Base_Clientes[[#This Row],[INSTALAÇÃO]],Faturamento!V:V,"Atrasado")</f>
        <v>1</v>
      </c>
    </row>
    <row r="87" spans="1:19" hidden="1" x14ac:dyDescent="0.3">
      <c r="A87" s="113" t="s">
        <v>330</v>
      </c>
      <c r="B87" s="113" t="s">
        <v>108</v>
      </c>
      <c r="C87" s="113" t="s">
        <v>48</v>
      </c>
      <c r="D87" s="192" t="s">
        <v>1791</v>
      </c>
      <c r="E87" s="113" t="s">
        <v>109</v>
      </c>
      <c r="F87" s="113" t="s">
        <v>36</v>
      </c>
      <c r="G87" s="113"/>
      <c r="H87" s="113"/>
      <c r="I87" s="119" t="s">
        <v>331</v>
      </c>
      <c r="J87" s="113" t="s">
        <v>332</v>
      </c>
      <c r="K87" s="114" t="s">
        <v>120</v>
      </c>
      <c r="L87" s="116">
        <v>0.25</v>
      </c>
      <c r="M87" s="114">
        <v>302</v>
      </c>
      <c r="N87" s="113"/>
      <c r="O87" s="113" t="s">
        <v>112</v>
      </c>
      <c r="P87" s="115" t="s">
        <v>333</v>
      </c>
      <c r="Q87" s="118">
        <v>262.33333333333331</v>
      </c>
      <c r="R87" s="118">
        <v>286.18181818181819</v>
      </c>
      <c r="S87" s="113">
        <f>COUNTIFS(Faturamento!B:B,Base_Clientes[[#This Row],[INSTALAÇÃO]],Faturamento!V:V,"Atrasado")</f>
        <v>0</v>
      </c>
    </row>
    <row r="88" spans="1:19" hidden="1" x14ac:dyDescent="0.3">
      <c r="A88" s="113" t="s">
        <v>334</v>
      </c>
      <c r="B88" s="113" t="s">
        <v>108</v>
      </c>
      <c r="C88" s="113" t="s">
        <v>43</v>
      </c>
      <c r="D88" s="192" t="s">
        <v>1791</v>
      </c>
      <c r="E88" s="113" t="s">
        <v>109</v>
      </c>
      <c r="F88" s="113" t="s">
        <v>36</v>
      </c>
      <c r="G88" s="113"/>
      <c r="H88" s="113"/>
      <c r="I88" s="119" t="s">
        <v>335</v>
      </c>
      <c r="J88" s="113" t="s">
        <v>336</v>
      </c>
      <c r="K88" s="114" t="s">
        <v>120</v>
      </c>
      <c r="L88" s="120">
        <v>0.25</v>
      </c>
      <c r="M88" s="114">
        <v>302</v>
      </c>
      <c r="N88" s="113"/>
      <c r="O88" s="113" t="s">
        <v>112</v>
      </c>
      <c r="P88" s="115" t="s">
        <v>337</v>
      </c>
      <c r="Q88" s="118">
        <v>423</v>
      </c>
      <c r="R88" s="118">
        <v>461.45454545454544</v>
      </c>
      <c r="S88" s="113">
        <f>COUNTIFS(Faturamento!B:B,Base_Clientes[[#This Row],[INSTALAÇÃO]],Faturamento!V:V,"Atrasado")</f>
        <v>0</v>
      </c>
    </row>
    <row r="89" spans="1:19" hidden="1" x14ac:dyDescent="0.3">
      <c r="A89" s="113" t="s">
        <v>338</v>
      </c>
      <c r="B89" s="113" t="s">
        <v>108</v>
      </c>
      <c r="C89" s="113" t="s">
        <v>339</v>
      </c>
      <c r="D89" s="192" t="s">
        <v>1791</v>
      </c>
      <c r="E89" s="113" t="s">
        <v>124</v>
      </c>
      <c r="F89" s="113" t="s">
        <v>125</v>
      </c>
      <c r="G89" s="113" t="s">
        <v>126</v>
      </c>
      <c r="H89" s="113"/>
      <c r="I89" s="119" t="s">
        <v>340</v>
      </c>
      <c r="J89" s="113" t="s">
        <v>341</v>
      </c>
      <c r="K89" s="114" t="s">
        <v>120</v>
      </c>
      <c r="L89" s="120">
        <v>0.25</v>
      </c>
      <c r="M89" s="114">
        <v>302</v>
      </c>
      <c r="N89" s="113"/>
      <c r="O89" s="113" t="s">
        <v>112</v>
      </c>
      <c r="P89" s="115" t="s">
        <v>342</v>
      </c>
      <c r="Q89" s="118">
        <v>390.83333333333331</v>
      </c>
      <c r="R89" s="118">
        <v>426.36363636363637</v>
      </c>
      <c r="S89" s="113">
        <f>COUNTIFS(Faturamento!B:B,Base_Clientes[[#This Row],[INSTALAÇÃO]],Faturamento!V:V,"Atrasado")</f>
        <v>0</v>
      </c>
    </row>
    <row r="90" spans="1:19" hidden="1" x14ac:dyDescent="0.3">
      <c r="A90" s="113" t="s">
        <v>343</v>
      </c>
      <c r="B90" s="113" t="s">
        <v>108</v>
      </c>
      <c r="C90" s="113" t="s">
        <v>79</v>
      </c>
      <c r="D90" s="192" t="s">
        <v>1791</v>
      </c>
      <c r="E90" s="113" t="s">
        <v>109</v>
      </c>
      <c r="F90" s="113" t="s">
        <v>36</v>
      </c>
      <c r="G90" s="113"/>
      <c r="H90" s="113"/>
      <c r="I90" s="115" t="s">
        <v>138</v>
      </c>
      <c r="J90" s="113">
        <v>67992637973</v>
      </c>
      <c r="K90" s="114" t="s">
        <v>120</v>
      </c>
      <c r="L90" s="116">
        <v>0.25</v>
      </c>
      <c r="M90" s="114">
        <v>371</v>
      </c>
      <c r="N90" s="113"/>
      <c r="O90" s="113" t="s">
        <v>112</v>
      </c>
      <c r="P90" s="115" t="s">
        <v>344</v>
      </c>
      <c r="Q90" s="118">
        <v>161.25</v>
      </c>
      <c r="R90" s="118">
        <v>175.90909090909091</v>
      </c>
      <c r="S90" s="113">
        <f>COUNTIFS(Faturamento!B:B,Base_Clientes[[#This Row],[INSTALAÇÃO]],Faturamento!V:V,"Atrasado")</f>
        <v>0</v>
      </c>
    </row>
    <row r="91" spans="1:19" ht="14.4" hidden="1" x14ac:dyDescent="0.3">
      <c r="A91" s="113" t="s">
        <v>345</v>
      </c>
      <c r="B91" s="113" t="s">
        <v>108</v>
      </c>
      <c r="C91" s="113" t="s">
        <v>84</v>
      </c>
      <c r="D91" s="192" t="s">
        <v>1791</v>
      </c>
      <c r="E91" s="113" t="s">
        <v>109</v>
      </c>
      <c r="F91" s="113" t="s">
        <v>36</v>
      </c>
      <c r="G91" s="113"/>
      <c r="H91" s="113"/>
      <c r="I91" s="197" t="s">
        <v>1798</v>
      </c>
      <c r="J91" s="113">
        <v>17996297425</v>
      </c>
      <c r="K91" s="114" t="s">
        <v>120</v>
      </c>
      <c r="L91" s="120">
        <v>0.25</v>
      </c>
      <c r="M91" s="114">
        <v>994</v>
      </c>
      <c r="N91" s="113"/>
      <c r="O91" s="113" t="s">
        <v>112</v>
      </c>
      <c r="P91" s="115" t="s">
        <v>347</v>
      </c>
      <c r="Q91" s="118">
        <v>274.25</v>
      </c>
      <c r="R91" s="118">
        <v>274.25</v>
      </c>
      <c r="S91" s="113">
        <f>COUNTIFS(Faturamento!B:B,Base_Clientes[[#This Row],[INSTALAÇÃO]],Faturamento!V:V,"Atrasado")</f>
        <v>0</v>
      </c>
    </row>
    <row r="92" spans="1:19" hidden="1" x14ac:dyDescent="0.3">
      <c r="A92" s="113" t="s">
        <v>348</v>
      </c>
      <c r="B92" s="113" t="s">
        <v>108</v>
      </c>
      <c r="C92" s="113" t="s">
        <v>92</v>
      </c>
      <c r="D92" s="192" t="s">
        <v>1791</v>
      </c>
      <c r="E92" s="113" t="s">
        <v>109</v>
      </c>
      <c r="F92" s="113" t="s">
        <v>36</v>
      </c>
      <c r="G92" s="113"/>
      <c r="H92" s="113"/>
      <c r="I92" s="115" t="s">
        <v>149</v>
      </c>
      <c r="J92" s="113">
        <v>67996150274</v>
      </c>
      <c r="K92" s="114" t="s">
        <v>111</v>
      </c>
      <c r="L92" s="120">
        <v>0.25</v>
      </c>
      <c r="M92" s="114">
        <v>360</v>
      </c>
      <c r="N92" s="113"/>
      <c r="O92" s="113" t="s">
        <v>112</v>
      </c>
      <c r="P92" s="115" t="s">
        <v>349</v>
      </c>
      <c r="Q92" s="118">
        <v>148.83333333333334</v>
      </c>
      <c r="R92" s="118">
        <v>162.36363636363637</v>
      </c>
      <c r="S92" s="113">
        <f>COUNTIFS(Faturamento!B:B,Base_Clientes[[#This Row],[INSTALAÇÃO]],Faturamento!V:V,"Atrasado")</f>
        <v>0</v>
      </c>
    </row>
    <row r="93" spans="1:19" hidden="1" x14ac:dyDescent="0.3">
      <c r="A93" s="113" t="s">
        <v>350</v>
      </c>
      <c r="B93" s="113" t="s">
        <v>108</v>
      </c>
      <c r="C93" s="113" t="s">
        <v>42</v>
      </c>
      <c r="D93" s="192" t="s">
        <v>1791</v>
      </c>
      <c r="E93" s="113" t="s">
        <v>109</v>
      </c>
      <c r="F93" s="113" t="s">
        <v>36</v>
      </c>
      <c r="G93" s="113"/>
      <c r="H93" s="113"/>
      <c r="I93" s="115" t="s">
        <v>351</v>
      </c>
      <c r="J93" s="113">
        <v>67993496482</v>
      </c>
      <c r="K93" s="114" t="s">
        <v>120</v>
      </c>
      <c r="L93" s="120">
        <v>0.25</v>
      </c>
      <c r="M93" s="114">
        <v>358</v>
      </c>
      <c r="N93" s="113"/>
      <c r="O93" s="113" t="s">
        <v>112</v>
      </c>
      <c r="P93" s="115" t="s">
        <v>352</v>
      </c>
      <c r="Q93" s="118">
        <v>123.5</v>
      </c>
      <c r="R93" s="118">
        <v>123.5</v>
      </c>
      <c r="S93" s="113">
        <f>COUNTIFS(Faturamento!B:B,Base_Clientes[[#This Row],[INSTALAÇÃO]],Faturamento!V:V,"Atrasado")</f>
        <v>0</v>
      </c>
    </row>
    <row r="94" spans="1:19" hidden="1" x14ac:dyDescent="0.3">
      <c r="A94" s="113" t="s">
        <v>353</v>
      </c>
      <c r="B94" s="113" t="s">
        <v>108</v>
      </c>
      <c r="C94" s="114" t="s">
        <v>46</v>
      </c>
      <c r="D94" s="114" t="s">
        <v>1791</v>
      </c>
      <c r="E94" s="113" t="s">
        <v>109</v>
      </c>
      <c r="F94" s="113" t="s">
        <v>36</v>
      </c>
      <c r="G94" s="113"/>
      <c r="H94" s="113"/>
      <c r="I94" s="115" t="s">
        <v>354</v>
      </c>
      <c r="J94" s="113"/>
      <c r="K94" s="115" t="s">
        <v>111</v>
      </c>
      <c r="L94" s="116">
        <v>0.25</v>
      </c>
      <c r="M94" s="113"/>
      <c r="N94" s="113"/>
      <c r="O94" s="113" t="s">
        <v>112</v>
      </c>
      <c r="P94" s="118" t="s">
        <v>355</v>
      </c>
      <c r="Q94" s="118">
        <v>226</v>
      </c>
      <c r="R94" s="118">
        <v>226</v>
      </c>
      <c r="S94" s="113">
        <f>COUNTIFS(Faturamento!B:B,Base_Clientes[[#This Row],[INSTALAÇÃO]],Faturamento!V:V,"Atrasado")</f>
        <v>0</v>
      </c>
    </row>
    <row r="95" spans="1:19" hidden="1" x14ac:dyDescent="0.3">
      <c r="A95" s="113" t="s">
        <v>356</v>
      </c>
      <c r="B95" s="113" t="s">
        <v>108</v>
      </c>
      <c r="C95" s="114" t="s">
        <v>42</v>
      </c>
      <c r="D95" s="114" t="s">
        <v>1791</v>
      </c>
      <c r="E95" s="113" t="s">
        <v>109</v>
      </c>
      <c r="F95" s="113" t="s">
        <v>36</v>
      </c>
      <c r="G95" s="113"/>
      <c r="H95" s="113"/>
      <c r="I95" s="121" t="s">
        <v>357</v>
      </c>
      <c r="J95" s="114" t="s">
        <v>358</v>
      </c>
      <c r="K95" s="114" t="s">
        <v>120</v>
      </c>
      <c r="L95" s="116">
        <v>0.25</v>
      </c>
      <c r="M95" s="113">
        <v>358</v>
      </c>
      <c r="N95" s="113"/>
      <c r="O95" s="113" t="s">
        <v>112</v>
      </c>
      <c r="P95" s="114" t="s">
        <v>359</v>
      </c>
      <c r="Q95" s="118">
        <v>180.02</v>
      </c>
      <c r="R95" s="118">
        <v>180.02</v>
      </c>
      <c r="S95" s="113">
        <f>COUNTIFS(Faturamento!B:B,Base_Clientes[[#This Row],[INSTALAÇÃO]],Faturamento!V:V,"Atrasado")</f>
        <v>0</v>
      </c>
    </row>
    <row r="96" spans="1:19" hidden="1" x14ac:dyDescent="0.3">
      <c r="A96" s="113" t="s">
        <v>360</v>
      </c>
      <c r="B96" s="113" t="s">
        <v>108</v>
      </c>
      <c r="C96" s="114" t="s">
        <v>42</v>
      </c>
      <c r="D96" s="114" t="s">
        <v>1791</v>
      </c>
      <c r="E96" s="113" t="s">
        <v>109</v>
      </c>
      <c r="F96" s="113" t="s">
        <v>36</v>
      </c>
      <c r="G96" s="113"/>
      <c r="H96" s="113"/>
      <c r="I96" s="121" t="s">
        <v>357</v>
      </c>
      <c r="J96" s="114" t="s">
        <v>358</v>
      </c>
      <c r="K96" s="115" t="s">
        <v>111</v>
      </c>
      <c r="L96" s="116">
        <v>0.25</v>
      </c>
      <c r="M96" s="113">
        <v>358</v>
      </c>
      <c r="N96" s="113"/>
      <c r="O96" s="113" t="s">
        <v>112</v>
      </c>
      <c r="P96" s="114" t="s">
        <v>361</v>
      </c>
      <c r="Q96" s="118">
        <v>254.93</v>
      </c>
      <c r="R96" s="118">
        <v>254.93</v>
      </c>
      <c r="S96" s="113">
        <f>COUNTIFS(Faturamento!B:B,Base_Clientes[[#This Row],[INSTALAÇÃO]],Faturamento!V:V,"Atrasado")</f>
        <v>0</v>
      </c>
    </row>
  </sheetData>
  <dataValidations count="2">
    <dataValidation type="list" allowBlank="1" showInputMessage="1" showErrorMessage="1" sqref="F3:F96" xr:uid="{A64B180D-5FBF-44CD-8753-1FF3716E175B}">
      <formula1>"ATIVO,INATIVO"</formula1>
    </dataValidation>
    <dataValidation type="list" allowBlank="1" showInputMessage="1" showErrorMessage="1" sqref="K3:K96" xr:uid="{5F7BA259-5942-44F2-8F94-7D33F331837C}">
      <formula1>"MONOFÁSICO,BIFÁSICO,TRIFÁSICO"</formula1>
    </dataValidation>
  </dataValidations>
  <hyperlinks>
    <hyperlink ref="I34" r:id="rId1" xr:uid="{1FA8CD03-EE81-4A79-BE99-E981F38C8316}"/>
    <hyperlink ref="I4" r:id="rId2" xr:uid="{8313E6A3-BED4-4FFE-8578-87AD1210AC21}"/>
    <hyperlink ref="I86" r:id="rId3" xr:uid="{CC5A69D6-8C55-4795-953D-54C325F7B0EA}"/>
    <hyperlink ref="I89" r:id="rId4" xr:uid="{74BA0592-6D9A-46EA-8FE4-CBC1275C176F}"/>
    <hyperlink ref="I88" r:id="rId5" xr:uid="{A05160EF-2616-4383-8834-74CB0A3687AC}"/>
    <hyperlink ref="I27" r:id="rId6" xr:uid="{71C3A06E-D44B-47B0-BDDC-D8CAC6D40F56}"/>
    <hyperlink ref="I38" r:id="rId7" xr:uid="{8221C0D3-3C16-45C6-BA1D-D1E953085F26}"/>
    <hyperlink ref="I87" r:id="rId8" xr:uid="{B5A8C664-1A45-4DB6-8F97-8FD7AE927047}"/>
    <hyperlink ref="I45" r:id="rId9" xr:uid="{33AC1423-831F-4C05-975A-436EA190779E}"/>
    <hyperlink ref="I55" r:id="rId10" xr:uid="{994F1BD1-C175-4120-BACC-CA652E4F441E}"/>
    <hyperlink ref="I48" r:id="rId11" xr:uid="{20916F25-BE61-41FC-9543-65825ECD7981}"/>
    <hyperlink ref="I60" r:id="rId12" xr:uid="{195EBB7F-2B82-4880-A7EB-D46CB384B07F}"/>
    <hyperlink ref="I95" r:id="rId13" tooltip="mailto:regiao358ms@gmail.com" display="mailto:regiao358ms@gmail.com" xr:uid="{397C3882-DBA1-41A1-A5DD-E676AD060FE3}"/>
    <hyperlink ref="I96" r:id="rId14" tooltip="mailto:regiao358ms@gmail.com" display="mailto:regiao358ms@gmail.com" xr:uid="{0E7A0AA2-DDAA-4B39-A303-9FEF40779E2D}"/>
    <hyperlink ref="I61" r:id="rId15" xr:uid="{F5453415-B5CA-4E10-A212-01239692B1AD}"/>
    <hyperlink ref="I91" r:id="rId16" xr:uid="{8AF7019E-2755-4DAA-8065-CBDCDEAC4E9B}"/>
  </hyperlinks>
  <pageMargins left="0.511811024" right="0.511811024" top="0.78740157499999996" bottom="0.78740157499999996" header="0.31496062000000002" footer="0.31496062000000002"/>
  <pageSetup paperSize="9" orientation="portrait" r:id="rId17"/>
  <tableParts count="1"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E11D-3865-4AE4-93E7-BA5D73FE0874}">
  <dimension ref="A1:I40"/>
  <sheetViews>
    <sheetView showGridLines="0" zoomScale="80" zoomScaleNormal="80" workbookViewId="0">
      <selection activeCell="F15" sqref="F15"/>
    </sheetView>
  </sheetViews>
  <sheetFormatPr defaultRowHeight="14.4" x14ac:dyDescent="0.3"/>
  <cols>
    <col min="1" max="1" width="17" bestFit="1" customWidth="1"/>
    <col min="2" max="2" width="15.5546875" bestFit="1" customWidth="1"/>
    <col min="3" max="3" width="17.33203125" bestFit="1" customWidth="1"/>
    <col min="4" max="4" width="15.109375" bestFit="1" customWidth="1"/>
    <col min="5" max="5" width="15.33203125" bestFit="1" customWidth="1"/>
    <col min="6" max="6" width="19.33203125" customWidth="1"/>
    <col min="7" max="7" width="17.33203125" customWidth="1"/>
    <col min="8" max="8" width="11.88671875" bestFit="1" customWidth="1"/>
    <col min="9" max="9" width="10.33203125" bestFit="1" customWidth="1"/>
  </cols>
  <sheetData>
    <row r="1" spans="1:9" x14ac:dyDescent="0.3">
      <c r="A1" s="10" t="s">
        <v>362</v>
      </c>
      <c r="B1" t="s">
        <v>363</v>
      </c>
    </row>
    <row r="2" spans="1:9" x14ac:dyDescent="0.3">
      <c r="H2" s="65"/>
      <c r="I2" s="57"/>
    </row>
    <row r="3" spans="1:9" x14ac:dyDescent="0.3">
      <c r="A3" s="66" t="s">
        <v>3</v>
      </c>
      <c r="B3" s="67" t="s">
        <v>4</v>
      </c>
      <c r="C3" s="15" t="s">
        <v>5</v>
      </c>
      <c r="D3" s="15" t="s">
        <v>6</v>
      </c>
      <c r="E3" s="68" t="s">
        <v>7</v>
      </c>
      <c r="F3" s="176" t="s">
        <v>8</v>
      </c>
      <c r="G3" s="68" t="s">
        <v>364</v>
      </c>
      <c r="H3" s="65"/>
      <c r="I3" s="57"/>
    </row>
    <row r="4" spans="1:9" x14ac:dyDescent="0.3">
      <c r="A4" s="11">
        <v>45658</v>
      </c>
      <c r="B4" s="64">
        <v>84</v>
      </c>
      <c r="C4" s="13">
        <v>19964.239999999991</v>
      </c>
      <c r="D4" s="13">
        <v>19059.439999999995</v>
      </c>
      <c r="E4" s="13">
        <f>SUMIFS(Faturamento!R:R,Faturamento!G:G,Inadimplência!A4,Faturamento!V:V,"Acordo")</f>
        <v>0</v>
      </c>
      <c r="F4" s="13">
        <f>C4-D4-E4</f>
        <v>904.79999999999563</v>
      </c>
      <c r="G4" s="58">
        <f t="shared" ref="G4:G9" si="0">F4/C4</f>
        <v>4.5321034008807548E-2</v>
      </c>
      <c r="H4" s="65"/>
      <c r="I4" s="57"/>
    </row>
    <row r="5" spans="1:9" x14ac:dyDescent="0.3">
      <c r="A5" s="11">
        <v>45689</v>
      </c>
      <c r="B5" s="64">
        <v>50</v>
      </c>
      <c r="C5" s="13">
        <v>16003.590000000002</v>
      </c>
      <c r="D5" s="13">
        <v>15264.880000000003</v>
      </c>
      <c r="E5" s="13">
        <f>SUMIFS(Faturamento!R:R,Faturamento!G:G,Inadimplência!A5,Faturamento!V:V,"Acordo")</f>
        <v>0</v>
      </c>
      <c r="F5" s="13">
        <f t="shared" ref="F5:F9" si="1">C5-D5-E5</f>
        <v>738.70999999999913</v>
      </c>
      <c r="G5" s="58">
        <f t="shared" si="0"/>
        <v>4.6159018070320412E-2</v>
      </c>
      <c r="H5" s="65"/>
      <c r="I5" s="57"/>
    </row>
    <row r="6" spans="1:9" x14ac:dyDescent="0.3">
      <c r="A6" s="11">
        <v>45717</v>
      </c>
      <c r="B6" s="64">
        <v>55</v>
      </c>
      <c r="C6" s="13">
        <v>17915.000000000007</v>
      </c>
      <c r="D6" s="13">
        <v>17007.830000000002</v>
      </c>
      <c r="E6" s="13">
        <f>SUMIFS(Faturamento!R:R,Faturamento!G:G,Inadimplência!A6,Faturamento!V:V,"Acordo")</f>
        <v>0</v>
      </c>
      <c r="F6" s="13">
        <f t="shared" si="1"/>
        <v>907.17000000000553</v>
      </c>
      <c r="G6" s="58">
        <f t="shared" si="0"/>
        <v>5.0637454646944191E-2</v>
      </c>
      <c r="H6" s="65"/>
      <c r="I6" s="57"/>
    </row>
    <row r="7" spans="1:9" x14ac:dyDescent="0.3">
      <c r="A7" s="11">
        <v>45748</v>
      </c>
      <c r="B7" s="64">
        <v>86</v>
      </c>
      <c r="C7" s="13">
        <v>18900.910000000003</v>
      </c>
      <c r="D7" s="13">
        <v>16189.300000000007</v>
      </c>
      <c r="E7" s="13">
        <f>SUMIFS(Faturamento!R:R,Faturamento!G:G,Inadimplência!A7,Faturamento!V:V,"Acordo")</f>
        <v>175.21</v>
      </c>
      <c r="F7" s="13">
        <f>C7-D7-E7</f>
        <v>2536.3999999999969</v>
      </c>
      <c r="G7" s="58">
        <f t="shared" si="0"/>
        <v>0.13419459697972194</v>
      </c>
      <c r="H7" s="65"/>
      <c r="I7" s="57"/>
    </row>
    <row r="8" spans="1:9" x14ac:dyDescent="0.3">
      <c r="A8" s="11">
        <v>45778</v>
      </c>
      <c r="B8" s="64">
        <v>83</v>
      </c>
      <c r="C8" s="13">
        <v>16645.900000000001</v>
      </c>
      <c r="D8" s="13">
        <v>14193.639000000003</v>
      </c>
      <c r="E8" s="13">
        <f>SUMIFS(Faturamento!R:R,Faturamento!G:G,Inadimplência!A8,Faturamento!V:V,"Acordo")</f>
        <v>0</v>
      </c>
      <c r="F8" s="13">
        <f t="shared" si="1"/>
        <v>2452.2609999999986</v>
      </c>
      <c r="G8" s="58">
        <f t="shared" si="0"/>
        <v>0.14731921974780568</v>
      </c>
      <c r="H8" s="65"/>
      <c r="I8" s="57"/>
    </row>
    <row r="9" spans="1:9" x14ac:dyDescent="0.3">
      <c r="A9" s="11">
        <v>45809</v>
      </c>
      <c r="B9" s="64">
        <v>63</v>
      </c>
      <c r="C9" s="13">
        <v>9822.369999999999</v>
      </c>
      <c r="D9" s="13">
        <v>9532.5733333333319</v>
      </c>
      <c r="E9" s="13">
        <f>SUMIFS(Faturamento!R:R,Faturamento!G:G,Inadimplência!A9,Faturamento!V:V,"Acordo")</f>
        <v>0</v>
      </c>
      <c r="F9" s="13">
        <f t="shared" si="1"/>
        <v>289.79666666666708</v>
      </c>
      <c r="G9" s="58">
        <f t="shared" si="0"/>
        <v>2.9503741629226664E-2</v>
      </c>
    </row>
    <row r="10" spans="1:9" x14ac:dyDescent="0.3">
      <c r="A10" s="11">
        <v>45839</v>
      </c>
      <c r="B10" s="64">
        <v>75</v>
      </c>
      <c r="C10" s="13">
        <v>12120.210000000003</v>
      </c>
      <c r="D10" s="13">
        <v>12060.140000000003</v>
      </c>
      <c r="E10" s="13">
        <f>SUMIFS(Faturamento!R:R,Faturamento!G:G,Inadimplência!A10,Faturamento!V:V,"Acordo")</f>
        <v>161.56</v>
      </c>
      <c r="F10" s="13">
        <f>C10-D10-E10</f>
        <v>-101.49000000000029</v>
      </c>
      <c r="G10" s="58">
        <v>0</v>
      </c>
      <c r="H10" s="57"/>
    </row>
    <row r="11" spans="1:9" x14ac:dyDescent="0.3">
      <c r="A11" s="11">
        <v>45870</v>
      </c>
      <c r="B11" s="64">
        <v>78</v>
      </c>
      <c r="C11" s="13">
        <v>14372.969999999996</v>
      </c>
      <c r="D11" s="13">
        <v>14030.099999999995</v>
      </c>
      <c r="E11" s="13">
        <f>SUMIFS(Faturamento!R:R,Faturamento!G:G,Inadimplência!A11,Faturamento!V:V,"Acordo")</f>
        <v>172.03</v>
      </c>
      <c r="F11" s="13">
        <f>C11-D11-E11</f>
        <v>170.8400000000008</v>
      </c>
      <c r="G11" s="58">
        <f>F11/C11</f>
        <v>1.1886200277326179E-2</v>
      </c>
    </row>
    <row r="12" spans="1:9" x14ac:dyDescent="0.3">
      <c r="A12" s="11">
        <v>45901</v>
      </c>
      <c r="B12" s="64">
        <v>79</v>
      </c>
      <c r="C12" s="13">
        <v>18122.969999999998</v>
      </c>
      <c r="D12" s="13">
        <v>17328.50052631578</v>
      </c>
      <c r="E12" s="13">
        <f>SUMIFS(Faturamento!R:R,Faturamento!G:G,Inadimplência!A12,Faturamento!V:V,"Acordo")</f>
        <v>0</v>
      </c>
      <c r="F12" s="13">
        <f>C12-D12-E12</f>
        <v>794.46947368421752</v>
      </c>
      <c r="G12" s="58">
        <f>F12/C12</f>
        <v>4.3837708371432367E-2</v>
      </c>
    </row>
    <row r="13" spans="1:9" x14ac:dyDescent="0.3">
      <c r="A13" s="11">
        <v>45931</v>
      </c>
      <c r="B13" s="64">
        <v>85</v>
      </c>
      <c r="C13" s="13">
        <v>23671.210000000006</v>
      </c>
      <c r="D13" s="13">
        <v>22313.22</v>
      </c>
      <c r="E13" s="13">
        <f>SUMIFS(Faturamento!R:R,Faturamento!G:G,Inadimplência!A13,Faturamento!V:V,"Acordo")</f>
        <v>0</v>
      </c>
      <c r="F13" s="13">
        <f>C13-D13-E13</f>
        <v>1357.9900000000052</v>
      </c>
      <c r="G13" s="58">
        <f>F13/C13</f>
        <v>5.736884595253073E-2</v>
      </c>
      <c r="H13" s="13"/>
    </row>
    <row r="14" spans="1:9" ht="15" thickBot="1" x14ac:dyDescent="0.35">
      <c r="A14" s="11">
        <v>45962</v>
      </c>
      <c r="B14" s="64">
        <v>87</v>
      </c>
      <c r="C14" s="13">
        <v>28544.620000000006</v>
      </c>
      <c r="D14" s="13">
        <v>18614.41</v>
      </c>
      <c r="E14" s="13">
        <f>SUMIFS(Faturamento!R:R,Faturamento!G:G,Inadimplência!A14,Faturamento!V:V,"Acordo")</f>
        <v>0</v>
      </c>
      <c r="F14" s="13">
        <f>C14-D14-E14</f>
        <v>9930.2100000000064</v>
      </c>
      <c r="G14" s="58">
        <f>F14/C14</f>
        <v>0.34788376934077259</v>
      </c>
    </row>
    <row r="15" spans="1:9" ht="15" thickTop="1" x14ac:dyDescent="0.3">
      <c r="A15" s="1" t="s">
        <v>18</v>
      </c>
      <c r="B15" s="64">
        <v>825</v>
      </c>
      <c r="C15" s="13">
        <v>196083.98999999996</v>
      </c>
      <c r="D15" s="13">
        <v>175594.03285964907</v>
      </c>
      <c r="E15" s="69">
        <f>SUM(E4:E12)</f>
        <v>508.79999999999995</v>
      </c>
      <c r="F15" s="69">
        <f>SUM(F4:F12)</f>
        <v>8692.9571403508817</v>
      </c>
      <c r="G15" s="70">
        <f>AVERAGE(G4:G12)</f>
        <v>5.6539885970176104E-2</v>
      </c>
    </row>
    <row r="16" spans="1:9" x14ac:dyDescent="0.3">
      <c r="A16" s="1"/>
      <c r="B16" s="64"/>
      <c r="C16" s="13"/>
      <c r="D16" s="13"/>
      <c r="E16" s="71"/>
      <c r="F16" s="71"/>
      <c r="G16" s="72"/>
    </row>
    <row r="17" spans="1:9" x14ac:dyDescent="0.3">
      <c r="A17" s="74" t="s">
        <v>3</v>
      </c>
      <c r="B17" s="75" t="s">
        <v>365</v>
      </c>
      <c r="C17" s="76" t="s">
        <v>366</v>
      </c>
      <c r="D17" s="76" t="s">
        <v>367</v>
      </c>
      <c r="E17" s="13"/>
      <c r="F17" s="71"/>
      <c r="G17" s="72"/>
    </row>
    <row r="18" spans="1:9" x14ac:dyDescent="0.3">
      <c r="A18" s="21">
        <v>45658</v>
      </c>
      <c r="B18" s="18">
        <v>4.5321034008807867E-2</v>
      </c>
      <c r="C18" s="18">
        <v>4.5321034008807867E-2</v>
      </c>
      <c r="D18" s="18">
        <f>B18-C18</f>
        <v>0</v>
      </c>
      <c r="E18" s="73"/>
    </row>
    <row r="19" spans="1:9" x14ac:dyDescent="0.3">
      <c r="A19" s="21">
        <v>45689</v>
      </c>
      <c r="B19" s="18">
        <v>4.6159018070320412E-2</v>
      </c>
      <c r="C19" s="18">
        <v>4.6159018070320412E-2</v>
      </c>
      <c r="D19" s="18">
        <f t="shared" ref="D19:D24" si="2">B19-C19</f>
        <v>0</v>
      </c>
      <c r="E19" s="73"/>
    </row>
    <row r="20" spans="1:9" x14ac:dyDescent="0.3">
      <c r="A20" s="21">
        <v>45717</v>
      </c>
      <c r="B20" s="18">
        <v>5.0637454646944011E-2</v>
      </c>
      <c r="C20" s="18">
        <v>5.0637454646944011E-2</v>
      </c>
      <c r="D20" s="18">
        <f t="shared" si="2"/>
        <v>0</v>
      </c>
      <c r="E20" s="73"/>
    </row>
    <row r="21" spans="1:9" x14ac:dyDescent="0.3">
      <c r="A21" s="21">
        <v>45748</v>
      </c>
      <c r="B21" s="18">
        <v>0.13002645836082935</v>
      </c>
      <c r="C21" s="18">
        <v>0.13883246891287296</v>
      </c>
      <c r="D21" s="18">
        <f t="shared" si="2"/>
        <v>-8.8060105520436083E-3</v>
      </c>
      <c r="E21" s="73"/>
    </row>
    <row r="22" spans="1:9" x14ac:dyDescent="0.3">
      <c r="A22" s="21">
        <v>45778</v>
      </c>
      <c r="B22" s="18">
        <v>0.16754161685460101</v>
      </c>
      <c r="C22" s="18">
        <v>0.17203275281000135</v>
      </c>
      <c r="D22" s="18">
        <f t="shared" si="2"/>
        <v>-4.4911359554003494E-3</v>
      </c>
      <c r="E22" s="73"/>
    </row>
    <row r="23" spans="1:9" x14ac:dyDescent="0.3">
      <c r="A23" s="21">
        <v>45809</v>
      </c>
      <c r="B23" s="18">
        <v>2.9503741629226664E-2</v>
      </c>
      <c r="C23" s="18">
        <v>3.5513832201393286E-2</v>
      </c>
      <c r="D23" s="18">
        <f t="shared" si="2"/>
        <v>-6.0100905721666223E-3</v>
      </c>
      <c r="E23" s="73"/>
    </row>
    <row r="24" spans="1:9" x14ac:dyDescent="0.3">
      <c r="A24" s="21">
        <v>45839</v>
      </c>
      <c r="B24" s="18">
        <v>0</v>
      </c>
      <c r="C24" s="18">
        <v>5.2127809666663071E-3</v>
      </c>
      <c r="D24" s="18">
        <f t="shared" si="2"/>
        <v>-5.2127809666663071E-3</v>
      </c>
      <c r="E24" s="73"/>
    </row>
    <row r="25" spans="1:9" x14ac:dyDescent="0.3">
      <c r="A25" s="21">
        <v>45870</v>
      </c>
      <c r="B25" s="18">
        <v>1.5432440198511397E-2</v>
      </c>
      <c r="C25" s="18">
        <v>1.5432440198511522E-2</v>
      </c>
      <c r="D25" s="18">
        <f t="shared" ref="D25" si="3">B25-C25</f>
        <v>-1.2490009027033011E-16</v>
      </c>
      <c r="E25" s="73"/>
    </row>
    <row r="26" spans="1:9" x14ac:dyDescent="0.3">
      <c r="A26" s="21">
        <v>45901</v>
      </c>
      <c r="B26" s="18">
        <v>4.3838000000000002E-2</v>
      </c>
      <c r="C26" s="18">
        <v>6.5625005172992967E-2</v>
      </c>
      <c r="D26" s="18">
        <f>B26-C26</f>
        <v>-2.1787005172992965E-2</v>
      </c>
    </row>
    <row r="27" spans="1:9" x14ac:dyDescent="0.3">
      <c r="A27" s="21">
        <v>45931</v>
      </c>
      <c r="B27" s="193">
        <v>0.13939199999999999</v>
      </c>
      <c r="C27" s="193">
        <v>0.14000000000000001</v>
      </c>
      <c r="D27" s="18">
        <f>B27-C27</f>
        <v>-6.0800000000002519E-4</v>
      </c>
    </row>
    <row r="29" spans="1:9" x14ac:dyDescent="0.3">
      <c r="A29" s="15" t="s">
        <v>368</v>
      </c>
    </row>
    <row r="31" spans="1:9" x14ac:dyDescent="0.3">
      <c r="A31" s="10" t="s">
        <v>362</v>
      </c>
      <c r="B31" t="s">
        <v>369</v>
      </c>
    </row>
    <row r="32" spans="1:9" x14ac:dyDescent="0.3">
      <c r="I32" s="4"/>
    </row>
    <row r="33" spans="1:9" x14ac:dyDescent="0.3">
      <c r="A33" s="66" t="s">
        <v>370</v>
      </c>
      <c r="B33" s="15" t="s">
        <v>371</v>
      </c>
      <c r="I33" s="4"/>
    </row>
    <row r="34" spans="1:9" x14ac:dyDescent="0.3">
      <c r="A34" s="1" t="s">
        <v>18</v>
      </c>
      <c r="B34" s="14" t="e">
        <v>#DIV/0!</v>
      </c>
      <c r="I34" s="4"/>
    </row>
    <row r="35" spans="1:9" x14ac:dyDescent="0.3">
      <c r="I35" s="4"/>
    </row>
    <row r="36" spans="1:9" x14ac:dyDescent="0.3">
      <c r="I36" s="4"/>
    </row>
    <row r="37" spans="1:9" x14ac:dyDescent="0.3">
      <c r="I37" s="4"/>
    </row>
    <row r="38" spans="1:9" x14ac:dyDescent="0.3">
      <c r="I38" s="4"/>
    </row>
    <row r="39" spans="1:9" x14ac:dyDescent="0.3">
      <c r="I39" s="4"/>
    </row>
    <row r="40" spans="1:9" x14ac:dyDescent="0.3">
      <c r="I40" s="4"/>
    </row>
  </sheetData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187F-7A3C-43A4-812F-9A23384C50E8}">
  <dimension ref="A1:C8"/>
  <sheetViews>
    <sheetView showGridLines="0" topLeftCell="C1" workbookViewId="0">
      <selection activeCell="D381" sqref="D381:T1980"/>
    </sheetView>
  </sheetViews>
  <sheetFormatPr defaultRowHeight="14.4" x14ac:dyDescent="0.3"/>
  <cols>
    <col min="1" max="1" width="34.109375" bestFit="1" customWidth="1"/>
    <col min="2" max="2" width="59.5546875" bestFit="1" customWidth="1"/>
    <col min="3" max="3" width="52.109375" customWidth="1"/>
  </cols>
  <sheetData>
    <row r="1" spans="1:3" x14ac:dyDescent="0.3">
      <c r="A1" s="17" t="s">
        <v>372</v>
      </c>
      <c r="B1" s="17" t="s">
        <v>373</v>
      </c>
      <c r="C1" s="17" t="s">
        <v>22</v>
      </c>
    </row>
    <row r="2" spans="1:3" x14ac:dyDescent="0.3">
      <c r="A2" t="s">
        <v>374</v>
      </c>
      <c r="B2" t="s">
        <v>375</v>
      </c>
      <c r="C2" t="s">
        <v>376</v>
      </c>
    </row>
    <row r="3" spans="1:3" x14ac:dyDescent="0.3">
      <c r="A3" t="s">
        <v>377</v>
      </c>
      <c r="B3" t="s">
        <v>378</v>
      </c>
      <c r="C3" t="s">
        <v>379</v>
      </c>
    </row>
    <row r="4" spans="1:3" x14ac:dyDescent="0.3">
      <c r="A4" t="s">
        <v>380</v>
      </c>
      <c r="B4" t="s">
        <v>381</v>
      </c>
      <c r="C4" t="s">
        <v>382</v>
      </c>
    </row>
    <row r="5" spans="1:3" ht="28.8" x14ac:dyDescent="0.3">
      <c r="A5" s="12" t="s">
        <v>383</v>
      </c>
      <c r="B5" s="12" t="s">
        <v>378</v>
      </c>
      <c r="C5" s="16" t="s">
        <v>384</v>
      </c>
    </row>
    <row r="6" spans="1:3" x14ac:dyDescent="0.3">
      <c r="A6" t="s">
        <v>385</v>
      </c>
      <c r="B6" t="s">
        <v>386</v>
      </c>
      <c r="C6" t="s">
        <v>387</v>
      </c>
    </row>
    <row r="7" spans="1:3" x14ac:dyDescent="0.3">
      <c r="A7" t="s">
        <v>388</v>
      </c>
      <c r="B7" t="s">
        <v>389</v>
      </c>
      <c r="C7" t="s">
        <v>390</v>
      </c>
    </row>
    <row r="8" spans="1:3" x14ac:dyDescent="0.3">
      <c r="A8" t="s">
        <v>391</v>
      </c>
      <c r="B8" t="s">
        <v>392</v>
      </c>
      <c r="C8" t="s">
        <v>393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9AEC-A074-426B-B1C2-1AF76EF4A55A}">
  <dimension ref="A1:F53"/>
  <sheetViews>
    <sheetView showGridLines="0" topLeftCell="A19" zoomScale="80" zoomScaleNormal="80" workbookViewId="0"/>
  </sheetViews>
  <sheetFormatPr defaultRowHeight="14.4" x14ac:dyDescent="0.3"/>
  <cols>
    <col min="1" max="1" width="34.33203125" customWidth="1"/>
    <col min="2" max="2" width="42.5546875" customWidth="1"/>
    <col min="3" max="3" width="15" customWidth="1"/>
    <col min="4" max="4" width="21.33203125" customWidth="1"/>
    <col min="5" max="5" width="22.109375" customWidth="1"/>
    <col min="6" max="6" width="49.88671875" customWidth="1"/>
  </cols>
  <sheetData>
    <row r="1" spans="1:6" x14ac:dyDescent="0.3">
      <c r="A1" s="9" t="s">
        <v>394</v>
      </c>
      <c r="B1" s="9" t="s">
        <v>395</v>
      </c>
      <c r="C1" s="9" t="s">
        <v>396</v>
      </c>
      <c r="D1" s="9" t="s">
        <v>397</v>
      </c>
      <c r="E1" s="9" t="s">
        <v>398</v>
      </c>
      <c r="F1" s="199" t="s">
        <v>399</v>
      </c>
    </row>
    <row r="2" spans="1:6" x14ac:dyDescent="0.3">
      <c r="A2" s="7">
        <v>67991120875</v>
      </c>
      <c r="B2" s="7" t="s">
        <v>108</v>
      </c>
      <c r="C2" s="9" t="s">
        <v>400</v>
      </c>
      <c r="D2" s="9"/>
      <c r="E2" s="9" t="s">
        <v>401</v>
      </c>
      <c r="F2" s="199"/>
    </row>
    <row r="3" spans="1:6" x14ac:dyDescent="0.3">
      <c r="A3" s="8" t="s">
        <v>278</v>
      </c>
      <c r="B3" s="7" t="s">
        <v>108</v>
      </c>
      <c r="C3" s="9" t="s">
        <v>400</v>
      </c>
      <c r="D3" s="9"/>
      <c r="E3" s="9" t="s">
        <v>401</v>
      </c>
      <c r="F3" s="199"/>
    </row>
    <row r="4" spans="1:6" x14ac:dyDescent="0.3">
      <c r="A4" s="7">
        <v>67992637973</v>
      </c>
      <c r="B4" s="7" t="s">
        <v>108</v>
      </c>
      <c r="C4" s="9" t="s">
        <v>400</v>
      </c>
      <c r="D4" s="9"/>
      <c r="E4" s="9" t="s">
        <v>401</v>
      </c>
      <c r="F4" s="199"/>
    </row>
    <row r="5" spans="1:6" x14ac:dyDescent="0.3">
      <c r="A5" s="8">
        <v>67996266684</v>
      </c>
      <c r="B5" s="7" t="s">
        <v>108</v>
      </c>
      <c r="C5" s="9" t="s">
        <v>400</v>
      </c>
      <c r="D5" s="9"/>
      <c r="E5" s="9" t="s">
        <v>401</v>
      </c>
      <c r="F5" s="199"/>
    </row>
    <row r="6" spans="1:6" x14ac:dyDescent="0.3">
      <c r="A6" s="8" t="s">
        <v>175</v>
      </c>
      <c r="B6" s="7" t="s">
        <v>108</v>
      </c>
      <c r="C6" s="9" t="s">
        <v>400</v>
      </c>
      <c r="D6" s="9"/>
      <c r="E6" s="9" t="s">
        <v>401</v>
      </c>
      <c r="F6" s="199"/>
    </row>
    <row r="7" spans="1:6" x14ac:dyDescent="0.3">
      <c r="A7" s="8" t="s">
        <v>402</v>
      </c>
      <c r="B7" s="7" t="s">
        <v>108</v>
      </c>
      <c r="C7" s="9" t="s">
        <v>400</v>
      </c>
      <c r="D7" s="9"/>
      <c r="E7" s="9" t="s">
        <v>401</v>
      </c>
      <c r="F7" s="199"/>
    </row>
    <row r="8" spans="1:6" x14ac:dyDescent="0.3">
      <c r="A8" s="8" t="s">
        <v>166</v>
      </c>
      <c r="B8" s="7" t="s">
        <v>108</v>
      </c>
      <c r="C8" s="9" t="s">
        <v>400</v>
      </c>
      <c r="D8" s="9"/>
      <c r="E8" s="9" t="s">
        <v>401</v>
      </c>
      <c r="F8" s="199"/>
    </row>
    <row r="9" spans="1:6" x14ac:dyDescent="0.3">
      <c r="A9" s="7" t="s">
        <v>226</v>
      </c>
      <c r="B9" s="7" t="s">
        <v>108</v>
      </c>
      <c r="C9" s="9" t="s">
        <v>400</v>
      </c>
      <c r="D9" s="9"/>
      <c r="E9" s="9" t="s">
        <v>401</v>
      </c>
      <c r="F9" s="199"/>
    </row>
    <row r="10" spans="1:6" x14ac:dyDescent="0.3">
      <c r="A10" s="8">
        <v>67996446178</v>
      </c>
      <c r="B10" s="7" t="s">
        <v>108</v>
      </c>
      <c r="C10" s="9" t="s">
        <v>400</v>
      </c>
      <c r="D10" s="9"/>
      <c r="E10" s="9" t="s">
        <v>401</v>
      </c>
      <c r="F10" s="199"/>
    </row>
    <row r="11" spans="1:6" x14ac:dyDescent="0.3">
      <c r="A11" s="7">
        <v>67996135721</v>
      </c>
      <c r="B11" s="7" t="s">
        <v>108</v>
      </c>
      <c r="C11" s="9" t="s">
        <v>400</v>
      </c>
      <c r="D11" s="9"/>
      <c r="E11" s="9" t="s">
        <v>401</v>
      </c>
      <c r="F11" s="199"/>
    </row>
    <row r="12" spans="1:6" x14ac:dyDescent="0.3">
      <c r="A12" s="8" t="s">
        <v>313</v>
      </c>
      <c r="B12" s="7" t="s">
        <v>108</v>
      </c>
      <c r="C12" s="9" t="s">
        <v>400</v>
      </c>
      <c r="D12" s="9"/>
      <c r="E12" s="9" t="s">
        <v>401</v>
      </c>
      <c r="F12" s="199"/>
    </row>
    <row r="13" spans="1:6" x14ac:dyDescent="0.3">
      <c r="A13" s="7" t="s">
        <v>179</v>
      </c>
      <c r="B13" s="7" t="s">
        <v>108</v>
      </c>
      <c r="C13" s="9" t="s">
        <v>400</v>
      </c>
      <c r="D13" s="9"/>
      <c r="E13" s="9" t="s">
        <v>401</v>
      </c>
      <c r="F13" s="199"/>
    </row>
    <row r="14" spans="1:6" x14ac:dyDescent="0.3">
      <c r="A14" s="8">
        <v>67991767866</v>
      </c>
      <c r="B14" s="7" t="s">
        <v>108</v>
      </c>
      <c r="C14" s="9" t="s">
        <v>400</v>
      </c>
      <c r="D14" s="9"/>
      <c r="E14" s="9" t="s">
        <v>401</v>
      </c>
      <c r="F14" s="199"/>
    </row>
    <row r="15" spans="1:6" x14ac:dyDescent="0.3">
      <c r="A15" s="8" t="s">
        <v>346</v>
      </c>
      <c r="B15" s="7" t="s">
        <v>108</v>
      </c>
      <c r="C15" s="9" t="s">
        <v>400</v>
      </c>
      <c r="D15" s="9"/>
      <c r="E15" s="9" t="s">
        <v>401</v>
      </c>
      <c r="F15" s="199"/>
    </row>
    <row r="16" spans="1:6" x14ac:dyDescent="0.3">
      <c r="A16" s="8">
        <v>67992337953</v>
      </c>
      <c r="B16" s="7" t="s">
        <v>108</v>
      </c>
      <c r="C16" s="9" t="s">
        <v>400</v>
      </c>
      <c r="D16" s="9"/>
      <c r="E16" s="9" t="s">
        <v>401</v>
      </c>
      <c r="F16" s="199"/>
    </row>
    <row r="17" spans="1:6" x14ac:dyDescent="0.3">
      <c r="A17" s="7">
        <v>67996575782</v>
      </c>
      <c r="B17" s="7" t="s">
        <v>108</v>
      </c>
      <c r="C17" s="9" t="s">
        <v>400</v>
      </c>
      <c r="D17" s="9"/>
      <c r="E17" s="9" t="s">
        <v>401</v>
      </c>
      <c r="F17" s="199"/>
    </row>
    <row r="18" spans="1:6" x14ac:dyDescent="0.3">
      <c r="A18" s="8" t="s">
        <v>144</v>
      </c>
      <c r="B18" s="7" t="s">
        <v>108</v>
      </c>
      <c r="C18" s="9" t="s">
        <v>400</v>
      </c>
      <c r="D18" s="9"/>
      <c r="E18" s="9" t="s">
        <v>401</v>
      </c>
      <c r="F18" s="199"/>
    </row>
    <row r="19" spans="1:6" x14ac:dyDescent="0.3">
      <c r="A19" s="7">
        <v>67999516782</v>
      </c>
      <c r="B19" s="7" t="s">
        <v>108</v>
      </c>
      <c r="C19" s="9" t="s">
        <v>400</v>
      </c>
      <c r="D19" s="9"/>
      <c r="E19" s="9" t="s">
        <v>401</v>
      </c>
      <c r="F19" s="199"/>
    </row>
    <row r="20" spans="1:6" x14ac:dyDescent="0.3">
      <c r="A20" s="8" t="s">
        <v>288</v>
      </c>
      <c r="B20" s="7" t="s">
        <v>108</v>
      </c>
      <c r="C20" s="9" t="s">
        <v>400</v>
      </c>
      <c r="D20" s="9"/>
      <c r="E20" s="9" t="s">
        <v>401</v>
      </c>
      <c r="F20" s="199"/>
    </row>
    <row r="21" spans="1:6" x14ac:dyDescent="0.3">
      <c r="A21" s="7">
        <v>67996150274</v>
      </c>
      <c r="B21" s="7" t="s">
        <v>108</v>
      </c>
      <c r="C21" s="9" t="s">
        <v>400</v>
      </c>
      <c r="D21" s="9"/>
      <c r="E21" s="9" t="s">
        <v>401</v>
      </c>
      <c r="F21" s="199"/>
    </row>
    <row r="22" spans="1:6" x14ac:dyDescent="0.3">
      <c r="A22" s="8">
        <v>67999031330</v>
      </c>
      <c r="B22" s="7" t="s">
        <v>108</v>
      </c>
      <c r="C22" s="9" t="s">
        <v>400</v>
      </c>
      <c r="D22" s="9"/>
      <c r="E22" s="9" t="s">
        <v>401</v>
      </c>
      <c r="F22" s="199"/>
    </row>
    <row r="23" spans="1:6" x14ac:dyDescent="0.3">
      <c r="A23" s="8">
        <v>67993496482</v>
      </c>
      <c r="B23" s="7" t="s">
        <v>108</v>
      </c>
      <c r="C23" s="9" t="s">
        <v>400</v>
      </c>
      <c r="D23" s="9"/>
      <c r="E23" s="9" t="s">
        <v>401</v>
      </c>
      <c r="F23" s="199"/>
    </row>
    <row r="24" spans="1:6" x14ac:dyDescent="0.3">
      <c r="A24" s="8" t="s">
        <v>116</v>
      </c>
      <c r="B24" s="7" t="s">
        <v>108</v>
      </c>
      <c r="C24" s="9" t="s">
        <v>400</v>
      </c>
      <c r="D24" s="9"/>
      <c r="E24" s="9" t="s">
        <v>401</v>
      </c>
      <c r="F24" s="199"/>
    </row>
    <row r="25" spans="1:6" x14ac:dyDescent="0.3">
      <c r="A25" s="7">
        <v>67999159477</v>
      </c>
      <c r="B25" s="7" t="s">
        <v>108</v>
      </c>
      <c r="C25" s="9" t="s">
        <v>400</v>
      </c>
      <c r="D25" s="9"/>
      <c r="E25" s="9" t="s">
        <v>401</v>
      </c>
      <c r="F25" s="199"/>
    </row>
    <row r="26" spans="1:6" x14ac:dyDescent="0.3">
      <c r="A26" s="8">
        <v>67991120875</v>
      </c>
      <c r="B26" s="7" t="s">
        <v>108</v>
      </c>
      <c r="C26" s="9" t="s">
        <v>400</v>
      </c>
      <c r="D26" s="9"/>
      <c r="E26" s="9" t="s">
        <v>401</v>
      </c>
      <c r="F26" s="199"/>
    </row>
    <row r="27" spans="1:6" x14ac:dyDescent="0.3">
      <c r="A27" s="8">
        <v>67991162146</v>
      </c>
      <c r="B27" s="7" t="s">
        <v>108</v>
      </c>
      <c r="C27" s="9" t="s">
        <v>400</v>
      </c>
      <c r="D27" s="9"/>
      <c r="E27" s="9" t="s">
        <v>401</v>
      </c>
      <c r="F27" s="199"/>
    </row>
    <row r="28" spans="1:6" x14ac:dyDescent="0.3">
      <c r="A28" s="7" t="s">
        <v>328</v>
      </c>
      <c r="B28" s="7" t="s">
        <v>108</v>
      </c>
      <c r="C28" s="9" t="s">
        <v>400</v>
      </c>
      <c r="D28" s="9"/>
      <c r="E28" s="9" t="s">
        <v>401</v>
      </c>
      <c r="F28" s="199"/>
    </row>
    <row r="29" spans="1:6" x14ac:dyDescent="0.3">
      <c r="A29" s="8">
        <v>67992899434</v>
      </c>
      <c r="B29" s="7" t="s">
        <v>108</v>
      </c>
      <c r="C29" s="9" t="s">
        <v>400</v>
      </c>
      <c r="D29" s="9"/>
      <c r="E29" s="9" t="s">
        <v>401</v>
      </c>
      <c r="F29" s="199"/>
    </row>
    <row r="30" spans="1:6" x14ac:dyDescent="0.3">
      <c r="A30" s="7">
        <v>67992021114</v>
      </c>
      <c r="B30" s="7" t="s">
        <v>108</v>
      </c>
      <c r="C30" s="9" t="s">
        <v>400</v>
      </c>
      <c r="D30" s="9"/>
      <c r="E30" s="9" t="s">
        <v>401</v>
      </c>
      <c r="F30" s="199"/>
    </row>
    <row r="31" spans="1:6" x14ac:dyDescent="0.3">
      <c r="A31" s="8" t="s">
        <v>341</v>
      </c>
      <c r="B31" s="7" t="s">
        <v>108</v>
      </c>
      <c r="C31" s="9" t="s">
        <v>400</v>
      </c>
      <c r="D31" s="9"/>
      <c r="E31" s="9" t="s">
        <v>401</v>
      </c>
      <c r="F31" s="199"/>
    </row>
    <row r="32" spans="1:6" x14ac:dyDescent="0.3">
      <c r="A32" s="8">
        <v>67998363594</v>
      </c>
      <c r="B32" s="7" t="s">
        <v>108</v>
      </c>
      <c r="C32" s="9" t="s">
        <v>400</v>
      </c>
      <c r="D32" s="9"/>
      <c r="E32" s="9" t="s">
        <v>401</v>
      </c>
      <c r="F32" s="199"/>
    </row>
    <row r="33" spans="1:6" x14ac:dyDescent="0.3">
      <c r="A33" s="7">
        <v>6796411024</v>
      </c>
      <c r="B33" s="7" t="s">
        <v>108</v>
      </c>
      <c r="C33" s="9" t="s">
        <v>400</v>
      </c>
      <c r="D33" s="9"/>
      <c r="E33" s="9" t="s">
        <v>401</v>
      </c>
      <c r="F33" s="199"/>
    </row>
    <row r="34" spans="1:6" x14ac:dyDescent="0.3">
      <c r="A34" s="8">
        <v>67999361728</v>
      </c>
      <c r="B34" s="7" t="s">
        <v>108</v>
      </c>
      <c r="C34" s="9" t="s">
        <v>400</v>
      </c>
      <c r="D34" s="9"/>
      <c r="E34" s="9" t="s">
        <v>401</v>
      </c>
      <c r="F34" s="199"/>
    </row>
    <row r="35" spans="1:6" x14ac:dyDescent="0.3">
      <c r="A35" s="7">
        <v>67991060202</v>
      </c>
      <c r="B35" s="7" t="s">
        <v>108</v>
      </c>
      <c r="C35" s="9" t="s">
        <v>400</v>
      </c>
      <c r="D35" s="9"/>
      <c r="E35" s="9" t="s">
        <v>401</v>
      </c>
      <c r="F35" s="199"/>
    </row>
    <row r="36" spans="1:6" x14ac:dyDescent="0.3">
      <c r="A36" s="8">
        <v>67999998719</v>
      </c>
      <c r="B36" s="7" t="s">
        <v>108</v>
      </c>
      <c r="C36" s="9" t="s">
        <v>400</v>
      </c>
      <c r="D36" s="9"/>
      <c r="E36" s="9" t="s">
        <v>401</v>
      </c>
      <c r="F36" s="199"/>
    </row>
    <row r="37" spans="1:6" x14ac:dyDescent="0.3">
      <c r="A37" s="7" t="s">
        <v>336</v>
      </c>
      <c r="B37" s="7" t="s">
        <v>108</v>
      </c>
      <c r="C37" s="9" t="s">
        <v>400</v>
      </c>
      <c r="D37" s="9"/>
      <c r="E37" s="9" t="s">
        <v>401</v>
      </c>
      <c r="F37" s="199"/>
    </row>
    <row r="38" spans="1:6" x14ac:dyDescent="0.3">
      <c r="A38" s="8" t="s">
        <v>403</v>
      </c>
      <c r="B38" s="7" t="s">
        <v>108</v>
      </c>
      <c r="C38" s="9" t="s">
        <v>400</v>
      </c>
      <c r="D38" s="9"/>
      <c r="E38" s="9" t="s">
        <v>401</v>
      </c>
      <c r="F38" s="199"/>
    </row>
    <row r="39" spans="1:6" x14ac:dyDescent="0.3">
      <c r="A39" s="7">
        <v>67996071169</v>
      </c>
      <c r="B39" s="7" t="s">
        <v>108</v>
      </c>
      <c r="C39" s="9" t="s">
        <v>400</v>
      </c>
      <c r="D39" s="9"/>
      <c r="E39" s="9" t="s">
        <v>401</v>
      </c>
      <c r="F39" s="199"/>
    </row>
    <row r="40" spans="1:6" x14ac:dyDescent="0.3">
      <c r="A40" s="8">
        <v>67996859014</v>
      </c>
      <c r="B40" s="7" t="s">
        <v>108</v>
      </c>
      <c r="C40" s="9" t="s">
        <v>400</v>
      </c>
      <c r="D40" s="9"/>
      <c r="E40" s="9" t="s">
        <v>401</v>
      </c>
      <c r="F40" s="199"/>
    </row>
    <row r="41" spans="1:6" x14ac:dyDescent="0.3">
      <c r="A41" s="7">
        <v>67991306665</v>
      </c>
      <c r="B41" s="7" t="s">
        <v>108</v>
      </c>
      <c r="C41" s="9" t="s">
        <v>400</v>
      </c>
      <c r="D41" s="9"/>
      <c r="E41" s="9" t="s">
        <v>401</v>
      </c>
      <c r="F41" s="199"/>
    </row>
    <row r="42" spans="1:6" x14ac:dyDescent="0.3">
      <c r="A42" s="8" t="s">
        <v>234</v>
      </c>
      <c r="B42" s="7" t="s">
        <v>108</v>
      </c>
      <c r="C42" s="9" t="s">
        <v>400</v>
      </c>
      <c r="D42" s="9"/>
      <c r="E42" s="9" t="s">
        <v>401</v>
      </c>
      <c r="F42" s="199"/>
    </row>
    <row r="43" spans="1:6" x14ac:dyDescent="0.3">
      <c r="A43" s="8">
        <v>67981263396</v>
      </c>
      <c r="B43" s="7" t="s">
        <v>108</v>
      </c>
      <c r="C43" s="9" t="s">
        <v>400</v>
      </c>
      <c r="D43" s="9"/>
      <c r="E43" s="9" t="s">
        <v>401</v>
      </c>
      <c r="F43" s="199"/>
    </row>
    <row r="44" spans="1:6" x14ac:dyDescent="0.3">
      <c r="A44" s="7">
        <v>67996687077</v>
      </c>
      <c r="B44" s="7" t="s">
        <v>108</v>
      </c>
      <c r="C44" s="9" t="s">
        <v>400</v>
      </c>
      <c r="D44" s="9"/>
      <c r="E44" s="9" t="s">
        <v>401</v>
      </c>
      <c r="F44" s="199"/>
    </row>
    <row r="45" spans="1:6" x14ac:dyDescent="0.3">
      <c r="A45" s="8">
        <v>67996983476</v>
      </c>
      <c r="B45" s="7" t="s">
        <v>108</v>
      </c>
      <c r="C45" s="9" t="s">
        <v>400</v>
      </c>
      <c r="D45" s="9"/>
      <c r="E45" s="9" t="s">
        <v>401</v>
      </c>
      <c r="F45" s="199"/>
    </row>
    <row r="46" spans="1:6" x14ac:dyDescent="0.3">
      <c r="A46" s="7">
        <v>67993249456</v>
      </c>
      <c r="B46" s="7" t="s">
        <v>108</v>
      </c>
      <c r="C46" s="9" t="s">
        <v>400</v>
      </c>
      <c r="D46" s="9"/>
      <c r="E46" s="9" t="s">
        <v>401</v>
      </c>
      <c r="F46" s="199"/>
    </row>
    <row r="47" spans="1:6" x14ac:dyDescent="0.3">
      <c r="A47" s="7">
        <v>67991133770</v>
      </c>
      <c r="B47" s="7" t="s">
        <v>108</v>
      </c>
      <c r="C47" s="9" t="s">
        <v>400</v>
      </c>
      <c r="D47" s="9"/>
      <c r="E47" s="9" t="s">
        <v>401</v>
      </c>
      <c r="F47" s="199"/>
    </row>
    <row r="48" spans="1:6" x14ac:dyDescent="0.3">
      <c r="A48" s="8" t="s">
        <v>404</v>
      </c>
      <c r="B48" s="7" t="s">
        <v>108</v>
      </c>
      <c r="C48" s="9" t="s">
        <v>400</v>
      </c>
      <c r="D48" s="9"/>
      <c r="E48" s="9" t="s">
        <v>401</v>
      </c>
      <c r="F48" s="199"/>
    </row>
    <row r="49" spans="1:6" x14ac:dyDescent="0.3">
      <c r="A49" s="8" t="s">
        <v>132</v>
      </c>
      <c r="B49" s="7" t="s">
        <v>108</v>
      </c>
      <c r="C49" s="9" t="s">
        <v>400</v>
      </c>
      <c r="D49" s="9"/>
      <c r="E49" s="9" t="s">
        <v>401</v>
      </c>
      <c r="F49" s="199"/>
    </row>
    <row r="50" spans="1:6" x14ac:dyDescent="0.3">
      <c r="A50" s="8" t="s">
        <v>332</v>
      </c>
      <c r="B50" s="7" t="s">
        <v>108</v>
      </c>
      <c r="C50" s="9" t="s">
        <v>400</v>
      </c>
      <c r="D50" s="9"/>
      <c r="E50" s="9" t="s">
        <v>401</v>
      </c>
      <c r="F50" s="199"/>
    </row>
    <row r="51" spans="1:6" x14ac:dyDescent="0.3">
      <c r="A51" s="7">
        <v>67992876000</v>
      </c>
      <c r="B51" s="7" t="s">
        <v>108</v>
      </c>
      <c r="C51" s="9" t="s">
        <v>400</v>
      </c>
      <c r="D51" s="9"/>
      <c r="E51" s="9" t="s">
        <v>401</v>
      </c>
      <c r="F51" s="199"/>
    </row>
    <row r="52" spans="1:6" x14ac:dyDescent="0.3">
      <c r="A52" s="8">
        <v>65999839279</v>
      </c>
      <c r="B52" s="7" t="s">
        <v>108</v>
      </c>
      <c r="C52" s="9" t="s">
        <v>400</v>
      </c>
      <c r="D52" s="9"/>
      <c r="E52" s="9" t="s">
        <v>401</v>
      </c>
      <c r="F52" s="199"/>
    </row>
    <row r="53" spans="1:6" x14ac:dyDescent="0.3">
      <c r="A53" s="8">
        <v>67998302932</v>
      </c>
      <c r="B53" s="7" t="s">
        <v>108</v>
      </c>
      <c r="C53" s="9" t="s">
        <v>400</v>
      </c>
      <c r="D53" s="9"/>
      <c r="E53" s="9" t="s">
        <v>401</v>
      </c>
      <c r="F53" s="199"/>
    </row>
  </sheetData>
  <mergeCells count="1">
    <mergeCell ref="F1:F5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02BC-A1C3-41F7-9C35-946C4BCF9E7A}">
  <sheetPr filterMode="1"/>
  <dimension ref="A1:AI1080"/>
  <sheetViews>
    <sheetView showGridLines="0" zoomScale="102" zoomScaleNormal="102" workbookViewId="0">
      <pane xSplit="2" ySplit="1" topLeftCell="C147" activePane="bottomRight" state="frozen"/>
      <selection pane="topRight" activeCell="C1" sqref="C1"/>
      <selection pane="bottomLeft" activeCell="A2" sqref="A2"/>
      <selection pane="bottomRight" activeCell="F448" sqref="F448"/>
    </sheetView>
  </sheetViews>
  <sheetFormatPr defaultColWidth="8.88671875" defaultRowHeight="14.4" outlineLevelCol="2" x14ac:dyDescent="0.3"/>
  <cols>
    <col min="1" max="1" width="13.33203125" hidden="1" customWidth="1"/>
    <col min="2" max="2" width="12.44140625" bestFit="1" customWidth="1"/>
    <col min="3" max="3" width="19.6640625" style="1" customWidth="1"/>
    <col min="4" max="4" width="17.88671875" bestFit="1" customWidth="1" outlineLevel="2"/>
    <col min="5" max="5" width="14.33203125" bestFit="1" customWidth="1" outlineLevel="2"/>
    <col min="6" max="6" width="36.6640625" bestFit="1" customWidth="1" outlineLevel="2"/>
    <col min="7" max="7" width="12.5546875" bestFit="1" customWidth="1"/>
    <col min="8" max="8" width="18.88671875" hidden="1" customWidth="1"/>
    <col min="9" max="9" width="24.44140625" hidden="1" customWidth="1"/>
    <col min="10" max="10" width="18.33203125" bestFit="1" customWidth="1"/>
    <col min="11" max="11" width="16.44140625" style="3" bestFit="1" customWidth="1"/>
    <col min="12" max="12" width="16.33203125" style="3" bestFit="1" customWidth="1"/>
    <col min="13" max="13" width="19.88671875" bestFit="1" customWidth="1"/>
    <col min="14" max="14" width="21.44140625" style="3" customWidth="1"/>
    <col min="15" max="15" width="16.33203125" style="3" customWidth="1" outlineLevel="1"/>
    <col min="16" max="16" width="14.6640625" bestFit="1" customWidth="1" outlineLevel="1"/>
    <col min="17" max="17" width="17.88671875" style="3" bestFit="1" customWidth="1" outlineLevel="1"/>
    <col min="18" max="18" width="15.88671875" style="3" bestFit="1" customWidth="1"/>
    <col min="19" max="19" width="43.5546875" style="13" customWidth="1"/>
    <col min="20" max="20" width="34.6640625" style="3" customWidth="1"/>
    <col min="21" max="21" width="19.109375" style="3" customWidth="1"/>
    <col min="22" max="22" width="18.6640625" style="3" bestFit="1" customWidth="1"/>
    <col min="23" max="23" width="15.6640625" bestFit="1" customWidth="1"/>
    <col min="24" max="24" width="14.44140625" bestFit="1" customWidth="1"/>
    <col min="25" max="25" width="17.109375" style="3" bestFit="1" customWidth="1"/>
    <col min="26" max="26" width="20.44140625" style="3" hidden="1" customWidth="1"/>
    <col min="27" max="27" width="27.5546875" style="3" hidden="1" customWidth="1" outlineLevel="1"/>
    <col min="28" max="28" width="26.109375" style="6" hidden="1" customWidth="1" outlineLevel="1"/>
    <col min="29" max="29" width="37.33203125" style="5" hidden="1" customWidth="1" outlineLevel="1"/>
    <col min="30" max="30" width="65.5546875" style="5" hidden="1" customWidth="1" outlineLevel="1"/>
    <col min="31" max="31" width="58.44140625" style="5" hidden="1" customWidth="1" outlineLevel="1"/>
    <col min="32" max="32" width="35.33203125" style="5" hidden="1" customWidth="1" outlineLevel="1"/>
    <col min="33" max="33" width="255.6640625" style="5" hidden="1" customWidth="1" outlineLevel="1"/>
    <col min="34" max="34" width="59.44140625" style="5" hidden="1" customWidth="1" outlineLevel="1"/>
    <col min="35" max="35" width="92.5546875" style="5" hidden="1" customWidth="1" collapsed="1"/>
    <col min="36" max="36" width="18.33203125" customWidth="1"/>
    <col min="37" max="37" width="8.88671875" bestFit="1" customWidth="1"/>
  </cols>
  <sheetData>
    <row r="1" spans="1:35" x14ac:dyDescent="0.3">
      <c r="A1" s="38" t="s">
        <v>370</v>
      </c>
      <c r="B1" s="38" t="s">
        <v>405</v>
      </c>
      <c r="C1" s="54" t="s">
        <v>406</v>
      </c>
      <c r="D1" s="38" t="s">
        <v>37</v>
      </c>
      <c r="E1" s="38" t="s">
        <v>407</v>
      </c>
      <c r="F1" s="38" t="s">
        <v>408</v>
      </c>
      <c r="G1" s="38" t="s">
        <v>409</v>
      </c>
      <c r="H1" s="38" t="s">
        <v>410</v>
      </c>
      <c r="I1" s="39" t="s">
        <v>411</v>
      </c>
      <c r="J1" s="39" t="s">
        <v>1681</v>
      </c>
      <c r="K1" s="41" t="s">
        <v>1792</v>
      </c>
      <c r="L1" s="41" t="s">
        <v>1793</v>
      </c>
      <c r="M1" s="39" t="s">
        <v>412</v>
      </c>
      <c r="N1" s="40" t="s">
        <v>413</v>
      </c>
      <c r="O1" s="41" t="s">
        <v>414</v>
      </c>
      <c r="P1" s="42" t="s">
        <v>415</v>
      </c>
      <c r="Q1" s="42" t="s">
        <v>416</v>
      </c>
      <c r="R1" s="41" t="s">
        <v>417</v>
      </c>
      <c r="S1" s="41" t="s">
        <v>418</v>
      </c>
      <c r="T1" s="43" t="s">
        <v>419</v>
      </c>
      <c r="U1" s="43" t="s">
        <v>420</v>
      </c>
      <c r="V1" s="43" t="s">
        <v>362</v>
      </c>
      <c r="W1" s="44" t="s">
        <v>421</v>
      </c>
      <c r="X1" s="44" t="s">
        <v>422</v>
      </c>
      <c r="Y1" s="45" t="s">
        <v>423</v>
      </c>
      <c r="Z1" s="45" t="s">
        <v>1794</v>
      </c>
      <c r="AA1" s="2" t="s">
        <v>424</v>
      </c>
      <c r="AB1" s="2" t="s">
        <v>425</v>
      </c>
      <c r="AC1" s="2" t="s">
        <v>426</v>
      </c>
      <c r="AD1" s="2" t="s">
        <v>427</v>
      </c>
      <c r="AE1" s="2" t="s">
        <v>428</v>
      </c>
      <c r="AF1" s="2" t="s">
        <v>429</v>
      </c>
      <c r="AG1" s="2" t="s">
        <v>430</v>
      </c>
      <c r="AH1" s="2" t="s">
        <v>431</v>
      </c>
      <c r="AI1" s="2" t="s">
        <v>432</v>
      </c>
    </row>
    <row r="2" spans="1:35" hidden="1" x14ac:dyDescent="0.3">
      <c r="A2" s="46" t="str">
        <f>VLOOKUP(B2,base!A:M,11,FALSE)</f>
        <v>TRIFÁSICO</v>
      </c>
      <c r="B2" s="47" t="s">
        <v>206</v>
      </c>
      <c r="C2" s="55">
        <v>0</v>
      </c>
      <c r="D2" s="61">
        <v>62955505017213</v>
      </c>
      <c r="E2" s="37" t="s">
        <v>433</v>
      </c>
      <c r="F2" s="47" t="s">
        <v>434</v>
      </c>
      <c r="G2" s="48">
        <v>45901</v>
      </c>
      <c r="H2" s="48" t="str">
        <f>Faturamento!$B836&amp;Faturamento!$G836</f>
        <v>10/2338577-645658</v>
      </c>
      <c r="I2" s="47" t="s">
        <v>435</v>
      </c>
      <c r="J2" s="194">
        <v>0</v>
      </c>
      <c r="K2" s="198"/>
      <c r="L2" s="198"/>
      <c r="M2" s="46" t="s">
        <v>1536</v>
      </c>
      <c r="N2" s="49">
        <v>0</v>
      </c>
      <c r="O2" s="49" t="s">
        <v>934</v>
      </c>
      <c r="P2" s="48"/>
      <c r="Q2" s="48"/>
      <c r="R2" s="49"/>
      <c r="S2" s="47" t="s">
        <v>1537</v>
      </c>
      <c r="T2" s="50" t="s">
        <v>474</v>
      </c>
      <c r="U2" s="50"/>
      <c r="V2" s="47" t="s">
        <v>438</v>
      </c>
      <c r="W2" s="49"/>
      <c r="X2" s="123">
        <f>IF(Faturamento!$V879="Pago",IFERROR(W2-R2,0),0)</f>
        <v>0</v>
      </c>
      <c r="Y2" s="48"/>
      <c r="Z2" s="52"/>
      <c r="AA2" s="5"/>
      <c r="AB2" s="5"/>
      <c r="AI2"/>
    </row>
    <row r="3" spans="1:35" hidden="1" x14ac:dyDescent="0.3">
      <c r="A3" s="5" t="str">
        <f>VLOOKUP(B3,base!A:M,11,FALSE)</f>
        <v>TRIFÁSICO</v>
      </c>
      <c r="B3" s="37" t="s">
        <v>156</v>
      </c>
      <c r="C3" s="56">
        <v>0</v>
      </c>
      <c r="D3" s="59">
        <v>62955505080098</v>
      </c>
      <c r="E3" s="37" t="s">
        <v>433</v>
      </c>
      <c r="F3" s="37" t="s">
        <v>434</v>
      </c>
      <c r="G3" s="52">
        <v>45901</v>
      </c>
      <c r="H3" s="52" t="str">
        <f>Faturamento!$B842&amp;Faturamento!$G842</f>
        <v>10/142353-245689</v>
      </c>
      <c r="I3" s="37" t="s">
        <v>435</v>
      </c>
      <c r="J3" s="194">
        <v>0</v>
      </c>
      <c r="M3" s="5" t="s">
        <v>1536</v>
      </c>
      <c r="N3" s="53">
        <v>0</v>
      </c>
      <c r="O3" s="53" t="s">
        <v>934</v>
      </c>
      <c r="P3" s="52"/>
      <c r="Q3" s="52"/>
      <c r="R3" s="53"/>
      <c r="S3" s="37" t="s">
        <v>1537</v>
      </c>
      <c r="T3" s="51" t="s">
        <v>456</v>
      </c>
      <c r="U3" s="51"/>
      <c r="V3" s="37" t="s">
        <v>438</v>
      </c>
      <c r="W3" s="53"/>
      <c r="X3" s="123">
        <f>IF(Faturamento!$V880="Pago",IFERROR(W3-R3,0),0)</f>
        <v>0</v>
      </c>
      <c r="Y3" s="52"/>
      <c r="Z3" s="52"/>
      <c r="AA3" s="5"/>
      <c r="AB3" s="5"/>
      <c r="AI3"/>
    </row>
    <row r="4" spans="1:35" hidden="1" x14ac:dyDescent="0.3">
      <c r="A4" s="5" t="str">
        <f>VLOOKUP(B4,base!A:M,11,FALSE)</f>
        <v>TRIFÁSICO</v>
      </c>
      <c r="B4" t="s">
        <v>299</v>
      </c>
      <c r="C4" s="1" t="s">
        <v>126</v>
      </c>
      <c r="D4" s="60">
        <v>62955505189340</v>
      </c>
      <c r="E4" s="63" t="s">
        <v>433</v>
      </c>
      <c r="F4" t="s">
        <v>434</v>
      </c>
      <c r="G4" s="4">
        <v>45901</v>
      </c>
      <c r="H4" s="4" t="str">
        <f>Faturamento!$B879&amp;Faturamento!$G879</f>
        <v>10/104720-845717</v>
      </c>
      <c r="I4" t="s">
        <v>435</v>
      </c>
      <c r="J4" s="194">
        <v>0</v>
      </c>
      <c r="M4" s="5" t="s">
        <v>1536</v>
      </c>
      <c r="N4" s="3">
        <v>0</v>
      </c>
      <c r="O4" s="3" t="s">
        <v>934</v>
      </c>
      <c r="P4" s="4"/>
      <c r="Q4" s="4"/>
      <c r="S4" t="s">
        <v>1537</v>
      </c>
      <c r="T4" s="51" t="s">
        <v>769</v>
      </c>
      <c r="U4" s="51"/>
      <c r="V4" s="37" t="s">
        <v>438</v>
      </c>
      <c r="W4" s="3"/>
      <c r="X4" s="123">
        <f>IF(Faturamento!$V888="Pago",IFERROR(W4-R4,0),0)</f>
        <v>0</v>
      </c>
      <c r="Y4" s="4"/>
      <c r="Z4" s="4"/>
      <c r="AA4" s="5"/>
      <c r="AB4" s="5"/>
      <c r="AI4"/>
    </row>
    <row r="5" spans="1:35" hidden="1" x14ac:dyDescent="0.3">
      <c r="A5" s="5" t="str">
        <f>VLOOKUP(B5,base!A:M,11,FALSE)</f>
        <v>BIFÁSICO</v>
      </c>
      <c r="B5" t="s">
        <v>253</v>
      </c>
      <c r="C5" s="1" t="s">
        <v>126</v>
      </c>
      <c r="D5" s="60">
        <v>62955505016080</v>
      </c>
      <c r="E5" s="63" t="s">
        <v>433</v>
      </c>
      <c r="F5" t="s">
        <v>434</v>
      </c>
      <c r="G5" s="4">
        <v>45901</v>
      </c>
      <c r="H5" s="4" t="str">
        <f>Faturamento!$B883&amp;Faturamento!$G883</f>
        <v>10/1081489-545717</v>
      </c>
      <c r="I5" t="s">
        <v>435</v>
      </c>
      <c r="J5" s="194">
        <v>0</v>
      </c>
      <c r="M5" s="5" t="s">
        <v>1536</v>
      </c>
      <c r="N5" s="3">
        <v>0</v>
      </c>
      <c r="O5" s="3" t="s">
        <v>934</v>
      </c>
      <c r="P5" s="4"/>
      <c r="Q5" s="4"/>
      <c r="S5" t="s">
        <v>1537</v>
      </c>
      <c r="T5" s="51" t="s">
        <v>483</v>
      </c>
      <c r="U5" s="51"/>
      <c r="V5" s="37" t="s">
        <v>438</v>
      </c>
      <c r="W5" s="3"/>
      <c r="X5" s="123">
        <f>IF(Faturamento!$V889="Pago",IFERROR(W5-R5,0),0)</f>
        <v>0</v>
      </c>
      <c r="Y5" s="4"/>
      <c r="Z5" s="4"/>
      <c r="AA5" s="5"/>
      <c r="AB5" s="5"/>
      <c r="AI5"/>
    </row>
    <row r="6" spans="1:35" hidden="1" x14ac:dyDescent="0.3">
      <c r="A6" s="5" t="str">
        <f>VLOOKUP(B6,base!A:M,11,FALSE)</f>
        <v>TRIFÁSICO</v>
      </c>
      <c r="B6" s="37" t="s">
        <v>242</v>
      </c>
      <c r="C6" s="56">
        <v>0</v>
      </c>
      <c r="D6" s="59">
        <v>62955505312487</v>
      </c>
      <c r="E6" s="37" t="s">
        <v>433</v>
      </c>
      <c r="F6" s="37" t="s">
        <v>434</v>
      </c>
      <c r="G6" s="52">
        <v>45901</v>
      </c>
      <c r="H6" s="52" t="str">
        <f>Faturamento!$B888&amp;Faturamento!$G888</f>
        <v>10/69319-245717</v>
      </c>
      <c r="I6" s="37" t="s">
        <v>435</v>
      </c>
      <c r="J6" s="194">
        <v>0</v>
      </c>
      <c r="M6" s="5" t="s">
        <v>1536</v>
      </c>
      <c r="N6" s="53">
        <v>0</v>
      </c>
      <c r="O6" s="53" t="s">
        <v>934</v>
      </c>
      <c r="P6" s="52"/>
      <c r="Q6" s="52"/>
      <c r="R6" s="53"/>
      <c r="S6" s="37" t="s">
        <v>1537</v>
      </c>
      <c r="T6" s="51" t="s">
        <v>666</v>
      </c>
      <c r="U6" s="51"/>
      <c r="V6" s="37" t="s">
        <v>438</v>
      </c>
      <c r="W6" s="53"/>
      <c r="X6" s="123">
        <f>IF(Faturamento!$V890="Pago",IFERROR(W6-R6,0),0)</f>
        <v>0</v>
      </c>
      <c r="Y6" s="52"/>
      <c r="Z6" s="52"/>
      <c r="AA6" s="5"/>
      <c r="AB6" s="5"/>
      <c r="AI6"/>
    </row>
    <row r="7" spans="1:35" hidden="1" x14ac:dyDescent="0.3">
      <c r="A7" s="5" t="str">
        <f>VLOOKUP(B7,base!A:M,11,FALSE)</f>
        <v>TRIFÁSICO</v>
      </c>
      <c r="B7" s="37" t="s">
        <v>292</v>
      </c>
      <c r="C7" s="56">
        <v>0</v>
      </c>
      <c r="D7" s="59">
        <v>62955505887382</v>
      </c>
      <c r="E7" s="37" t="s">
        <v>433</v>
      </c>
      <c r="F7" s="37" t="s">
        <v>434</v>
      </c>
      <c r="G7" s="52">
        <v>45901</v>
      </c>
      <c r="H7" s="52" t="str">
        <f>Faturamento!$B890&amp;Faturamento!$G890</f>
        <v>10/3139326-745717</v>
      </c>
      <c r="I7" s="37" t="s">
        <v>435</v>
      </c>
      <c r="J7" s="194">
        <v>0</v>
      </c>
      <c r="M7" s="5" t="s">
        <v>1536</v>
      </c>
      <c r="N7" s="53">
        <v>0</v>
      </c>
      <c r="O7" s="53" t="s">
        <v>934</v>
      </c>
      <c r="P7" s="52"/>
      <c r="Q7" s="52"/>
      <c r="R7" s="53"/>
      <c r="S7" s="37" t="s">
        <v>1537</v>
      </c>
      <c r="T7" s="51" t="s">
        <v>681</v>
      </c>
      <c r="U7" s="51"/>
      <c r="V7" s="37" t="s">
        <v>438</v>
      </c>
      <c r="W7" s="53"/>
      <c r="X7" s="123">
        <f>IF(Faturamento!$V892="Pago",IFERROR(W7-R7,0),0)</f>
        <v>0</v>
      </c>
      <c r="Y7" s="52"/>
      <c r="Z7" s="52"/>
      <c r="AA7" s="5"/>
      <c r="AB7" s="5"/>
      <c r="AI7"/>
    </row>
    <row r="8" spans="1:35" hidden="1" x14ac:dyDescent="0.3">
      <c r="A8" s="5" t="str">
        <f>VLOOKUP(B8,base!A:M,11,FALSE)</f>
        <v>TRIFÁSICO</v>
      </c>
      <c r="B8" t="s">
        <v>259</v>
      </c>
      <c r="C8" s="1">
        <v>67991120875</v>
      </c>
      <c r="D8" s="60">
        <v>62955505015199</v>
      </c>
      <c r="E8" s="63" t="s">
        <v>433</v>
      </c>
      <c r="F8" t="s">
        <v>434</v>
      </c>
      <c r="G8" s="4">
        <v>45839</v>
      </c>
      <c r="H8" s="4" t="str">
        <f>Faturamento!$B619&amp;Faturamento!$G619</f>
        <v>10/175073-645809</v>
      </c>
      <c r="I8" t="s">
        <v>435</v>
      </c>
      <c r="J8" s="47">
        <v>2565</v>
      </c>
      <c r="K8" s="53">
        <v>3099.7895000000003</v>
      </c>
      <c r="L8" s="53">
        <v>2415.3815967000005</v>
      </c>
      <c r="M8" s="5" t="str">
        <f>IF(Faturamento!$S619&lt;&gt;"","Não emitido",IF(Faturamento!$I619="NÃO","Pendente Fatura", IF(Faturamento!$R619&lt;&gt;"","Aprovado",IF(Faturamento!$O619&lt;&gt;0,"Pendente Emissão","Processo de Calculo"))))</f>
        <v>Aprovado</v>
      </c>
      <c r="N8" s="3">
        <v>3021.3294999999998</v>
      </c>
      <c r="O8" s="3">
        <v>2336.92</v>
      </c>
      <c r="P8" s="4">
        <v>45910</v>
      </c>
      <c r="Q8" s="4">
        <v>45920</v>
      </c>
      <c r="R8" s="3">
        <v>2336.92</v>
      </c>
      <c r="S8"/>
      <c r="T8" s="51" t="s">
        <v>1153</v>
      </c>
      <c r="U8" s="51" t="s">
        <v>1154</v>
      </c>
      <c r="V8" t="s">
        <v>568</v>
      </c>
      <c r="W8" s="3">
        <v>2336.92</v>
      </c>
      <c r="X8" s="123">
        <f>IF(Faturamento!$V829="Pago",IFERROR(W8-R8,0),0)</f>
        <v>0</v>
      </c>
      <c r="Y8" s="4"/>
      <c r="Z8" s="4"/>
      <c r="AA8" s="5"/>
      <c r="AB8" s="5"/>
      <c r="AI8"/>
    </row>
    <row r="9" spans="1:35" hidden="1" x14ac:dyDescent="0.3">
      <c r="A9" s="5" t="str">
        <f>VLOOKUP(B9,base!A:M,11,FALSE)</f>
        <v>TRIFÁSICO</v>
      </c>
      <c r="B9" s="37" t="s">
        <v>259</v>
      </c>
      <c r="C9" s="56" t="s">
        <v>131</v>
      </c>
      <c r="D9" s="59">
        <v>62955505015199</v>
      </c>
      <c r="E9" s="37" t="s">
        <v>433</v>
      </c>
      <c r="F9" s="37" t="s">
        <v>434</v>
      </c>
      <c r="G9" s="52">
        <v>45870</v>
      </c>
      <c r="H9" s="52" t="str">
        <f>Faturamento!$B712&amp;Faturamento!$G712</f>
        <v>10/24514-245839</v>
      </c>
      <c r="I9" s="37" t="s">
        <v>435</v>
      </c>
      <c r="J9" s="194">
        <v>2565</v>
      </c>
      <c r="K9" s="3">
        <v>3108.5835000000002</v>
      </c>
      <c r="L9" s="3">
        <v>2433.0722010405912</v>
      </c>
      <c r="M9" s="5" t="str">
        <f>IF(Faturamento!$S712&lt;&gt;"","Não emitido",IF(Faturamento!$I712="NÃO","Pendente Fatura", IF(Faturamento!$R712&lt;&gt;"","Aprovado",IF(Faturamento!$O712&lt;&gt;0,"Pendente Emissão","Processo de Calculo"))))</f>
        <v>Aprovado</v>
      </c>
      <c r="N9" s="53">
        <v>2989.5035000000003</v>
      </c>
      <c r="O9" s="53">
        <v>2313.9899999999998</v>
      </c>
      <c r="P9" s="52">
        <v>45910</v>
      </c>
      <c r="Q9" s="52">
        <v>45920</v>
      </c>
      <c r="R9" s="53">
        <v>2313.9899999999998</v>
      </c>
      <c r="S9" s="37"/>
      <c r="T9" s="51" t="s">
        <v>1327</v>
      </c>
      <c r="U9" s="51" t="s">
        <v>1328</v>
      </c>
      <c r="V9" s="37" t="s">
        <v>568</v>
      </c>
      <c r="W9" s="53">
        <v>2313.9899999999998</v>
      </c>
      <c r="X9" s="123">
        <f>IF(Faturamento!$V828="Pago",IFERROR(W9-R9,0),0)</f>
        <v>0</v>
      </c>
      <c r="Y9" s="52"/>
      <c r="Z9" s="52"/>
      <c r="AA9" s="5"/>
      <c r="AB9" s="5"/>
      <c r="AI9"/>
    </row>
    <row r="10" spans="1:35" hidden="1" x14ac:dyDescent="0.3">
      <c r="A10" s="5" t="str">
        <f>VLOOKUP(B10,base!A:M,11,FALSE)</f>
        <v>TRIFÁSICO</v>
      </c>
      <c r="B10" s="37" t="s">
        <v>259</v>
      </c>
      <c r="C10" s="56" t="s">
        <v>131</v>
      </c>
      <c r="D10" s="59">
        <v>62955505015199</v>
      </c>
      <c r="E10" s="37" t="s">
        <v>433</v>
      </c>
      <c r="F10" s="37" t="s">
        <v>434</v>
      </c>
      <c r="G10" s="52">
        <v>45901</v>
      </c>
      <c r="H10" s="52" t="str">
        <f>Faturamento!$B804&amp;Faturamento!$G804</f>
        <v>10/2605731-545627</v>
      </c>
      <c r="I10" s="37" t="s">
        <v>435</v>
      </c>
      <c r="J10" s="194">
        <v>2565</v>
      </c>
      <c r="K10" s="3">
        <v>3219.9539999999997</v>
      </c>
      <c r="L10" s="3">
        <v>2387.5909945219505</v>
      </c>
      <c r="M10" s="5" t="s">
        <v>1489</v>
      </c>
      <c r="N10" s="53">
        <v>3099.1339999999996</v>
      </c>
      <c r="O10" s="53">
        <v>2266.77</v>
      </c>
      <c r="P10" s="52">
        <v>45933</v>
      </c>
      <c r="Q10" s="52">
        <v>45943</v>
      </c>
      <c r="R10" s="53">
        <f>O10</f>
        <v>2266.77</v>
      </c>
      <c r="S10" s="37"/>
      <c r="T10" s="51" t="s">
        <v>1492</v>
      </c>
      <c r="U10" s="51" t="s">
        <v>1493</v>
      </c>
      <c r="V10" s="37" t="s">
        <v>568</v>
      </c>
      <c r="W10" s="53">
        <f>R10</f>
        <v>2266.77</v>
      </c>
      <c r="X10" s="123">
        <f>IF(Faturamento!$V827="Pago",IFERROR(W10-R10,0),0)</f>
        <v>0</v>
      </c>
      <c r="Y10" s="52"/>
      <c r="Z10" s="52"/>
      <c r="AA10" s="5"/>
      <c r="AB10" s="5"/>
      <c r="AI10"/>
    </row>
    <row r="11" spans="1:35" hidden="1" x14ac:dyDescent="0.3">
      <c r="A11" s="5" t="str">
        <f>VLOOKUP(B11,base!A:M,11,FALSE)</f>
        <v>TRIFÁSICO</v>
      </c>
      <c r="B11" s="37" t="s">
        <v>259</v>
      </c>
      <c r="C11" s="56">
        <v>67991120875</v>
      </c>
      <c r="D11" s="59">
        <v>62955505015199</v>
      </c>
      <c r="E11" s="37" t="s">
        <v>433</v>
      </c>
      <c r="F11" s="37" t="s">
        <v>434</v>
      </c>
      <c r="G11" s="52">
        <v>45809</v>
      </c>
      <c r="H11" s="52" t="str">
        <f>Faturamento!$B530&amp;Faturamento!$G530</f>
        <v>10/395471-645658</v>
      </c>
      <c r="I11" s="37" t="s">
        <v>435</v>
      </c>
      <c r="J11" s="47">
        <v>2579</v>
      </c>
      <c r="K11" s="53">
        <v>3065.7900000000004</v>
      </c>
      <c r="L11" s="53">
        <v>2361.0523300925806</v>
      </c>
      <c r="M11" s="5" t="str">
        <f>IF(Faturamento!$S530&lt;&gt;"","Não emitido",IF(Faturamento!$I530="NÃO","Pendente Fatura", IF(Faturamento!$R530&lt;&gt;"","Aprovado",IF(Faturamento!$O530&lt;&gt;0,"Pendente Emissão","Processo de Calculo"))))</f>
        <v>Aprovado</v>
      </c>
      <c r="N11" s="53">
        <v>2970.3900000000003</v>
      </c>
      <c r="O11" s="53">
        <v>2227.79</v>
      </c>
      <c r="P11" s="52">
        <v>45860</v>
      </c>
      <c r="Q11" s="52">
        <v>45871</v>
      </c>
      <c r="R11" s="53">
        <v>2227.79</v>
      </c>
      <c r="S11" s="37"/>
      <c r="T11" s="51" t="s">
        <v>1013</v>
      </c>
      <c r="U11" s="51" t="s">
        <v>1014</v>
      </c>
      <c r="V11" s="37" t="s">
        <v>568</v>
      </c>
      <c r="W11" s="53">
        <v>2227.79</v>
      </c>
      <c r="X11" s="123">
        <f>IF(Faturamento!$V826="Pago",IFERROR(W11-R11,0),0)</f>
        <v>0</v>
      </c>
      <c r="Y11" s="52" t="s">
        <v>1015</v>
      </c>
      <c r="Z11" s="52"/>
      <c r="AA11" s="5"/>
      <c r="AB11" s="5"/>
      <c r="AI11"/>
    </row>
    <row r="12" spans="1:35" hidden="1" x14ac:dyDescent="0.3">
      <c r="A12" s="5" t="str">
        <f>VLOOKUP(B12,base!A:M,11,FALSE)</f>
        <v>TRIFÁSICO</v>
      </c>
      <c r="B12" s="37" t="s">
        <v>305</v>
      </c>
      <c r="C12" s="56" t="s">
        <v>278</v>
      </c>
      <c r="D12" s="59">
        <v>62955505393207</v>
      </c>
      <c r="E12" s="37" t="s">
        <v>433</v>
      </c>
      <c r="F12" s="37" t="s">
        <v>434</v>
      </c>
      <c r="G12" s="52">
        <v>45717</v>
      </c>
      <c r="H12" s="52" t="str">
        <f>Faturamento!$B240&amp;Faturamento!$G240</f>
        <v>10/63920-345931</v>
      </c>
      <c r="I12" s="37" t="s">
        <v>435</v>
      </c>
      <c r="J12" s="194">
        <v>2733</v>
      </c>
      <c r="K12" s="3">
        <v>3308.3</v>
      </c>
      <c r="L12" s="3">
        <v>2597.8525</v>
      </c>
      <c r="M12" s="5" t="str">
        <f>IF(Faturamento!$S240&lt;&gt;"","Não emitido",IF(Faturamento!$I240="NÃO","Pendente Fatura", IF(Faturamento!$R240&lt;&gt;"","Aprovado",IF(Faturamento!$O240&lt;&gt;0,"Pendente Emissão","Processo de Calculo"))))</f>
        <v>Aprovado</v>
      </c>
      <c r="N12" s="53">
        <v>2841.79</v>
      </c>
      <c r="O12" s="53">
        <v>2131.34</v>
      </c>
      <c r="P12" s="52"/>
      <c r="Q12" s="52"/>
      <c r="R12" s="53">
        <v>2131.34</v>
      </c>
      <c r="S12" s="37"/>
      <c r="T12" s="51" t="s">
        <v>781</v>
      </c>
      <c r="U12" s="51"/>
      <c r="V12" s="37" t="s">
        <v>568</v>
      </c>
      <c r="W12" s="53">
        <v>2131.34</v>
      </c>
      <c r="X12" s="123">
        <f>IF(Faturamento!$V825="Pago",IFERROR(W12-R12,0),0)</f>
        <v>0</v>
      </c>
      <c r="Y12" s="52"/>
      <c r="Z12" s="52"/>
      <c r="AA12" s="5"/>
      <c r="AB12" s="5"/>
      <c r="AI12" t="str">
        <f>VLOOKUP(B12,'[1]Conciliação - 032025'!$A:$L,12,FALSE)</f>
        <v>DEPÓSITO UNIFICADO ITAU - R$3.541,82 03/06/2025</v>
      </c>
    </row>
    <row r="13" spans="1:35" hidden="1" x14ac:dyDescent="0.3">
      <c r="A13" s="5" t="str">
        <f>VLOOKUP(B13,base!A:M,11,FALSE)</f>
        <v>TRIFÁSICO</v>
      </c>
      <c r="B13" s="37" t="s">
        <v>259</v>
      </c>
      <c r="C13" s="56">
        <v>67991120875</v>
      </c>
      <c r="D13" s="59">
        <v>62955505015199</v>
      </c>
      <c r="E13" s="37" t="s">
        <v>433</v>
      </c>
      <c r="F13" s="37" t="s">
        <v>434</v>
      </c>
      <c r="G13" s="52">
        <v>45748</v>
      </c>
      <c r="H13" s="52" t="str">
        <f>Faturamento!$B336&amp;Faturamento!$G336</f>
        <v>10/129490-945717</v>
      </c>
      <c r="I13" s="37" t="s">
        <v>435</v>
      </c>
      <c r="J13" s="47">
        <v>2722</v>
      </c>
      <c r="K13" s="53">
        <v>3042.89</v>
      </c>
      <c r="L13" s="53">
        <v>2336.3525048500001</v>
      </c>
      <c r="M13" s="5" t="str">
        <f>IF(Faturamento!$S336&lt;&gt;"","Não emitido",IF(Faturamento!$I336="NÃO","Pendente Fatura", IF(Faturamento!$R336&lt;&gt;"","Aprovado",IF(Faturamento!$O336&lt;&gt;0,"Pendente Emissão","Processo de Calculo"))))</f>
        <v>Aprovado</v>
      </c>
      <c r="N13" s="53">
        <v>2826.1499805999997</v>
      </c>
      <c r="O13" s="53">
        <v>2119.61</v>
      </c>
      <c r="P13" s="52"/>
      <c r="Q13" s="52"/>
      <c r="R13" s="53">
        <v>2119.61</v>
      </c>
      <c r="S13" s="37"/>
      <c r="T13" s="51" t="s">
        <v>839</v>
      </c>
      <c r="U13" s="51" t="e">
        <v>#N/A</v>
      </c>
      <c r="V13" s="37" t="s">
        <v>369</v>
      </c>
      <c r="W13" s="53">
        <v>0</v>
      </c>
      <c r="X13" s="123">
        <f>IF(Faturamento!$V152="Pago",IFERROR(W13-R13,0),0)</f>
        <v>-2119.61</v>
      </c>
      <c r="Y13" s="52"/>
      <c r="Z13" s="196" t="s">
        <v>1795</v>
      </c>
      <c r="AA13" s="5"/>
      <c r="AB13" s="5"/>
      <c r="AI13"/>
    </row>
    <row r="14" spans="1:35" hidden="1" x14ac:dyDescent="0.3">
      <c r="A14" s="5" t="str">
        <f>VLOOKUP(B14,base!A:M,11,FALSE)</f>
        <v>TRIFÁSICO</v>
      </c>
      <c r="B14" t="s">
        <v>259</v>
      </c>
      <c r="C14" s="1">
        <v>67991120875</v>
      </c>
      <c r="D14" s="60">
        <v>62955505015199</v>
      </c>
      <c r="E14" s="63" t="s">
        <v>433</v>
      </c>
      <c r="F14" t="s">
        <v>434</v>
      </c>
      <c r="G14" s="4">
        <v>45717</v>
      </c>
      <c r="H14" s="4" t="str">
        <f>Faturamento!$B239&amp;Faturamento!$G239</f>
        <v>10/40190-145658</v>
      </c>
      <c r="I14" t="s">
        <v>435</v>
      </c>
      <c r="J14" s="194">
        <v>2706</v>
      </c>
      <c r="K14" s="3">
        <v>3024.93</v>
      </c>
      <c r="L14" s="3">
        <v>2323.2125000000001</v>
      </c>
      <c r="M14" s="5" t="str">
        <f>IF(Faturamento!$S239&lt;&gt;"","Não emitido",IF(Faturamento!$I239="NÃO","Pendente Fatura", IF(Faturamento!$R239&lt;&gt;"","Aprovado",IF(Faturamento!$O239&lt;&gt;0,"Pendente Emissão","Processo de Calculo"))))</f>
        <v>Aprovado</v>
      </c>
      <c r="N14" s="3">
        <v>2806.8699999999994</v>
      </c>
      <c r="O14" s="3">
        <v>2105.15</v>
      </c>
      <c r="P14" s="4"/>
      <c r="Q14" s="4"/>
      <c r="R14" s="3">
        <v>2105.15</v>
      </c>
      <c r="S14"/>
      <c r="T14" s="51" t="s">
        <v>780</v>
      </c>
      <c r="U14" s="51"/>
      <c r="V14" t="s">
        <v>568</v>
      </c>
      <c r="W14" s="3">
        <v>2105.15</v>
      </c>
      <c r="X14" s="123">
        <f>IF(Faturamento!$V824="Pago",IFERROR(W14-R14,0),0)</f>
        <v>0</v>
      </c>
      <c r="Y14" s="4"/>
      <c r="Z14" s="4"/>
      <c r="AA14" s="5"/>
      <c r="AB14" s="5"/>
      <c r="AI14"/>
    </row>
    <row r="15" spans="1:35" hidden="1" x14ac:dyDescent="0.3">
      <c r="A15" s="5" t="str">
        <f>VLOOKUP(B15,base!A:M,11,FALSE)</f>
        <v>TRIFÁSICO</v>
      </c>
      <c r="B15" s="37" t="s">
        <v>259</v>
      </c>
      <c r="C15" s="56">
        <v>67991120875</v>
      </c>
      <c r="D15" s="59">
        <v>62955505015199</v>
      </c>
      <c r="E15" s="37" t="s">
        <v>433</v>
      </c>
      <c r="F15" s="37" t="s">
        <v>434</v>
      </c>
      <c r="G15" s="52">
        <v>45689</v>
      </c>
      <c r="H15" s="52" t="str">
        <f>Faturamento!$B170&amp;Faturamento!$G170</f>
        <v>10/1081489-545839</v>
      </c>
      <c r="I15" s="37" t="s">
        <v>435</v>
      </c>
      <c r="J15" s="47">
        <v>2675</v>
      </c>
      <c r="K15" s="53">
        <v>2986.0100000000007</v>
      </c>
      <c r="L15" s="53">
        <v>2292.3025000000007</v>
      </c>
      <c r="M15" s="5" t="str">
        <f>IF(Faturamento!$S170&lt;&gt;"","Não emitido",IF(Faturamento!$I170="NÃO","Pendente Fatura", IF(Faturamento!$R170&lt;&gt;"","Aprovado",IF(Faturamento!$O170&lt;&gt;0,"Pendente Emissão","Processo de Calculo"))))</f>
        <v>Aprovado</v>
      </c>
      <c r="N15" s="53">
        <v>2774.83</v>
      </c>
      <c r="O15" s="53">
        <v>2081.12</v>
      </c>
      <c r="P15" s="52"/>
      <c r="Q15" s="52"/>
      <c r="R15" s="53">
        <v>2081.12</v>
      </c>
      <c r="S15" s="37"/>
      <c r="T15" s="51" t="s">
        <v>730</v>
      </c>
      <c r="U15" s="51"/>
      <c r="V15" s="37" t="s">
        <v>568</v>
      </c>
      <c r="W15" s="53">
        <v>2081.12</v>
      </c>
      <c r="X15" s="123">
        <f>IF(Faturamento!$V823="Pago",IFERROR(W15-R15,0),0)</f>
        <v>0</v>
      </c>
      <c r="Y15" s="52"/>
      <c r="Z15" s="52"/>
      <c r="AA15" s="5"/>
      <c r="AB15" s="5"/>
      <c r="AI15"/>
    </row>
    <row r="16" spans="1:35" hidden="1" x14ac:dyDescent="0.3">
      <c r="A16" s="5" t="str">
        <f>VLOOKUP(B16,base!A:M,11,FALSE)</f>
        <v>TRIFÁSICO</v>
      </c>
      <c r="B16" s="37" t="s">
        <v>259</v>
      </c>
      <c r="C16" s="56">
        <v>67991120875</v>
      </c>
      <c r="D16" s="59">
        <v>62955505015199</v>
      </c>
      <c r="E16" s="37" t="s">
        <v>433</v>
      </c>
      <c r="F16" s="37" t="s">
        <v>434</v>
      </c>
      <c r="G16" s="52">
        <v>45658</v>
      </c>
      <c r="H16" s="52" t="str">
        <f>Faturamento!$B74&amp;Faturamento!$G74</f>
        <v>10/925970-645717</v>
      </c>
      <c r="I16" s="37" t="s">
        <v>435</v>
      </c>
      <c r="J16" s="194">
        <v>2468</v>
      </c>
      <c r="K16" s="3">
        <v>2959.6100000000006</v>
      </c>
      <c r="L16" s="3">
        <v>2270.8750000000005</v>
      </c>
      <c r="M16" s="5" t="str">
        <f>IF(Faturamento!$S74&lt;&gt;"","Não emitido",IF(Faturamento!$I74="NÃO","Pendente Fatura", IF(Faturamento!$R74&lt;&gt;"","Aprovado",IF(Faturamento!$O74&lt;&gt;0,"Pendente Emissão","Processo de Calculo"))))</f>
        <v>Aprovado</v>
      </c>
      <c r="N16" s="53">
        <v>2754.94</v>
      </c>
      <c r="O16" s="53">
        <v>2066.21</v>
      </c>
      <c r="P16" s="52"/>
      <c r="Q16" s="52"/>
      <c r="R16" s="53">
        <v>2066.21</v>
      </c>
      <c r="S16" s="37"/>
      <c r="T16" s="51" t="s">
        <v>633</v>
      </c>
      <c r="U16" s="51"/>
      <c r="V16" s="37" t="s">
        <v>568</v>
      </c>
      <c r="W16" s="53">
        <v>2066.21</v>
      </c>
      <c r="X16" s="123">
        <f>IF(Faturamento!$V822="Pago",IFERROR(W16-R16,0),0)</f>
        <v>0</v>
      </c>
      <c r="Y16" s="52"/>
      <c r="Z16" s="52"/>
      <c r="AA16" s="5"/>
      <c r="AB16" s="5"/>
      <c r="AI16"/>
    </row>
    <row r="17" spans="1:35" hidden="1" x14ac:dyDescent="0.3">
      <c r="A17" s="5" t="str">
        <f>VLOOKUP(B17,base!A:M,11,FALSE)</f>
        <v>TRIFÁSICO</v>
      </c>
      <c r="B17" t="s">
        <v>259</v>
      </c>
      <c r="C17" s="1">
        <v>67991120875</v>
      </c>
      <c r="D17" s="60">
        <v>62955505015199</v>
      </c>
      <c r="E17" s="63" t="s">
        <v>433</v>
      </c>
      <c r="F17" t="s">
        <v>434</v>
      </c>
      <c r="G17" s="4">
        <v>45778</v>
      </c>
      <c r="H17" s="4" t="str">
        <f>Faturamento!$B433&amp;Faturamento!$G433</f>
        <v>10/1035655-845778</v>
      </c>
      <c r="I17" t="s">
        <v>435</v>
      </c>
      <c r="J17" s="194">
        <v>2659</v>
      </c>
      <c r="K17" s="3">
        <v>2986.81</v>
      </c>
      <c r="L17" s="3">
        <v>2298.085</v>
      </c>
      <c r="M17" s="5" t="str">
        <f>IF(Faturamento!$S433&lt;&gt;"","Não emitido",IF(Faturamento!$I433="NÃO","Pendente Fatura", IF(Faturamento!$R433&lt;&gt;"","Aprovado",IF(Faturamento!$O433&lt;&gt;0,"Pendente Emissão","Processo de Calculo"))))</f>
        <v>Aprovado</v>
      </c>
      <c r="N17" s="3">
        <v>2754.8999999999996</v>
      </c>
      <c r="O17" s="3">
        <v>2066.1799999999998</v>
      </c>
      <c r="P17" s="4"/>
      <c r="Q17" s="4"/>
      <c r="R17" s="3">
        <v>2066.1799999999998</v>
      </c>
      <c r="S17"/>
      <c r="T17" s="51" t="s">
        <v>928</v>
      </c>
      <c r="U17" s="51"/>
      <c r="V17" t="s">
        <v>369</v>
      </c>
      <c r="W17" s="3">
        <v>0</v>
      </c>
      <c r="X17" s="123">
        <f>IF(Faturamento!$V174="Pago",IFERROR(W17-R17,0),0)</f>
        <v>-2066.1799999999998</v>
      </c>
      <c r="Y17" s="4"/>
      <c r="Z17" s="196" t="s">
        <v>1795</v>
      </c>
      <c r="AA17" s="5"/>
      <c r="AB17" s="5"/>
      <c r="AI17"/>
    </row>
    <row r="18" spans="1:35" hidden="1" x14ac:dyDescent="0.3">
      <c r="A18" s="5" t="str">
        <f>VLOOKUP(B18,base!A:M,11,FALSE)</f>
        <v>TRIFÁSICO</v>
      </c>
      <c r="B18" t="s">
        <v>305</v>
      </c>
      <c r="C18" s="56" t="s">
        <v>278</v>
      </c>
      <c r="D18">
        <v>62955505016160</v>
      </c>
      <c r="E18" s="37" t="s">
        <v>433</v>
      </c>
      <c r="F18" t="s">
        <v>108</v>
      </c>
      <c r="G18" s="4">
        <v>45931</v>
      </c>
      <c r="H18" s="52" t="str">
        <f>Faturamento!$B934&amp;Faturamento!$G934</f>
        <v>10/2344751-945778</v>
      </c>
      <c r="I18" s="37" t="s">
        <v>435</v>
      </c>
      <c r="J18" s="194">
        <v>1901</v>
      </c>
      <c r="K18" s="3">
        <v>2715.2642570918474</v>
      </c>
      <c r="L18" s="3">
        <v>2062.9084615717707</v>
      </c>
      <c r="M18" s="5" t="s">
        <v>1489</v>
      </c>
      <c r="N18" s="53">
        <v>2332.5142570918474</v>
      </c>
      <c r="O18" s="53">
        <v>1680.16</v>
      </c>
      <c r="P18" s="52">
        <v>45967</v>
      </c>
      <c r="Q18" s="52">
        <v>45974</v>
      </c>
      <c r="R18" s="53">
        <v>1680.16</v>
      </c>
      <c r="S18" s="37"/>
      <c r="T18" s="3" t="str">
        <f>D18&amp;R18</f>
        <v>629555050161601680,16</v>
      </c>
      <c r="U18" s="3" t="s">
        <v>1746</v>
      </c>
      <c r="V18" s="37" t="s">
        <v>568</v>
      </c>
      <c r="W18" s="13">
        <f>R18</f>
        <v>1680.16</v>
      </c>
      <c r="X18" s="124">
        <f>IF(Faturamento!$V936="Pago",IFERROR(W18-R18,0),0)</f>
        <v>0</v>
      </c>
    </row>
    <row r="19" spans="1:35" hidden="1" x14ac:dyDescent="0.3">
      <c r="A19" s="5" t="str">
        <f>VLOOKUP(B19,base!A:M,11,FALSE)</f>
        <v>TRIFÁSICO</v>
      </c>
      <c r="B19" t="s">
        <v>305</v>
      </c>
      <c r="C19" s="1" t="s">
        <v>278</v>
      </c>
      <c r="D19" s="60">
        <v>62955505393207</v>
      </c>
      <c r="E19" s="63" t="s">
        <v>433</v>
      </c>
      <c r="F19" t="s">
        <v>434</v>
      </c>
      <c r="G19" s="4">
        <v>45748</v>
      </c>
      <c r="H19" s="4" t="str">
        <f>Faturamento!$B337&amp;Faturamento!$G337</f>
        <v>10/109074-545748</v>
      </c>
      <c r="I19" t="s">
        <v>435</v>
      </c>
      <c r="J19" s="47">
        <v>2042</v>
      </c>
      <c r="K19" s="53">
        <v>2540.4899999999998</v>
      </c>
      <c r="L19" s="53">
        <v>1993.3099999999997</v>
      </c>
      <c r="M19" s="5" t="str">
        <f>IF(Faturamento!$S337&lt;&gt;"","Não emitido",IF(Faturamento!$I337="NÃO","Pendente Fatura", IF(Faturamento!$R337&lt;&gt;"","Aprovado",IF(Faturamento!$O337&lt;&gt;0,"Pendente Emissão","Processo de Calculo"))))</f>
        <v>Aprovado</v>
      </c>
      <c r="N19" s="3">
        <v>2188.7200000000003</v>
      </c>
      <c r="O19" s="3">
        <v>1641.54</v>
      </c>
      <c r="P19" s="4"/>
      <c r="Q19" s="4"/>
      <c r="R19" s="3">
        <v>1641.54</v>
      </c>
      <c r="S19"/>
      <c r="T19" s="51" t="s">
        <v>840</v>
      </c>
      <c r="U19" s="51"/>
      <c r="V19" t="s">
        <v>568</v>
      </c>
      <c r="W19" s="3">
        <v>1641.54</v>
      </c>
      <c r="X19" s="123">
        <f>IF(Faturamento!$V821="Pago",IFERROR(W19-R19,0),0)</f>
        <v>0</v>
      </c>
      <c r="Y19" s="4"/>
      <c r="Z19" s="4"/>
      <c r="AA19" s="5"/>
      <c r="AB19" s="5"/>
      <c r="AI19"/>
    </row>
    <row r="20" spans="1:35" hidden="1" x14ac:dyDescent="0.3">
      <c r="A20" s="5" t="str">
        <f>VLOOKUP(B20,base!A:M,11,FALSE)</f>
        <v>TRIFÁSICO</v>
      </c>
      <c r="B20" t="s">
        <v>305</v>
      </c>
      <c r="C20" s="1" t="s">
        <v>278</v>
      </c>
      <c r="D20" s="60">
        <v>62955505393207</v>
      </c>
      <c r="E20" s="63" t="s">
        <v>433</v>
      </c>
      <c r="F20" t="s">
        <v>434</v>
      </c>
      <c r="G20" s="4">
        <v>45689</v>
      </c>
      <c r="H20" s="4" t="str">
        <f>Faturamento!$B177&amp;Faturamento!$G177</f>
        <v>10/3092868-345931</v>
      </c>
      <c r="I20" t="s">
        <v>435</v>
      </c>
      <c r="J20" s="47">
        <v>1810</v>
      </c>
      <c r="K20" s="53">
        <v>2324.4</v>
      </c>
      <c r="L20" s="53">
        <v>1854.2399999999998</v>
      </c>
      <c r="M20" s="5" t="str">
        <f>IF(Faturamento!$S177&lt;&gt;"","Não emitido",IF(Faturamento!$I177="NÃO","Pendente Fatura", IF(Faturamento!$R177&lt;&gt;"","Aprovado",IF(Faturamento!$O177&lt;&gt;0,"Pendente Emissão","Processo de Calculo"))))</f>
        <v>Aprovado</v>
      </c>
      <c r="N20" s="3">
        <v>1880.64</v>
      </c>
      <c r="O20" s="3">
        <v>1410.48</v>
      </c>
      <c r="P20" s="4"/>
      <c r="Q20" s="4"/>
      <c r="R20" s="3">
        <v>1410.48</v>
      </c>
      <c r="S20"/>
      <c r="T20" s="51" t="s">
        <v>737</v>
      </c>
      <c r="U20" s="51"/>
      <c r="V20" t="s">
        <v>568</v>
      </c>
      <c r="W20" s="3">
        <v>1410.48</v>
      </c>
      <c r="X20" s="123">
        <f>IF(Faturamento!$V820="Pago",IFERROR(W20-R20,0),0)</f>
        <v>0</v>
      </c>
      <c r="Y20" s="4"/>
      <c r="Z20" s="4"/>
      <c r="AA20" s="5"/>
      <c r="AB20" s="5"/>
      <c r="AI20"/>
    </row>
    <row r="21" spans="1:35" hidden="1" x14ac:dyDescent="0.3">
      <c r="A21" s="5" t="str">
        <f>VLOOKUP(B21,base!A:M,11,FALSE)</f>
        <v>TRIFÁSICO</v>
      </c>
      <c r="B21" t="s">
        <v>220</v>
      </c>
      <c r="C21" s="1">
        <v>67992637973</v>
      </c>
      <c r="D21" s="60">
        <v>62955505017213</v>
      </c>
      <c r="E21" s="63" t="s">
        <v>433</v>
      </c>
      <c r="F21" t="s">
        <v>434</v>
      </c>
      <c r="G21" s="4">
        <v>45658</v>
      </c>
      <c r="H21" s="4" t="str">
        <f>Faturamento!$B67&amp;Faturamento!$G67</f>
        <v>10/202838-945901</v>
      </c>
      <c r="I21" t="s">
        <v>435</v>
      </c>
      <c r="J21" s="194">
        <v>1682</v>
      </c>
      <c r="K21" s="3">
        <v>2029.18</v>
      </c>
      <c r="L21" s="3">
        <v>1593.43</v>
      </c>
      <c r="M21" s="5" t="str">
        <f>IF(Faturamento!$S67&lt;&gt;"","Não emitido",IF(Faturamento!$I67="NÃO","Pendente Fatura", IF(Faturamento!$R67&lt;&gt;"","Aprovado",IF(Faturamento!$O67&lt;&gt;0,"Pendente Emissão","Processo de Calculo"))))</f>
        <v>Aprovado</v>
      </c>
      <c r="N21" s="3">
        <v>1743.0000000000002</v>
      </c>
      <c r="O21" s="3">
        <v>1307.25</v>
      </c>
      <c r="P21" s="4"/>
      <c r="Q21" s="4"/>
      <c r="R21" s="3">
        <v>1307.25</v>
      </c>
      <c r="S21"/>
      <c r="T21" s="51" t="s">
        <v>628</v>
      </c>
      <c r="U21" s="51"/>
      <c r="V21" t="s">
        <v>568</v>
      </c>
      <c r="W21" s="3">
        <v>1307.25</v>
      </c>
      <c r="X21" s="123">
        <f>IF(Faturamento!$V819="Pago",IFERROR(W21-R21,0),0)</f>
        <v>0</v>
      </c>
      <c r="Y21" s="4"/>
      <c r="Z21" s="4"/>
      <c r="AA21" s="5"/>
      <c r="AB21" s="5"/>
      <c r="AI21"/>
    </row>
    <row r="22" spans="1:35" hidden="1" x14ac:dyDescent="0.3">
      <c r="A22" s="5" t="str">
        <f>VLOOKUP(B22,base!A:M,11,FALSE)</f>
        <v>TRIFÁSICO</v>
      </c>
      <c r="B22" t="s">
        <v>259</v>
      </c>
      <c r="C22" s="56">
        <v>67991120875</v>
      </c>
      <c r="D22">
        <v>62955505015199</v>
      </c>
      <c r="E22" s="37" t="s">
        <v>433</v>
      </c>
      <c r="F22" t="s">
        <v>108</v>
      </c>
      <c r="G22" s="4">
        <v>45931</v>
      </c>
      <c r="H22" s="52" t="str">
        <f>Faturamento!$B935&amp;Faturamento!$G935</f>
        <v>10/31292-645778</v>
      </c>
      <c r="I22" s="37" t="s">
        <v>435</v>
      </c>
      <c r="J22" s="194">
        <v>1399</v>
      </c>
      <c r="K22" s="3">
        <v>3275.3773933649286</v>
      </c>
      <c r="L22" s="3">
        <v>2794.8836086181395</v>
      </c>
      <c r="M22" s="5" t="s">
        <v>1489</v>
      </c>
      <c r="N22" s="53">
        <v>1718.0173933649287</v>
      </c>
      <c r="O22" s="53">
        <v>1237.52</v>
      </c>
      <c r="P22" s="52">
        <v>45967</v>
      </c>
      <c r="Q22" s="52">
        <v>45974</v>
      </c>
      <c r="R22" s="53">
        <v>1237.52</v>
      </c>
      <c r="S22" s="37"/>
      <c r="T22" s="3" t="str">
        <f>D22&amp;R22</f>
        <v>629555050151991237,52</v>
      </c>
      <c r="U22" s="3" t="s">
        <v>1747</v>
      </c>
      <c r="V22" s="37" t="s">
        <v>568</v>
      </c>
      <c r="W22" s="13">
        <f>R22</f>
        <v>1237.52</v>
      </c>
      <c r="X22" s="124">
        <f>IF(Faturamento!$V937="Pago",IFERROR(W22-R22,0),0)</f>
        <v>0</v>
      </c>
    </row>
    <row r="23" spans="1:35" hidden="1" x14ac:dyDescent="0.3">
      <c r="A23" s="5" t="str">
        <f>VLOOKUP(B23,base!A:M,11,FALSE)</f>
        <v>TRIFÁSICO</v>
      </c>
      <c r="B23" s="37" t="s">
        <v>305</v>
      </c>
      <c r="C23" s="56" t="s">
        <v>278</v>
      </c>
      <c r="D23" s="59">
        <v>62955505393207</v>
      </c>
      <c r="E23" s="37" t="s">
        <v>433</v>
      </c>
      <c r="F23" s="37" t="s">
        <v>434</v>
      </c>
      <c r="G23" s="52">
        <v>45778</v>
      </c>
      <c r="H23" s="52" t="str">
        <f>Faturamento!$B434&amp;Faturamento!$G434</f>
        <v>10/162736-345748</v>
      </c>
      <c r="I23" s="37" t="s">
        <v>435</v>
      </c>
      <c r="J23" s="194">
        <v>1458</v>
      </c>
      <c r="K23" s="3">
        <v>2221.764890979051</v>
      </c>
      <c r="L23" s="3">
        <v>1810.298668234288</v>
      </c>
      <c r="M23" s="5" t="str">
        <f>IF(Faturamento!$S434&lt;&gt;"","Não emitido",IF(Faturamento!$I434="NÃO","Pendente Fatura", IF(Faturamento!$R434&lt;&gt;"","Aprovado",IF(Faturamento!$O434&lt;&gt;0,"Pendente Emissão","Processo de Calculo"))))</f>
        <v>Aprovado</v>
      </c>
      <c r="N23" s="53">
        <v>1645.8648909790506</v>
      </c>
      <c r="O23" s="53">
        <v>1234.4000000000001</v>
      </c>
      <c r="P23" s="52"/>
      <c r="Q23" s="52"/>
      <c r="R23" s="53">
        <v>1234.4000000000001</v>
      </c>
      <c r="S23" s="37"/>
      <c r="T23" s="51" t="s">
        <v>929</v>
      </c>
      <c r="U23" s="51"/>
      <c r="V23" s="37" t="s">
        <v>568</v>
      </c>
      <c r="W23" s="53">
        <v>1234.4000000000001</v>
      </c>
      <c r="X23" s="123">
        <f>IF(Faturamento!$V818="Pago",IFERROR(W23-R23,0),0)</f>
        <v>0</v>
      </c>
      <c r="Y23" s="52"/>
      <c r="Z23" s="52"/>
      <c r="AA23" s="5"/>
      <c r="AB23" s="5"/>
      <c r="AI23"/>
    </row>
    <row r="24" spans="1:35" hidden="1" x14ac:dyDescent="0.3">
      <c r="A24" s="5" t="str">
        <f>VLOOKUP(B24,base!A:M,11,FALSE)</f>
        <v>TRIFÁSICO</v>
      </c>
      <c r="B24" s="37" t="s">
        <v>220</v>
      </c>
      <c r="C24" s="56">
        <v>67992637973</v>
      </c>
      <c r="D24" s="59">
        <v>62955505017213</v>
      </c>
      <c r="E24" s="37" t="s">
        <v>433</v>
      </c>
      <c r="F24" s="37" t="s">
        <v>434</v>
      </c>
      <c r="G24" s="52">
        <v>45689</v>
      </c>
      <c r="H24" s="52" t="str">
        <f>Faturamento!$B164&amp;Faturamento!$G164</f>
        <v>10/399338-345778</v>
      </c>
      <c r="I24" s="37" t="s">
        <v>435</v>
      </c>
      <c r="J24" s="47">
        <v>1500</v>
      </c>
      <c r="K24" s="53">
        <v>1894.11</v>
      </c>
      <c r="L24" s="53">
        <v>1506.335</v>
      </c>
      <c r="M24" s="5" t="str">
        <f>IF(Faturamento!$S164&lt;&gt;"","Não emitido",IF(Faturamento!$I164="NÃO","Pendente Fatura", IF(Faturamento!$R164&lt;&gt;"","Aprovado",IF(Faturamento!$O164&lt;&gt;0,"Pendente Emissão","Processo de Calculo"))))</f>
        <v>Aprovado</v>
      </c>
      <c r="N24" s="53">
        <v>1551.0999999999997</v>
      </c>
      <c r="O24" s="53">
        <v>1163.33</v>
      </c>
      <c r="P24" s="52"/>
      <c r="Q24" s="52"/>
      <c r="R24" s="53">
        <v>1163.33</v>
      </c>
      <c r="S24" s="37"/>
      <c r="T24" s="51" t="s">
        <v>725</v>
      </c>
      <c r="U24" s="51"/>
      <c r="V24" s="37" t="s">
        <v>568</v>
      </c>
      <c r="W24" s="53">
        <v>1163.33</v>
      </c>
      <c r="X24" s="123">
        <f>IF(Faturamento!$V817="Pago",IFERROR(W24-R24,0),0)</f>
        <v>0</v>
      </c>
      <c r="Y24" s="52"/>
      <c r="Z24" s="52"/>
      <c r="AA24" s="5"/>
      <c r="AB24" s="5"/>
      <c r="AI24"/>
    </row>
    <row r="25" spans="1:35" hidden="1" x14ac:dyDescent="0.3">
      <c r="A25" s="5" t="str">
        <f>VLOOKUP(B25,base!A:M,11,FALSE)</f>
        <v>TRIFÁSICO</v>
      </c>
      <c r="B25" s="37" t="s">
        <v>218</v>
      </c>
      <c r="C25" s="56">
        <v>67991120875</v>
      </c>
      <c r="D25" s="59">
        <v>62955505379395</v>
      </c>
      <c r="E25" s="37" t="s">
        <v>433</v>
      </c>
      <c r="F25" s="37" t="s">
        <v>434</v>
      </c>
      <c r="G25" s="52">
        <v>45717</v>
      </c>
      <c r="H25" s="52" t="str">
        <f>Faturamento!$B276&amp;Faturamento!$G276</f>
        <v>10/76927-345658</v>
      </c>
      <c r="I25" s="37" t="s">
        <v>435</v>
      </c>
      <c r="J25" s="194">
        <v>1430</v>
      </c>
      <c r="K25" s="3">
        <v>1598.22</v>
      </c>
      <c r="L25" s="3">
        <v>1231.5075000000002</v>
      </c>
      <c r="M25" s="5" t="str">
        <f>IF(Faturamento!$S276&lt;&gt;"","Não emitido",IF(Faturamento!$I276="NÃO","Pendente Fatura", IF(Faturamento!$R276&lt;&gt;"","Aprovado",IF(Faturamento!$O276&lt;&gt;0,"Pendente Emissão","Processo de Calculo"))))</f>
        <v>Aprovado</v>
      </c>
      <c r="N25" s="53">
        <v>1466.85</v>
      </c>
      <c r="O25" s="53">
        <v>1100.1400000000001</v>
      </c>
      <c r="P25" s="52"/>
      <c r="Q25" s="52"/>
      <c r="R25" s="53">
        <v>1100.1400000000001</v>
      </c>
      <c r="S25" s="37"/>
      <c r="T25" s="51" t="s">
        <v>816</v>
      </c>
      <c r="U25" s="51"/>
      <c r="V25" s="37" t="s">
        <v>568</v>
      </c>
      <c r="W25" s="53">
        <v>1100.1400000000001</v>
      </c>
      <c r="X25" s="123">
        <f>IF(Faturamento!$V816="Pago",IFERROR(W25-R25,0),0)</f>
        <v>0</v>
      </c>
      <c r="Y25" s="52"/>
      <c r="Z25" s="52"/>
      <c r="AA25" s="5"/>
      <c r="AB25" s="5"/>
      <c r="AI25"/>
    </row>
    <row r="26" spans="1:35" hidden="1" x14ac:dyDescent="0.3">
      <c r="A26" s="5" t="str">
        <f>VLOOKUP(B26,base!A:M,11,FALSE)</f>
        <v>TRIFÁSICO</v>
      </c>
      <c r="B26" t="s">
        <v>220</v>
      </c>
      <c r="C26" s="56">
        <v>67992637973</v>
      </c>
      <c r="D26">
        <v>62955505017213</v>
      </c>
      <c r="E26" s="37" t="s">
        <v>433</v>
      </c>
      <c r="F26" t="s">
        <v>108</v>
      </c>
      <c r="G26" s="4">
        <v>45931</v>
      </c>
      <c r="H26" s="52" t="str">
        <f>Faturamento!$B938&amp;Faturamento!$G938</f>
        <v>10/113971-645809</v>
      </c>
      <c r="I26" s="37" t="s">
        <v>435</v>
      </c>
      <c r="J26" s="194">
        <v>1216</v>
      </c>
      <c r="K26" s="3">
        <v>1692.8924000000002</v>
      </c>
      <c r="L26" s="3">
        <v>1284.0985796506814</v>
      </c>
      <c r="M26" s="5" t="s">
        <v>1489</v>
      </c>
      <c r="N26" s="53">
        <v>1461.6524000000002</v>
      </c>
      <c r="O26" s="53">
        <v>1052.8599999999999</v>
      </c>
      <c r="P26" s="52">
        <v>45967</v>
      </c>
      <c r="Q26" s="52">
        <v>45974</v>
      </c>
      <c r="R26" s="53">
        <v>1052.8599999999999</v>
      </c>
      <c r="S26" s="37"/>
      <c r="T26" s="3" t="str">
        <f>D26&amp;R26</f>
        <v>629555050172131052,86</v>
      </c>
      <c r="U26" s="3" t="s">
        <v>1750</v>
      </c>
      <c r="V26" s="37" t="s">
        <v>568</v>
      </c>
      <c r="W26" s="13">
        <f>R26</f>
        <v>1052.8599999999999</v>
      </c>
      <c r="X26" s="124">
        <f>IF(Faturamento!$V940="Pago",IFERROR(W26-R26,0),0)</f>
        <v>0</v>
      </c>
    </row>
    <row r="27" spans="1:35" hidden="1" x14ac:dyDescent="0.3">
      <c r="A27" s="5" t="str">
        <f>VLOOKUP(B27,base!A:M,11,FALSE)</f>
        <v>TRIFÁSICO</v>
      </c>
      <c r="B27" t="s">
        <v>218</v>
      </c>
      <c r="C27" s="56">
        <v>67991120875</v>
      </c>
      <c r="D27">
        <v>62955505379395</v>
      </c>
      <c r="E27" s="37" t="s">
        <v>433</v>
      </c>
      <c r="F27" t="s">
        <v>108</v>
      </c>
      <c r="G27" s="4">
        <v>45931</v>
      </c>
      <c r="H27" s="52" t="str">
        <f>Faturamento!$B940&amp;Faturamento!$G940</f>
        <v>10/1433087-245809</v>
      </c>
      <c r="I27" s="37" t="s">
        <v>435</v>
      </c>
      <c r="J27" s="194">
        <v>1171</v>
      </c>
      <c r="K27" s="3">
        <v>1568.9311000000002</v>
      </c>
      <c r="L27" s="3">
        <v>1165.3788320370852</v>
      </c>
      <c r="M27" s="5" t="s">
        <v>1489</v>
      </c>
      <c r="N27" s="53">
        <v>1442.9111</v>
      </c>
      <c r="O27" s="53">
        <v>1039.3599999999999</v>
      </c>
      <c r="P27" s="52">
        <v>45967</v>
      </c>
      <c r="Q27" s="52">
        <v>45974</v>
      </c>
      <c r="R27" s="53">
        <v>1039.3599999999999</v>
      </c>
      <c r="S27" s="37"/>
      <c r="T27" s="3" t="str">
        <f>D27&amp;R27</f>
        <v>629555053793951039,36</v>
      </c>
      <c r="U27" s="3" t="s">
        <v>1752</v>
      </c>
      <c r="V27" s="37" t="s">
        <v>568</v>
      </c>
      <c r="W27" s="13">
        <f>R27</f>
        <v>1039.3599999999999</v>
      </c>
      <c r="X27" s="124">
        <f>IF(Faturamento!$V942="Pago",IFERROR(W27-R27,0),0)</f>
        <v>0</v>
      </c>
    </row>
    <row r="28" spans="1:35" hidden="1" x14ac:dyDescent="0.3">
      <c r="A28" s="5" t="str">
        <f>VLOOKUP(B28,base!A:M,11,FALSE)</f>
        <v>TRIFÁSICO</v>
      </c>
      <c r="B28" t="s">
        <v>305</v>
      </c>
      <c r="C28" s="1" t="s">
        <v>278</v>
      </c>
      <c r="D28" s="60">
        <v>62955505393207</v>
      </c>
      <c r="E28" s="63" t="s">
        <v>433</v>
      </c>
      <c r="F28" t="s">
        <v>434</v>
      </c>
      <c r="G28" s="4">
        <v>45658</v>
      </c>
      <c r="H28" s="4" t="str">
        <f>Faturamento!$B81&amp;Faturamento!$G81</f>
        <v>10/1674177-945931</v>
      </c>
      <c r="I28" t="s">
        <v>435</v>
      </c>
      <c r="J28" s="194">
        <v>1233</v>
      </c>
      <c r="K28" s="3">
        <v>2315.08</v>
      </c>
      <c r="L28" s="3">
        <v>1970.9925000000003</v>
      </c>
      <c r="M28" s="5" t="str">
        <f>IF(Faturamento!$S81&lt;&gt;"","Não emitido",IF(Faturamento!$I81="NÃO","Pendente Fatura", IF(Faturamento!$R81&lt;&gt;"","Aprovado",IF(Faturamento!$O81&lt;&gt;0,"Pendente Emissão","Processo de Calculo"))))</f>
        <v>Aprovado</v>
      </c>
      <c r="N28" s="3">
        <v>1376.35</v>
      </c>
      <c r="O28" s="3">
        <v>1032.26</v>
      </c>
      <c r="P28" s="4"/>
      <c r="Q28" s="4"/>
      <c r="R28" s="3">
        <v>1032.26</v>
      </c>
      <c r="S28"/>
      <c r="T28" s="51" t="s">
        <v>640</v>
      </c>
      <c r="U28" s="51"/>
      <c r="V28" t="s">
        <v>568</v>
      </c>
      <c r="W28" s="3">
        <v>1032.26</v>
      </c>
      <c r="X28" s="123">
        <f>IF(Faturamento!$V815="Pago",IFERROR(W28-R28,0),0)</f>
        <v>0</v>
      </c>
      <c r="Y28" s="4"/>
      <c r="Z28" s="4"/>
      <c r="AA28" s="5"/>
      <c r="AB28" s="5"/>
      <c r="AI28"/>
    </row>
    <row r="29" spans="1:35" hidden="1" x14ac:dyDescent="0.3">
      <c r="A29" s="5" t="str">
        <f>VLOOKUP(B29,base!A:M,11,FALSE)</f>
        <v>TRIFÁSICO</v>
      </c>
      <c r="B29" t="s">
        <v>194</v>
      </c>
      <c r="C29" s="56">
        <v>67996266684</v>
      </c>
      <c r="D29">
        <v>62955505016080</v>
      </c>
      <c r="E29" s="37" t="s">
        <v>433</v>
      </c>
      <c r="F29" t="s">
        <v>108</v>
      </c>
      <c r="G29" s="4">
        <v>45931</v>
      </c>
      <c r="H29" s="52" t="str">
        <f>Faturamento!$B936&amp;Faturamento!$G936</f>
        <v>10/18015-845809</v>
      </c>
      <c r="I29" s="37" t="s">
        <v>435</v>
      </c>
      <c r="J29" s="194">
        <v>1150</v>
      </c>
      <c r="K29" s="3">
        <v>1509.5350000000001</v>
      </c>
      <c r="L29" s="3">
        <v>1121.1262716885208</v>
      </c>
      <c r="M29" s="5" t="s">
        <v>1489</v>
      </c>
      <c r="N29" s="53">
        <v>1388.7650000000003</v>
      </c>
      <c r="O29" s="53">
        <v>1000.36</v>
      </c>
      <c r="P29" s="52">
        <v>45967</v>
      </c>
      <c r="Q29" s="52">
        <v>45974</v>
      </c>
      <c r="R29" s="53">
        <v>1000.36</v>
      </c>
      <c r="S29" s="37"/>
      <c r="T29" s="3" t="str">
        <f>D29&amp;R29</f>
        <v>629555050160801000,36</v>
      </c>
      <c r="U29" s="3" t="s">
        <v>1748</v>
      </c>
      <c r="V29" s="37" t="s">
        <v>568</v>
      </c>
      <c r="W29" s="13">
        <f>R29</f>
        <v>1000.36</v>
      </c>
      <c r="X29" s="124">
        <f>IF(Faturamento!$V938="Pago",IFERROR(W29-R29,0),0)</f>
        <v>0</v>
      </c>
    </row>
    <row r="30" spans="1:35" hidden="1" x14ac:dyDescent="0.3">
      <c r="A30" s="5" t="e">
        <f>VLOOKUP(B30,base!A:M,11,FALSE)</f>
        <v>#N/A</v>
      </c>
      <c r="B30" s="37" t="s">
        <v>699</v>
      </c>
      <c r="C30" s="56" t="e">
        <v>#N/A</v>
      </c>
      <c r="D30" s="59">
        <v>62955505035629</v>
      </c>
      <c r="E30" s="37" t="s">
        <v>433</v>
      </c>
      <c r="F30" s="37" t="s">
        <v>434</v>
      </c>
      <c r="G30" s="52">
        <v>45717</v>
      </c>
      <c r="H30" s="52" t="str">
        <f>Faturamento!$B282&amp;Faturamento!$G282</f>
        <v>10/127464-645870</v>
      </c>
      <c r="I30" s="37" t="s">
        <v>435</v>
      </c>
      <c r="J30" s="194">
        <v>1313</v>
      </c>
      <c r="M30" s="5" t="str">
        <f>IF(Faturamento!$S282&lt;&gt;"","Não emitido",IF(Faturamento!$I282="NÃO","Pendente Fatura", IF(Faturamento!$R282&lt;&gt;"","Aprovado",IF(Faturamento!$O282&lt;&gt;0,"Pendente Emissão","Processo de Calculo"))))</f>
        <v>Aprovado</v>
      </c>
      <c r="N30" s="53">
        <v>1278.94</v>
      </c>
      <c r="O30" s="53">
        <v>959.21</v>
      </c>
      <c r="P30" s="52"/>
      <c r="Q30" s="52"/>
      <c r="R30" s="53"/>
      <c r="S30" s="37" t="s">
        <v>708</v>
      </c>
      <c r="T30" s="51" t="s">
        <v>822</v>
      </c>
      <c r="U30" s="51"/>
      <c r="V30" s="37" t="s">
        <v>438</v>
      </c>
      <c r="W30" s="53">
        <v>0</v>
      </c>
      <c r="X30" s="123">
        <f>IF(Faturamento!$V111="Pago",IFERROR(W30-R30,0),0)</f>
        <v>0</v>
      </c>
      <c r="Y30" s="52"/>
      <c r="Z30" s="52"/>
      <c r="AA30" s="5"/>
      <c r="AB30" s="5"/>
      <c r="AI30"/>
    </row>
    <row r="31" spans="1:35" hidden="1" x14ac:dyDescent="0.3">
      <c r="A31" s="5" t="str">
        <f>VLOOKUP(B31,base!A:M,11,FALSE)</f>
        <v>TRIFÁSICO</v>
      </c>
      <c r="B31" s="37" t="s">
        <v>194</v>
      </c>
      <c r="C31" s="56">
        <v>67996266684</v>
      </c>
      <c r="D31" s="59">
        <v>62955505016080</v>
      </c>
      <c r="E31" s="37" t="s">
        <v>433</v>
      </c>
      <c r="F31" s="37" t="s">
        <v>434</v>
      </c>
      <c r="G31" s="52">
        <v>45658</v>
      </c>
      <c r="H31" s="52" t="str">
        <f>Faturamento!$B58&amp;Faturamento!$G58</f>
        <v>10/2605731-545870</v>
      </c>
      <c r="I31" s="37" t="s">
        <v>435</v>
      </c>
      <c r="J31" s="194">
        <v>1161</v>
      </c>
      <c r="K31" s="3">
        <v>1414.3000000000002</v>
      </c>
      <c r="L31" s="3">
        <v>1100.9575</v>
      </c>
      <c r="M31" s="5" t="str">
        <f>IF(Faturamento!$S58&lt;&gt;"","Não emitido",IF(Faturamento!$I58="NÃO","Pendente Fatura", IF(Faturamento!$R58&lt;&gt;"","Aprovado",IF(Faturamento!$O58&lt;&gt;0,"Pendente Emissão","Processo de Calculo"))))</f>
        <v>Aprovado</v>
      </c>
      <c r="N31" s="53">
        <v>1253.3699999999999</v>
      </c>
      <c r="O31" s="53">
        <v>940.03</v>
      </c>
      <c r="P31" s="52"/>
      <c r="Q31" s="52"/>
      <c r="R31" s="53">
        <v>940.03</v>
      </c>
      <c r="S31" s="37"/>
      <c r="T31" s="51" t="s">
        <v>603</v>
      </c>
      <c r="U31" s="51"/>
      <c r="V31" s="37" t="s">
        <v>568</v>
      </c>
      <c r="W31" s="53">
        <v>940.03</v>
      </c>
      <c r="X31" s="123">
        <f>IF(Faturamento!$V814="Pago",IFERROR(W31-R31,0),0)</f>
        <v>0</v>
      </c>
      <c r="Y31" s="52"/>
      <c r="Z31" s="52"/>
      <c r="AA31" s="5">
        <v>283032</v>
      </c>
      <c r="AB31" s="5">
        <v>502</v>
      </c>
      <c r="AC31" s="5" t="s">
        <v>434</v>
      </c>
      <c r="AD31" s="5" t="s">
        <v>604</v>
      </c>
      <c r="AE31" s="5">
        <v>64.91</v>
      </c>
      <c r="AG31" s="5" t="s">
        <v>605</v>
      </c>
      <c r="AH31" s="5" t="s">
        <v>500</v>
      </c>
      <c r="AI31"/>
    </row>
    <row r="32" spans="1:35" hidden="1" x14ac:dyDescent="0.3">
      <c r="A32" s="5" t="str">
        <f>VLOOKUP(B32,base!A:M,11,FALSE)</f>
        <v>TRIFÁSICO</v>
      </c>
      <c r="B32" t="s">
        <v>220</v>
      </c>
      <c r="C32" s="1">
        <v>0</v>
      </c>
      <c r="D32" s="60">
        <v>62955505017213</v>
      </c>
      <c r="E32" s="63" t="s">
        <v>433</v>
      </c>
      <c r="F32" t="s">
        <v>434</v>
      </c>
      <c r="G32" s="4">
        <v>45901</v>
      </c>
      <c r="H32" s="4" t="str">
        <f>Faturamento!$B807&amp;Faturamento!$G807</f>
        <v>10/3005226-045627</v>
      </c>
      <c r="I32" t="s">
        <v>435</v>
      </c>
      <c r="J32" s="194">
        <v>1005</v>
      </c>
      <c r="K32" s="3">
        <v>1446.0074999999999</v>
      </c>
      <c r="L32" s="3">
        <v>1119.9073347752083</v>
      </c>
      <c r="M32" s="5" t="s">
        <v>1489</v>
      </c>
      <c r="N32" s="3">
        <v>1214.1675</v>
      </c>
      <c r="O32" s="3">
        <v>888.07</v>
      </c>
      <c r="P32" s="4">
        <v>45933</v>
      </c>
      <c r="Q32" s="4">
        <v>45943</v>
      </c>
      <c r="R32" s="3">
        <f>O32</f>
        <v>888.07</v>
      </c>
      <c r="S32"/>
      <c r="T32" s="51" t="s">
        <v>1498</v>
      </c>
      <c r="U32" s="51" t="s">
        <v>1499</v>
      </c>
      <c r="V32" t="s">
        <v>568</v>
      </c>
      <c r="W32" s="3">
        <f>R32</f>
        <v>888.07</v>
      </c>
      <c r="X32" s="123">
        <f>IF(Faturamento!$V813="Pago",IFERROR(W32-R32,0),0)</f>
        <v>0</v>
      </c>
      <c r="Y32" s="4"/>
      <c r="Z32" s="4"/>
      <c r="AA32" s="5"/>
      <c r="AB32" s="5"/>
      <c r="AI32"/>
    </row>
    <row r="33" spans="1:35" hidden="1" x14ac:dyDescent="0.3">
      <c r="A33" s="5" t="str">
        <f>VLOOKUP(B33,base!A:M,11,FALSE)</f>
        <v>TRIFÁSICO</v>
      </c>
      <c r="B33" t="s">
        <v>194</v>
      </c>
      <c r="C33" s="1">
        <v>0</v>
      </c>
      <c r="D33" s="60">
        <v>62955505016080</v>
      </c>
      <c r="E33" s="63" t="s">
        <v>433</v>
      </c>
      <c r="F33" t="s">
        <v>434</v>
      </c>
      <c r="G33" s="4">
        <v>45901</v>
      </c>
      <c r="H33" s="4" t="str">
        <f>Faturamento!$B805&amp;Faturamento!$G805</f>
        <v>10/276283-945627</v>
      </c>
      <c r="I33" t="s">
        <v>435</v>
      </c>
      <c r="J33" s="194">
        <v>992</v>
      </c>
      <c r="K33" s="3">
        <v>1319.3932</v>
      </c>
      <c r="L33" s="3">
        <v>997.48402556372582</v>
      </c>
      <c r="M33" s="5" t="s">
        <v>1489</v>
      </c>
      <c r="N33" s="3">
        <v>1198.5631999999998</v>
      </c>
      <c r="O33" s="3">
        <v>876.65</v>
      </c>
      <c r="P33" s="4">
        <v>45933</v>
      </c>
      <c r="Q33" s="4">
        <v>45943</v>
      </c>
      <c r="R33" s="3">
        <f>O33</f>
        <v>876.65</v>
      </c>
      <c r="S33"/>
      <c r="T33" s="51" t="s">
        <v>1494</v>
      </c>
      <c r="U33" s="51" t="s">
        <v>1495</v>
      </c>
      <c r="V33" t="s">
        <v>568</v>
      </c>
      <c r="W33" s="3">
        <f>R33</f>
        <v>876.65</v>
      </c>
      <c r="X33" s="123">
        <f>IF(Faturamento!$V812="Pago",IFERROR(W33-R33,0),0)</f>
        <v>0</v>
      </c>
      <c r="Y33" s="4"/>
      <c r="Z33" s="4"/>
      <c r="AA33" s="5"/>
      <c r="AB33" s="5"/>
      <c r="AI33"/>
    </row>
    <row r="34" spans="1:35" hidden="1" x14ac:dyDescent="0.3">
      <c r="A34" s="5" t="str">
        <f>VLOOKUP(B34,base!A:M,11,FALSE)</f>
        <v>TRIFÁSICO</v>
      </c>
      <c r="B34" t="s">
        <v>200</v>
      </c>
      <c r="C34" s="1">
        <v>67992637973</v>
      </c>
      <c r="D34" s="60">
        <v>62955505016403</v>
      </c>
      <c r="E34" s="63" t="s">
        <v>433</v>
      </c>
      <c r="F34" t="s">
        <v>434</v>
      </c>
      <c r="G34" s="4">
        <v>45717</v>
      </c>
      <c r="H34" s="4" t="str">
        <f>Faturamento!$B277&amp;Faturamento!$G277</f>
        <v>10/13786-945931</v>
      </c>
      <c r="I34" t="s">
        <v>435</v>
      </c>
      <c r="J34" s="194">
        <v>1120</v>
      </c>
      <c r="K34" s="3">
        <v>1458.5900000000001</v>
      </c>
      <c r="L34" s="3">
        <v>1170.5725</v>
      </c>
      <c r="M34" s="5" t="str">
        <f>IF(Faturamento!$S277&lt;&gt;"","Não emitido",IF(Faturamento!$I277="NÃO","Pendente Fatura", IF(Faturamento!$R277&lt;&gt;"","Aprovado",IF(Faturamento!$O277&lt;&gt;0,"Pendente Emissão","Processo de Calculo"))))</f>
        <v>Aprovado</v>
      </c>
      <c r="N34" s="3">
        <v>1152.0700000000002</v>
      </c>
      <c r="O34" s="3">
        <v>864.05</v>
      </c>
      <c r="P34" s="4"/>
      <c r="Q34" s="4"/>
      <c r="R34" s="3">
        <v>864.05</v>
      </c>
      <c r="S34"/>
      <c r="T34" s="51" t="s">
        <v>817</v>
      </c>
      <c r="U34" s="51"/>
      <c r="V34" t="s">
        <v>568</v>
      </c>
      <c r="W34" s="3">
        <v>864.05</v>
      </c>
      <c r="X34" s="123">
        <f>IF(Faturamento!$V811="Pago",IFERROR(W34-R34,0),0)</f>
        <v>0</v>
      </c>
      <c r="Y34" s="4"/>
      <c r="Z34" s="4"/>
      <c r="AA34" s="5"/>
      <c r="AB34" s="5"/>
      <c r="AI34"/>
    </row>
    <row r="35" spans="1:35" hidden="1" x14ac:dyDescent="0.3">
      <c r="A35" s="5" t="e">
        <f>VLOOKUP(B35,base!A:M,11,FALSE)</f>
        <v>#N/A</v>
      </c>
      <c r="B35" t="s">
        <v>699</v>
      </c>
      <c r="C35" s="1" t="e">
        <v>#N/A</v>
      </c>
      <c r="D35" s="60">
        <v>62955505035629</v>
      </c>
      <c r="E35" s="63" t="s">
        <v>433</v>
      </c>
      <c r="F35" t="s">
        <v>434</v>
      </c>
      <c r="G35" s="4">
        <v>45658</v>
      </c>
      <c r="H35" s="4" t="str">
        <f>Faturamento!$B141&amp;Faturamento!$G141</f>
        <v>10/202838-945839</v>
      </c>
      <c r="I35" t="s">
        <v>435</v>
      </c>
      <c r="J35" s="194">
        <v>1119</v>
      </c>
      <c r="K35" s="3">
        <v>1431.6299999999999</v>
      </c>
      <c r="L35" s="3">
        <v>1152.2674999999999</v>
      </c>
      <c r="M35" s="5" t="str">
        <f>IF(Faturamento!$S141&lt;&gt;"","Não emitido",IF(Faturamento!$I141="NÃO","Pendente Fatura", IF(Faturamento!$R141&lt;&gt;"","Aprovado",IF(Faturamento!$O141&lt;&gt;0,"Pendente Emissão","Processo de Calculo"))))</f>
        <v>Aprovado</v>
      </c>
      <c r="N35" s="3">
        <v>1117.4499999999998</v>
      </c>
      <c r="O35" s="3">
        <v>838.09</v>
      </c>
      <c r="P35" s="4"/>
      <c r="Q35" s="4"/>
      <c r="R35" s="3">
        <v>838.09</v>
      </c>
      <c r="S35" t="s">
        <v>700</v>
      </c>
      <c r="T35" s="51" t="s">
        <v>701</v>
      </c>
      <c r="U35" s="51"/>
      <c r="V35" t="s">
        <v>702</v>
      </c>
      <c r="W35" s="3">
        <v>0</v>
      </c>
      <c r="X35" s="123">
        <f>IF(Faturamento!$V61="Pago",IFERROR(W35-R35,0),0)</f>
        <v>-838.09</v>
      </c>
      <c r="Y35" s="4"/>
      <c r="Z35" s="4"/>
      <c r="AA35" s="5"/>
      <c r="AB35" s="5"/>
      <c r="AI35"/>
    </row>
    <row r="36" spans="1:35" hidden="1" x14ac:dyDescent="0.3">
      <c r="A36" s="5" t="str">
        <f>VLOOKUP(B36,base!A:M,11,FALSE)</f>
        <v>TRIFÁSICO</v>
      </c>
      <c r="B36" t="s">
        <v>218</v>
      </c>
      <c r="C36" s="1">
        <v>0</v>
      </c>
      <c r="D36" s="60">
        <v>62955505379395</v>
      </c>
      <c r="E36" s="63" t="s">
        <v>433</v>
      </c>
      <c r="F36" t="s">
        <v>434</v>
      </c>
      <c r="G36" s="4">
        <v>45901</v>
      </c>
      <c r="H36" s="4" t="str">
        <f>Faturamento!$B809&amp;Faturamento!$G809</f>
        <v>10/3092868-345627</v>
      </c>
      <c r="I36" t="s">
        <v>435</v>
      </c>
      <c r="J36" s="194">
        <v>909</v>
      </c>
      <c r="K36" s="3">
        <v>1221.2945999999999</v>
      </c>
      <c r="L36" s="3">
        <v>926.3692042103321</v>
      </c>
      <c r="M36" s="5" t="s">
        <v>1489</v>
      </c>
      <c r="N36" s="3">
        <v>1098.0945999999999</v>
      </c>
      <c r="O36" s="3">
        <v>803.17</v>
      </c>
      <c r="P36" s="4">
        <v>45933</v>
      </c>
      <c r="Q36" s="4">
        <v>45943</v>
      </c>
      <c r="R36" s="3">
        <f>O36</f>
        <v>803.17</v>
      </c>
      <c r="S36"/>
      <c r="T36" s="51" t="s">
        <v>1502</v>
      </c>
      <c r="U36" s="51" t="s">
        <v>1503</v>
      </c>
      <c r="V36" t="s">
        <v>568</v>
      </c>
      <c r="W36" s="3">
        <f>R36</f>
        <v>803.17</v>
      </c>
      <c r="X36" s="123">
        <f>IF(Faturamento!$V810="Pago",IFERROR(W36-R36,0),0)</f>
        <v>0</v>
      </c>
      <c r="Y36" s="4"/>
      <c r="Z36" s="4"/>
      <c r="AA36" s="5"/>
      <c r="AB36" s="5"/>
      <c r="AI36"/>
    </row>
    <row r="37" spans="1:35" hidden="1" x14ac:dyDescent="0.3">
      <c r="A37" s="5" t="e">
        <f>VLOOKUP(B37,base!A:M,11,FALSE)</f>
        <v>#N/A</v>
      </c>
      <c r="B37" s="37" t="s">
        <v>658</v>
      </c>
      <c r="C37" s="56" t="e">
        <v>#N/A</v>
      </c>
      <c r="D37" s="59">
        <v>62955505015199</v>
      </c>
      <c r="E37" s="37" t="s">
        <v>433</v>
      </c>
      <c r="F37" s="37" t="s">
        <v>434</v>
      </c>
      <c r="G37" s="52">
        <v>45689</v>
      </c>
      <c r="H37" s="52" t="str">
        <f>Faturamento!$B186&amp;Faturamento!$G186</f>
        <v>10/8777-545778</v>
      </c>
      <c r="I37" s="37" t="s">
        <v>435</v>
      </c>
      <c r="J37" s="47">
        <v>936</v>
      </c>
      <c r="K37" s="53">
        <v>1270.54</v>
      </c>
      <c r="L37" s="53">
        <v>1024.3024999999998</v>
      </c>
      <c r="M37" s="5" t="str">
        <f>IF(Faturamento!$S186&lt;&gt;"","Não emitido",IF(Faturamento!$I186="NÃO","Pendente Fatura", IF(Faturamento!$R186&lt;&gt;"","Aprovado",IF(Faturamento!$O186&lt;&gt;0,"Pendente Emissão","Processo de Calculo"))))</f>
        <v>Aprovado</v>
      </c>
      <c r="N37" s="53">
        <v>984.94999999999993</v>
      </c>
      <c r="O37" s="53">
        <v>738.71</v>
      </c>
      <c r="P37" s="52"/>
      <c r="Q37" s="52"/>
      <c r="R37" s="53">
        <v>738.71</v>
      </c>
      <c r="S37" s="37"/>
      <c r="T37" s="51" t="s">
        <v>745</v>
      </c>
      <c r="U37" s="51"/>
      <c r="V37" s="37" t="s">
        <v>369</v>
      </c>
      <c r="W37" s="53">
        <v>0</v>
      </c>
      <c r="X37" s="123">
        <f>IF(Faturamento!$V66="Pago",IFERROR(W37-R37,0),0)</f>
        <v>-738.71</v>
      </c>
      <c r="Y37" s="52"/>
      <c r="Z37" s="196" t="s">
        <v>1795</v>
      </c>
      <c r="AA37" s="5"/>
      <c r="AB37" s="5"/>
      <c r="AI37" t="str">
        <f>VLOOKUP(B37,'[2]Conciliação - 022025'!$A:$L,12,FALSE)</f>
        <v>VALOR DEVIDO - Cancelamento via email dia 23/04, tenho tudo formalizado por whatsapp com Danilo Silva</v>
      </c>
    </row>
    <row r="38" spans="1:35" hidden="1" x14ac:dyDescent="0.3">
      <c r="A38" s="5" t="str">
        <f>VLOOKUP(B38,base!A:M,11,FALSE)</f>
        <v>TRIFÁSICO</v>
      </c>
      <c r="B38" s="37" t="s">
        <v>200</v>
      </c>
      <c r="C38" s="56">
        <v>67992637973</v>
      </c>
      <c r="D38" s="59">
        <v>62955505016403</v>
      </c>
      <c r="E38" s="37" t="s">
        <v>433</v>
      </c>
      <c r="F38" s="37" t="s">
        <v>434</v>
      </c>
      <c r="G38" s="52">
        <v>45689</v>
      </c>
      <c r="H38" s="52" t="str">
        <f>Faturamento!$B158&amp;Faturamento!$G158</f>
        <v>10/3139326-745931</v>
      </c>
      <c r="I38" s="37" t="s">
        <v>435</v>
      </c>
      <c r="J38" s="47">
        <v>957</v>
      </c>
      <c r="K38" s="53">
        <v>1253.9499999999998</v>
      </c>
      <c r="L38" s="53">
        <v>1008.1474999999998</v>
      </c>
      <c r="M38" s="5" t="str">
        <f>IF(Faturamento!$S158&lt;&gt;"","Não emitido",IF(Faturamento!$I158="NÃO","Pendente Fatura", IF(Faturamento!$R158&lt;&gt;"","Aprovado",IF(Faturamento!$O158&lt;&gt;0,"Pendente Emissão","Processo de Calculo"))))</f>
        <v>Aprovado</v>
      </c>
      <c r="N38" s="53">
        <v>983.21000000000015</v>
      </c>
      <c r="O38" s="53">
        <v>737.41</v>
      </c>
      <c r="P38" s="52"/>
      <c r="Q38" s="52"/>
      <c r="R38" s="53">
        <v>737.41</v>
      </c>
      <c r="S38" s="37"/>
      <c r="T38" s="51" t="s">
        <v>719</v>
      </c>
      <c r="U38" s="51"/>
      <c r="V38" s="37" t="s">
        <v>568</v>
      </c>
      <c r="W38" s="53">
        <v>737.41</v>
      </c>
      <c r="X38" s="123">
        <f>IF(Faturamento!$V809="Pago",IFERROR(W38-R38,0),0)</f>
        <v>0</v>
      </c>
      <c r="Y38" s="52"/>
      <c r="Z38" s="52"/>
      <c r="AA38" s="5"/>
      <c r="AB38" s="5"/>
      <c r="AI38"/>
    </row>
    <row r="39" spans="1:35" hidden="1" x14ac:dyDescent="0.3">
      <c r="A39" s="5" t="str">
        <f>VLOOKUP(B39,base!A:M,11,FALSE)</f>
        <v>TRIFÁSICO</v>
      </c>
      <c r="B39" t="s">
        <v>194</v>
      </c>
      <c r="C39" s="1">
        <v>67996266684</v>
      </c>
      <c r="D39" s="60">
        <v>62955505016080</v>
      </c>
      <c r="E39" s="63" t="s">
        <v>433</v>
      </c>
      <c r="F39" t="s">
        <v>434</v>
      </c>
      <c r="G39" s="4">
        <v>45689</v>
      </c>
      <c r="H39" s="4" t="str">
        <f>Faturamento!$B155&amp;Faturamento!$G155</f>
        <v>10/72605-945931</v>
      </c>
      <c r="I39" t="s">
        <v>435</v>
      </c>
      <c r="J39" s="47">
        <v>875</v>
      </c>
      <c r="K39" s="53">
        <v>1044.82</v>
      </c>
      <c r="L39" s="53">
        <v>809.20499999999981</v>
      </c>
      <c r="M39" s="5" t="str">
        <f>IF(Faturamento!$S155&lt;&gt;"","Não emitido",IF(Faturamento!$I155="NÃO","Pendente Fatura", IF(Faturamento!$R155&lt;&gt;"","Aprovado",IF(Faturamento!$O155&lt;&gt;0,"Pendente Emissão","Processo de Calculo"))))</f>
        <v>Aprovado</v>
      </c>
      <c r="N39" s="3">
        <v>942.46000000000015</v>
      </c>
      <c r="O39" s="3">
        <v>706.85</v>
      </c>
      <c r="P39" s="4"/>
      <c r="Q39" s="4"/>
      <c r="R39" s="3">
        <v>706.85</v>
      </c>
      <c r="S39"/>
      <c r="T39" s="51" t="s">
        <v>716</v>
      </c>
      <c r="U39" s="51"/>
      <c r="V39" t="s">
        <v>568</v>
      </c>
      <c r="W39" s="3">
        <v>706.85</v>
      </c>
      <c r="X39" s="123">
        <f>IF(Faturamento!$V808="Pago",IFERROR(W39-R39,0),0)</f>
        <v>0</v>
      </c>
      <c r="Y39" s="4"/>
      <c r="Z39" s="4"/>
      <c r="AA39" s="5"/>
      <c r="AB39" s="5"/>
      <c r="AI39"/>
    </row>
    <row r="40" spans="1:35" hidden="1" x14ac:dyDescent="0.3">
      <c r="A40" s="5" t="str">
        <f>VLOOKUP(B40,base!A:M,11,FALSE)</f>
        <v>TRIFÁSICO</v>
      </c>
      <c r="B40" t="s">
        <v>218</v>
      </c>
      <c r="C40" s="1">
        <v>67991120875</v>
      </c>
      <c r="D40" s="60">
        <v>62955505379395</v>
      </c>
      <c r="E40" s="63" t="s">
        <v>433</v>
      </c>
      <c r="F40" t="s">
        <v>434</v>
      </c>
      <c r="G40" s="4">
        <v>45748</v>
      </c>
      <c r="H40" s="4" t="str">
        <f>Faturamento!$B373&amp;Faturamento!$G373</f>
        <v>10/1130988-745901</v>
      </c>
      <c r="I40" t="s">
        <v>435</v>
      </c>
      <c r="J40" s="47">
        <v>897</v>
      </c>
      <c r="K40" s="53">
        <v>1038.33</v>
      </c>
      <c r="L40" s="53">
        <v>803.33249999999998</v>
      </c>
      <c r="M40" s="5" t="str">
        <f>IF(Faturamento!$S373&lt;&gt;"","Não emitido",IF(Faturamento!$I373="NÃO","Pendente Fatura", IF(Faturamento!$R373&lt;&gt;"","Aprovado",IF(Faturamento!$O373&lt;&gt;0,"Pendente Emissão","Processo de Calculo"))))</f>
        <v>Aprovado</v>
      </c>
      <c r="N40" s="3">
        <v>939.9899999999999</v>
      </c>
      <c r="O40" s="3">
        <v>704.99</v>
      </c>
      <c r="P40" s="4"/>
      <c r="Q40" s="4"/>
      <c r="R40" s="3">
        <v>704.99</v>
      </c>
      <c r="S40"/>
      <c r="T40" s="51" t="s">
        <v>873</v>
      </c>
      <c r="U40" s="51"/>
      <c r="V40" t="s">
        <v>568</v>
      </c>
      <c r="W40" s="3">
        <v>704.99</v>
      </c>
      <c r="X40" s="123">
        <f>IF(Faturamento!$V807="Pago",IFERROR(W40-R40,0),0)</f>
        <v>0</v>
      </c>
      <c r="Y40" s="4"/>
      <c r="Z40" s="4"/>
      <c r="AA40" s="5"/>
      <c r="AB40" s="5"/>
      <c r="AI40"/>
    </row>
    <row r="41" spans="1:35" hidden="1" x14ac:dyDescent="0.3">
      <c r="A41" s="5" t="str">
        <f>VLOOKUP(B41,base!A:M,11,FALSE)</f>
        <v>TRIFÁSICO</v>
      </c>
      <c r="B41" t="s">
        <v>305</v>
      </c>
      <c r="C41" s="1" t="s">
        <v>278</v>
      </c>
      <c r="D41" s="60">
        <v>62955505393207</v>
      </c>
      <c r="E41" s="63" t="s">
        <v>433</v>
      </c>
      <c r="F41" t="s">
        <v>434</v>
      </c>
      <c r="G41" s="4">
        <v>45809</v>
      </c>
      <c r="H41" s="4" t="str">
        <f>Faturamento!$B531&amp;Faturamento!$G531</f>
        <v>10/156956-545901</v>
      </c>
      <c r="I41" t="s">
        <v>435</v>
      </c>
      <c r="J41" s="47">
        <v>777</v>
      </c>
      <c r="K41" s="53">
        <v>1804.9056484762582</v>
      </c>
      <c r="L41" s="53">
        <v>1591.0267140651411</v>
      </c>
      <c r="M41" s="5" t="str">
        <f>IF(Faturamento!$S531&lt;&gt;"","Não emitido",IF(Faturamento!$I531="NÃO","Pendente Fatura", IF(Faturamento!$R531&lt;&gt;"","Aprovado",IF(Faturamento!$O531&lt;&gt;0,"Pendente Emissão","Processo de Calculo"))))</f>
        <v>Aprovado</v>
      </c>
      <c r="N41" s="3">
        <v>901.47564847625802</v>
      </c>
      <c r="O41" s="3">
        <v>676.11</v>
      </c>
      <c r="P41" s="4">
        <v>45860</v>
      </c>
      <c r="Q41" s="4">
        <v>45871</v>
      </c>
      <c r="R41" s="3">
        <v>676.11</v>
      </c>
      <c r="S41"/>
      <c r="T41" s="51" t="s">
        <v>1016</v>
      </c>
      <c r="U41" s="51" t="s">
        <v>1017</v>
      </c>
      <c r="V41" t="s">
        <v>568</v>
      </c>
      <c r="W41" s="3">
        <v>676.11</v>
      </c>
      <c r="X41" s="123">
        <f>IF(Faturamento!$V806="Pago",IFERROR(W41-R41,0),0)</f>
        <v>0</v>
      </c>
      <c r="Y41" s="4" t="s">
        <v>1018</v>
      </c>
      <c r="Z41" s="4"/>
      <c r="AA41" s="5"/>
      <c r="AB41" s="5"/>
      <c r="AI41"/>
    </row>
    <row r="42" spans="1:35" hidden="1" x14ac:dyDescent="0.3">
      <c r="A42" s="5" t="str">
        <f>VLOOKUP(B42,base!A:M,11,FALSE)</f>
        <v>TRIFÁSICO</v>
      </c>
      <c r="B42" t="s">
        <v>305</v>
      </c>
      <c r="C42" s="1">
        <v>0</v>
      </c>
      <c r="D42" s="60">
        <v>62955505016160</v>
      </c>
      <c r="E42" s="63" t="s">
        <v>433</v>
      </c>
      <c r="F42" t="s">
        <v>434</v>
      </c>
      <c r="G42" s="4">
        <v>45901</v>
      </c>
      <c r="H42" s="4" t="str">
        <f>Faturamento!$B803&amp;Faturamento!$G803</f>
        <v>10/2599101-945627</v>
      </c>
      <c r="I42" t="s">
        <v>435</v>
      </c>
      <c r="J42" s="194">
        <v>765</v>
      </c>
      <c r="K42" s="3">
        <v>1196.3858608643577</v>
      </c>
      <c r="L42" s="3">
        <v>948.1553103558449</v>
      </c>
      <c r="M42" s="5" t="s">
        <v>1489</v>
      </c>
      <c r="N42" s="3">
        <v>924.23586086435762</v>
      </c>
      <c r="O42" s="3">
        <v>676.01</v>
      </c>
      <c r="P42" s="4">
        <v>45933</v>
      </c>
      <c r="Q42" s="4">
        <v>45943</v>
      </c>
      <c r="R42" s="3">
        <f>O42</f>
        <v>676.01</v>
      </c>
      <c r="S42"/>
      <c r="T42" s="51" t="s">
        <v>1490</v>
      </c>
      <c r="U42" s="51" t="s">
        <v>1491</v>
      </c>
      <c r="V42" t="s">
        <v>568</v>
      </c>
      <c r="W42" s="3">
        <f>R42</f>
        <v>676.01</v>
      </c>
      <c r="X42" s="123">
        <f>IF(Faturamento!$V805="Pago",IFERROR(W42-R42,0),0)</f>
        <v>0</v>
      </c>
      <c r="Y42" s="4"/>
      <c r="Z42" s="4"/>
      <c r="AA42" s="5"/>
      <c r="AB42" s="5"/>
      <c r="AI42"/>
    </row>
    <row r="43" spans="1:35" hidden="1" x14ac:dyDescent="0.3">
      <c r="A43" s="5" t="str">
        <f>VLOOKUP(B43,base!A:M,11,FALSE)</f>
        <v>TRIFÁSICO</v>
      </c>
      <c r="B43" t="s">
        <v>196</v>
      </c>
      <c r="C43" s="56" t="s">
        <v>175</v>
      </c>
      <c r="D43">
        <v>62955505215791</v>
      </c>
      <c r="E43" s="37" t="s">
        <v>433</v>
      </c>
      <c r="F43" t="s">
        <v>108</v>
      </c>
      <c r="G43" s="4">
        <v>45931</v>
      </c>
      <c r="H43" s="52" t="str">
        <f>Faturamento!$B941&amp;Faturamento!$G941</f>
        <v>10/452884-045809</v>
      </c>
      <c r="I43" s="37" t="s">
        <v>435</v>
      </c>
      <c r="J43" s="194">
        <v>772</v>
      </c>
      <c r="K43" s="3">
        <v>1233.0264000000002</v>
      </c>
      <c r="L43" s="3">
        <v>973.53821881509725</v>
      </c>
      <c r="M43" s="5" t="s">
        <v>1489</v>
      </c>
      <c r="N43" s="53">
        <v>927.80640000000005</v>
      </c>
      <c r="O43" s="53">
        <v>668.32</v>
      </c>
      <c r="P43" s="52">
        <v>45967</v>
      </c>
      <c r="Q43" s="52">
        <v>45974</v>
      </c>
      <c r="R43" s="53">
        <v>668.32</v>
      </c>
      <c r="S43" s="37"/>
      <c r="T43" s="3" t="str">
        <f>D43&amp;R43</f>
        <v>62955505215791668,32</v>
      </c>
      <c r="U43" s="3" t="s">
        <v>1753</v>
      </c>
      <c r="V43" s="37" t="s">
        <v>568</v>
      </c>
      <c r="W43" s="13">
        <f>R43</f>
        <v>668.32</v>
      </c>
      <c r="X43" s="124">
        <f>IF(Faturamento!$V943="Pago",IFERROR(W43-R43,0),0)</f>
        <v>0</v>
      </c>
    </row>
    <row r="44" spans="1:35" hidden="1" x14ac:dyDescent="0.3">
      <c r="A44" s="5" t="str">
        <f>VLOOKUP(B44,base!A:M,11,FALSE)</f>
        <v>TRIFÁSICO</v>
      </c>
      <c r="B44" t="s">
        <v>236</v>
      </c>
      <c r="C44" s="1">
        <v>67996266684</v>
      </c>
      <c r="D44" s="60">
        <v>62955505067660</v>
      </c>
      <c r="E44" s="63" t="s">
        <v>433</v>
      </c>
      <c r="F44" t="s">
        <v>434</v>
      </c>
      <c r="G44" s="4">
        <v>45778</v>
      </c>
      <c r="H44" s="4" t="str">
        <f>Faturamento!$B437&amp;Faturamento!$G437</f>
        <v>10/399338-345839</v>
      </c>
      <c r="I44" t="s">
        <v>435</v>
      </c>
      <c r="J44" s="194">
        <v>762</v>
      </c>
      <c r="K44" s="3">
        <v>948.50891891891888</v>
      </c>
      <c r="L44" s="3">
        <v>738.74418918918923</v>
      </c>
      <c r="M44" s="5" t="str">
        <f>IF(Faturamento!$S437&lt;&gt;"","Não emitido",IF(Faturamento!$I437="NÃO","Pendente Fatura", IF(Faturamento!$R437&lt;&gt;"","Aprovado",IF(Faturamento!$O437&lt;&gt;0,"Pendente Emissão","Processo de Calculo"))))</f>
        <v>Aprovado</v>
      </c>
      <c r="N44" s="3">
        <v>839.05891891891895</v>
      </c>
      <c r="O44" s="3">
        <v>629.29</v>
      </c>
      <c r="P44" s="4"/>
      <c r="Q44" s="4"/>
      <c r="R44" s="3">
        <v>629.29</v>
      </c>
      <c r="S44"/>
      <c r="T44" s="51" t="s">
        <v>932</v>
      </c>
      <c r="U44" s="51"/>
      <c r="V44" t="s">
        <v>568</v>
      </c>
      <c r="W44" s="3">
        <v>629.29</v>
      </c>
      <c r="X44" s="123">
        <f>IF(Faturamento!$V804="Pago",IFERROR(W44-R44,0),0)</f>
        <v>0</v>
      </c>
      <c r="Y44" s="4"/>
      <c r="Z44" s="4"/>
      <c r="AA44" s="5"/>
      <c r="AB44" s="5"/>
      <c r="AI44"/>
    </row>
    <row r="45" spans="1:35" hidden="1" x14ac:dyDescent="0.3">
      <c r="A45" s="5" t="e">
        <f>VLOOKUP(B45,base!A:M,11,FALSE)</f>
        <v>#N/A</v>
      </c>
      <c r="B45" t="s">
        <v>699</v>
      </c>
      <c r="C45" s="1" t="e">
        <v>#N/A</v>
      </c>
      <c r="D45" s="60">
        <v>62955505035629</v>
      </c>
      <c r="E45" s="63" t="s">
        <v>433</v>
      </c>
      <c r="F45" t="s">
        <v>434</v>
      </c>
      <c r="G45" s="4">
        <v>45689</v>
      </c>
      <c r="H45" s="4" t="str">
        <f>Faturamento!$B185&amp;Faturamento!$G185</f>
        <v>10/532723-445689</v>
      </c>
      <c r="I45" t="s">
        <v>435</v>
      </c>
      <c r="J45" s="37">
        <v>849</v>
      </c>
      <c r="K45" s="53">
        <v>1118.3200000000002</v>
      </c>
      <c r="L45" s="53">
        <v>911.57500000000005</v>
      </c>
      <c r="M45" s="5" t="str">
        <f>IF(Faturamento!$S185&lt;&gt;"","Não emitido",IF(Faturamento!$I185="NÃO","Pendente Fatura", IF(Faturamento!$R185&lt;&gt;"","Aprovado",IF(Faturamento!$O185&lt;&gt;0,"Pendente Emissão","Processo de Calculo"))))</f>
        <v>Aprovado</v>
      </c>
      <c r="N45" s="3">
        <v>826.98000000000013</v>
      </c>
      <c r="O45" s="3">
        <v>620.24</v>
      </c>
      <c r="P45" s="4"/>
      <c r="Q45" s="4"/>
      <c r="R45" s="3">
        <v>620.24</v>
      </c>
      <c r="S45"/>
      <c r="T45" s="51" t="s">
        <v>743</v>
      </c>
      <c r="U45" s="51"/>
      <c r="V45" t="s">
        <v>702</v>
      </c>
      <c r="W45" s="3" t="s">
        <v>744</v>
      </c>
      <c r="X45" s="123">
        <f>IF(Faturamento!$V830="Pago",IFERROR(W45-R45,0),0)</f>
        <v>0</v>
      </c>
      <c r="Y45" s="4"/>
      <c r="Z45" s="4"/>
      <c r="AA45" s="5"/>
      <c r="AB45" s="5"/>
      <c r="AI45" t="str">
        <f>VLOOKUP(B45,'[2]Conciliação - 022025'!$A:$L,12,FALSE)</f>
        <v>COBRANÇA INDEVIDA  - Vamos cancelar</v>
      </c>
    </row>
    <row r="46" spans="1:35" hidden="1" x14ac:dyDescent="0.3">
      <c r="A46" s="5" t="str">
        <f>VLOOKUP(B46,base!A:M,11,FALSE)</f>
        <v>TRIFÁSICO</v>
      </c>
      <c r="B46" t="s">
        <v>218</v>
      </c>
      <c r="C46" s="1">
        <v>67991120875</v>
      </c>
      <c r="D46" s="60">
        <v>62955505379395</v>
      </c>
      <c r="E46" s="63" t="s">
        <v>433</v>
      </c>
      <c r="F46" t="s">
        <v>434</v>
      </c>
      <c r="G46" s="4">
        <v>45689</v>
      </c>
      <c r="H46" s="4" t="str">
        <f>Faturamento!$B163&amp;Faturamento!$G163</f>
        <v>10/191945-545839</v>
      </c>
      <c r="I46" t="s">
        <v>435</v>
      </c>
      <c r="J46" s="37">
        <v>804</v>
      </c>
      <c r="K46" s="53">
        <v>946.01</v>
      </c>
      <c r="L46" s="53">
        <v>739.95</v>
      </c>
      <c r="M46" s="5" t="str">
        <f>IF(Faturamento!$S163&lt;&gt;"","Não emitido",IF(Faturamento!$I163="NÃO","Pendente Fatura", IF(Faturamento!$R163&lt;&gt;"","Aprovado",IF(Faturamento!$O163&lt;&gt;0,"Pendente Emissão","Processo de Calculo"))))</f>
        <v>Aprovado</v>
      </c>
      <c r="N46" s="3">
        <v>824.24000000000012</v>
      </c>
      <c r="O46" s="3">
        <v>618.17999999999995</v>
      </c>
      <c r="P46" s="4"/>
      <c r="Q46" s="4"/>
      <c r="R46" s="3">
        <v>618.17999999999995</v>
      </c>
      <c r="S46"/>
      <c r="T46" s="51" t="s">
        <v>724</v>
      </c>
      <c r="U46" s="51"/>
      <c r="V46" t="s">
        <v>568</v>
      </c>
      <c r="W46" s="3">
        <v>618.17999999999995</v>
      </c>
      <c r="X46" s="123">
        <f>IF(Faturamento!$V803="Pago",IFERROR(W46-R46,0),0)</f>
        <v>0</v>
      </c>
      <c r="Y46" s="4"/>
      <c r="Z46" s="4"/>
      <c r="AA46" s="5"/>
      <c r="AB46" s="5"/>
      <c r="AI46"/>
    </row>
    <row r="47" spans="1:35" hidden="1" x14ac:dyDescent="0.3">
      <c r="A47" s="5" t="str">
        <f>VLOOKUP(B47,base!A:M,11,FALSE)</f>
        <v>TRIFÁSICO</v>
      </c>
      <c r="B47" t="s">
        <v>236</v>
      </c>
      <c r="C47" s="56">
        <v>67996266684</v>
      </c>
      <c r="D47">
        <v>62955505067660</v>
      </c>
      <c r="E47" s="37" t="s">
        <v>433</v>
      </c>
      <c r="F47" t="s">
        <v>108</v>
      </c>
      <c r="G47" s="4">
        <v>45931</v>
      </c>
      <c r="H47" s="52" t="str">
        <f>Faturamento!$B943&amp;Faturamento!$G943</f>
        <v>10/135237-645809</v>
      </c>
      <c r="I47" s="37" t="s">
        <v>435</v>
      </c>
      <c r="J47">
        <v>697</v>
      </c>
      <c r="K47" s="3">
        <v>973.79890000000012</v>
      </c>
      <c r="L47" s="3">
        <v>735.6215770780243</v>
      </c>
      <c r="M47" s="5" t="s">
        <v>1489</v>
      </c>
      <c r="N47" s="53">
        <v>851.60889999999995</v>
      </c>
      <c r="O47" s="53">
        <v>613.42999999999995</v>
      </c>
      <c r="P47" s="52">
        <v>45967</v>
      </c>
      <c r="Q47" s="52">
        <v>45974</v>
      </c>
      <c r="R47" s="53">
        <v>613.42999999999995</v>
      </c>
      <c r="S47" s="37"/>
      <c r="T47" s="3" t="str">
        <f>D47&amp;R47</f>
        <v>62955505067660613,43</v>
      </c>
      <c r="U47" s="3" t="s">
        <v>1755</v>
      </c>
      <c r="V47" s="37" t="s">
        <v>568</v>
      </c>
      <c r="W47" s="13">
        <f>R47</f>
        <v>613.42999999999995</v>
      </c>
      <c r="X47" s="124">
        <f>IF(Faturamento!$V945="Pago",IFERROR(W47-R47,0),0)</f>
        <v>0</v>
      </c>
    </row>
    <row r="48" spans="1:35" hidden="1" x14ac:dyDescent="0.3">
      <c r="A48" s="5" t="str">
        <f>VLOOKUP(B48,base!A:M,11,FALSE)</f>
        <v>TRIFÁSICO</v>
      </c>
      <c r="B48" t="s">
        <v>200</v>
      </c>
      <c r="C48" s="56">
        <v>67992637973</v>
      </c>
      <c r="D48">
        <v>62955505016403</v>
      </c>
      <c r="E48" s="37" t="s">
        <v>433</v>
      </c>
      <c r="F48" t="s">
        <v>108</v>
      </c>
      <c r="G48" s="4">
        <v>45931</v>
      </c>
      <c r="H48" s="52" t="str">
        <f>Faturamento!$B937&amp;Faturamento!$G937</f>
        <v>10/513413-545809</v>
      </c>
      <c r="I48" s="37" t="s">
        <v>435</v>
      </c>
      <c r="J48">
        <v>700</v>
      </c>
      <c r="K48" s="3">
        <v>1154.79</v>
      </c>
      <c r="L48" s="3">
        <v>917.09621450183442</v>
      </c>
      <c r="M48" s="5" t="s">
        <v>1489</v>
      </c>
      <c r="N48" s="53">
        <v>849.88</v>
      </c>
      <c r="O48" s="53">
        <v>612.29</v>
      </c>
      <c r="P48" s="52">
        <v>45967</v>
      </c>
      <c r="Q48" s="52">
        <v>45974</v>
      </c>
      <c r="R48" s="53">
        <v>612.29</v>
      </c>
      <c r="S48" s="37"/>
      <c r="T48" s="3" t="str">
        <f>D48&amp;R48</f>
        <v>62955505016403612,29</v>
      </c>
      <c r="U48" s="3" t="s">
        <v>1749</v>
      </c>
      <c r="V48" s="37" t="s">
        <v>568</v>
      </c>
      <c r="W48" s="13">
        <f>R48</f>
        <v>612.29</v>
      </c>
      <c r="X48" s="124">
        <f>IF(Faturamento!$V939="Pago",IFERROR(W48-R48,0),0)</f>
        <v>0</v>
      </c>
    </row>
    <row r="49" spans="1:35" hidden="1" x14ac:dyDescent="0.3">
      <c r="A49" s="5" t="str">
        <f>VLOOKUP(B49,base!A:M,11,FALSE)</f>
        <v>TRIFÁSICO</v>
      </c>
      <c r="B49" s="37" t="s">
        <v>194</v>
      </c>
      <c r="C49" s="56">
        <v>0</v>
      </c>
      <c r="D49" s="59">
        <v>62955505016080</v>
      </c>
      <c r="E49" s="37" t="s">
        <v>433</v>
      </c>
      <c r="F49" s="37" t="s">
        <v>434</v>
      </c>
      <c r="G49" s="52">
        <v>45870</v>
      </c>
      <c r="H49" s="52" t="str">
        <f>Faturamento!$B714&amp;Faturamento!$G714</f>
        <v>10/218777-145809</v>
      </c>
      <c r="I49" s="37" t="s">
        <v>435</v>
      </c>
      <c r="J49">
        <v>663</v>
      </c>
      <c r="K49" s="3">
        <v>905.52359999999999</v>
      </c>
      <c r="L49" s="3">
        <v>727.72986696007945</v>
      </c>
      <c r="M49" s="5" t="str">
        <f>IF(Faturamento!$S714&lt;&gt;"","Não emitido",IF(Faturamento!$I714="NÃO","Pendente Fatura", IF(Faturamento!$R714&lt;&gt;"","Aprovado",IF(Faturamento!$O714&lt;&gt;0,"Pendente Emissão","Processo de Calculo"))))</f>
        <v>Aprovado</v>
      </c>
      <c r="N49" s="53">
        <v>786.83360000000005</v>
      </c>
      <c r="O49" s="53">
        <v>609.04</v>
      </c>
      <c r="P49" s="52">
        <v>45910</v>
      </c>
      <c r="Q49" s="52">
        <v>45920</v>
      </c>
      <c r="R49" s="53">
        <v>609.04</v>
      </c>
      <c r="S49" s="37"/>
      <c r="T49" s="51" t="s">
        <v>1331</v>
      </c>
      <c r="U49" s="51" t="s">
        <v>1332</v>
      </c>
      <c r="V49" s="37" t="s">
        <v>568</v>
      </c>
      <c r="W49" s="53">
        <v>609.04</v>
      </c>
      <c r="X49" s="123">
        <f>IF(Faturamento!$V802="Pago",IFERROR(W49-R49,0),0)</f>
        <v>0</v>
      </c>
      <c r="Y49" s="52"/>
      <c r="Z49" s="52"/>
      <c r="AA49" s="5"/>
      <c r="AB49" s="5"/>
      <c r="AI49"/>
    </row>
    <row r="50" spans="1:35" hidden="1" x14ac:dyDescent="0.3">
      <c r="A50" s="5" t="str">
        <f>VLOOKUP(B50,base!A:M,11,FALSE)</f>
        <v>TRIFÁSICO</v>
      </c>
      <c r="B50" t="s">
        <v>220</v>
      </c>
      <c r="C50" s="1">
        <v>67992637973</v>
      </c>
      <c r="D50" s="60">
        <v>62955505017213</v>
      </c>
      <c r="E50" s="63" t="s">
        <v>433</v>
      </c>
      <c r="F50" t="s">
        <v>434</v>
      </c>
      <c r="G50" s="4">
        <v>45717</v>
      </c>
      <c r="H50" s="4" t="str">
        <f>Faturamento!$B279&amp;Faturamento!$G279</f>
        <v>10/3092868-345658</v>
      </c>
      <c r="I50" t="s">
        <v>435</v>
      </c>
      <c r="J50">
        <v>722</v>
      </c>
      <c r="K50" s="3">
        <v>1190.3500000000001</v>
      </c>
      <c r="L50" s="3">
        <v>988.86500000000001</v>
      </c>
      <c r="M50" s="5" t="str">
        <f>IF(Faturamento!$S279&lt;&gt;"","Não emitido",IF(Faturamento!$I279="NÃO","Pendente Fatura", IF(Faturamento!$R279&lt;&gt;"","Aprovado",IF(Faturamento!$O279&lt;&gt;0,"Pendente Emissão","Processo de Calculo"))))</f>
        <v>Aprovado</v>
      </c>
      <c r="N50" s="3">
        <v>805.94</v>
      </c>
      <c r="O50" s="3">
        <v>604.46</v>
      </c>
      <c r="P50" s="4"/>
      <c r="Q50" s="4"/>
      <c r="R50" s="3">
        <v>604.46</v>
      </c>
      <c r="S50"/>
      <c r="T50" s="51" t="s">
        <v>819</v>
      </c>
      <c r="U50" s="51"/>
      <c r="V50" t="s">
        <v>568</v>
      </c>
      <c r="W50" s="3">
        <v>604.46</v>
      </c>
      <c r="X50" s="123">
        <f>IF(Faturamento!$V801="Pago",IFERROR(W50-R50,0),0)</f>
        <v>0</v>
      </c>
      <c r="Y50" s="4"/>
      <c r="Z50" s="4"/>
      <c r="AA50" s="5"/>
      <c r="AB50" s="5"/>
      <c r="AI50"/>
    </row>
    <row r="51" spans="1:35" hidden="1" x14ac:dyDescent="0.3">
      <c r="A51" s="5" t="str">
        <f>VLOOKUP(B51,base!A:M,11,FALSE)</f>
        <v>TRIFÁSICO</v>
      </c>
      <c r="B51" t="s">
        <v>200</v>
      </c>
      <c r="C51" s="1">
        <v>67992637973</v>
      </c>
      <c r="D51" s="60">
        <v>62955505016403</v>
      </c>
      <c r="E51" s="63" t="s">
        <v>433</v>
      </c>
      <c r="F51" t="s">
        <v>434</v>
      </c>
      <c r="G51" s="4">
        <v>45778</v>
      </c>
      <c r="H51" s="4" t="str">
        <f>Faturamento!$B471&amp;Faturamento!$G471</f>
        <v>10/239312-245809</v>
      </c>
      <c r="I51" t="s">
        <v>435</v>
      </c>
      <c r="J51">
        <v>700</v>
      </c>
      <c r="K51" s="3">
        <v>1093.93</v>
      </c>
      <c r="L51" s="3">
        <v>895.25</v>
      </c>
      <c r="M51" s="5" t="str">
        <f>IF(Faturamento!$S471&lt;&gt;"","Não emitido",IF(Faturamento!$I471="NÃO","Pendente Fatura", IF(Faturamento!$R471&lt;&gt;"","Aprovado",IF(Faturamento!$O471&lt;&gt;0,"Pendente Emissão","Processo de Calculo"))))</f>
        <v>Aprovado</v>
      </c>
      <c r="N51" s="3">
        <v>794.72</v>
      </c>
      <c r="O51" s="3">
        <v>596.04</v>
      </c>
      <c r="P51" s="4"/>
      <c r="Q51" s="4"/>
      <c r="R51" s="3">
        <v>596.04</v>
      </c>
      <c r="S51"/>
      <c r="T51" s="51" t="s">
        <v>963</v>
      </c>
      <c r="U51" s="51"/>
      <c r="V51" t="s">
        <v>568</v>
      </c>
      <c r="W51" s="3">
        <v>596.04</v>
      </c>
      <c r="X51" s="123">
        <f>IF(Faturamento!$V800="Pago",IFERROR(W51-R51,0),0)</f>
        <v>0</v>
      </c>
      <c r="Y51" s="4"/>
      <c r="Z51" s="4"/>
      <c r="AA51" s="5"/>
      <c r="AB51" s="5"/>
      <c r="AI51"/>
    </row>
    <row r="52" spans="1:35" hidden="1" x14ac:dyDescent="0.3">
      <c r="A52" s="5" t="e">
        <f>VLOOKUP(B52,base!A:M,11,FALSE)</f>
        <v>#N/A</v>
      </c>
      <c r="B52" t="s">
        <v>699</v>
      </c>
      <c r="C52" s="56" t="e">
        <v>#N/A</v>
      </c>
      <c r="D52" t="s">
        <v>1180</v>
      </c>
      <c r="E52" s="37" t="s">
        <v>433</v>
      </c>
      <c r="F52" t="s">
        <v>108</v>
      </c>
      <c r="G52" s="4">
        <v>45931</v>
      </c>
      <c r="H52" s="52" t="str">
        <f>Faturamento!$B977&amp;Faturamento!$G977</f>
        <v>10/3054052-045870</v>
      </c>
      <c r="I52" s="37" t="s">
        <v>435</v>
      </c>
      <c r="J52">
        <v>833</v>
      </c>
      <c r="M52" s="5" t="s">
        <v>1536</v>
      </c>
      <c r="N52" s="53">
        <v>817.36999999999989</v>
      </c>
      <c r="O52" s="53">
        <v>588.77</v>
      </c>
      <c r="P52" s="53" t="s">
        <v>1684</v>
      </c>
      <c r="Q52" s="53" t="s">
        <v>1684</v>
      </c>
      <c r="R52" s="53" t="s">
        <v>1684</v>
      </c>
      <c r="S52" s="37" t="s">
        <v>1393</v>
      </c>
      <c r="T52" s="3" t="str">
        <f>D52&amp;R52</f>
        <v>#ND-</v>
      </c>
      <c r="U52" s="3" t="e">
        <v>#N/A</v>
      </c>
      <c r="V52" s="37" t="s">
        <v>438</v>
      </c>
      <c r="X52" s="124">
        <f>IF(Faturamento!$V979="Pago",IFERROR(W52-R52,0),0)</f>
        <v>0</v>
      </c>
    </row>
    <row r="53" spans="1:35" hidden="1" x14ac:dyDescent="0.3">
      <c r="A53" s="5" t="str">
        <f>VLOOKUP(B53,base!A:M,11,FALSE)</f>
        <v>TRIFÁSICO</v>
      </c>
      <c r="B53" t="s">
        <v>196</v>
      </c>
      <c r="C53" s="1" t="s">
        <v>175</v>
      </c>
      <c r="D53" s="60">
        <v>62955505215791</v>
      </c>
      <c r="E53" s="63" t="s">
        <v>433</v>
      </c>
      <c r="F53" t="s">
        <v>434</v>
      </c>
      <c r="G53" s="4">
        <v>45658</v>
      </c>
      <c r="H53" s="4" t="str">
        <f>Faturamento!$B59&amp;Faturamento!$G59</f>
        <v>10/191945-545901</v>
      </c>
      <c r="I53" t="s">
        <v>435</v>
      </c>
      <c r="J53">
        <v>718</v>
      </c>
      <c r="K53" s="3">
        <v>1173.96</v>
      </c>
      <c r="L53" s="3">
        <v>979.17</v>
      </c>
      <c r="M53" s="5" t="str">
        <f>IF(Faturamento!$S59&lt;&gt;"","Não emitido",IF(Faturamento!$I59="NÃO","Pendente Fatura", IF(Faturamento!$R59&lt;&gt;"","Aprovado",IF(Faturamento!$O59&lt;&gt;0,"Pendente Emissão","Processo de Calculo"))))</f>
        <v>Aprovado</v>
      </c>
      <c r="N53" s="3">
        <v>779.16000000000008</v>
      </c>
      <c r="O53" s="3">
        <v>584.37</v>
      </c>
      <c r="P53" s="4"/>
      <c r="Q53" s="4"/>
      <c r="R53" s="3">
        <v>584.37</v>
      </c>
      <c r="S53"/>
      <c r="T53" s="51" t="s">
        <v>606</v>
      </c>
      <c r="U53" s="51"/>
      <c r="V53" t="s">
        <v>568</v>
      </c>
      <c r="W53" s="3">
        <v>584.37</v>
      </c>
      <c r="X53" s="123">
        <f>IF(Faturamento!$V799="Pago",IFERROR(W53-R53,0),0)</f>
        <v>0</v>
      </c>
      <c r="Y53" s="4"/>
      <c r="Z53" s="4"/>
      <c r="AA53" s="5">
        <v>283032</v>
      </c>
      <c r="AB53" s="5">
        <v>502</v>
      </c>
      <c r="AC53" s="5" t="s">
        <v>434</v>
      </c>
      <c r="AD53" s="5" t="s">
        <v>607</v>
      </c>
      <c r="AE53" s="5">
        <v>59.09</v>
      </c>
      <c r="AG53" s="5" t="s">
        <v>608</v>
      </c>
      <c r="AH53" s="5" t="s">
        <v>441</v>
      </c>
      <c r="AI53"/>
    </row>
    <row r="54" spans="1:35" hidden="1" x14ac:dyDescent="0.3">
      <c r="A54" s="5" t="str">
        <f>VLOOKUP(B54,base!A:M,11,FALSE)</f>
        <v>TRIFÁSICO</v>
      </c>
      <c r="B54" s="37" t="s">
        <v>236</v>
      </c>
      <c r="C54" s="56">
        <v>67996266684</v>
      </c>
      <c r="D54" s="59">
        <v>62955505067660</v>
      </c>
      <c r="E54" s="37" t="s">
        <v>433</v>
      </c>
      <c r="F54" s="37" t="s">
        <v>434</v>
      </c>
      <c r="G54" s="52">
        <v>45689</v>
      </c>
      <c r="H54" s="52" t="str">
        <f>Faturamento!$B166&amp;Faturamento!$G166</f>
        <v>10/3030784-745748</v>
      </c>
      <c r="I54" s="37" t="s">
        <v>435</v>
      </c>
      <c r="J54" s="37">
        <v>738</v>
      </c>
      <c r="K54" s="53">
        <v>863.99</v>
      </c>
      <c r="L54" s="53">
        <v>672.0100000000001</v>
      </c>
      <c r="M54" s="5" t="str">
        <f>IF(Faturamento!$S166&lt;&gt;"","Não emitido",IF(Faturamento!$I166="NÃO","Pendente Fatura", IF(Faturamento!$R166&lt;&gt;"","Aprovado",IF(Faturamento!$O166&lt;&gt;0,"Pendente Emissão","Processo de Calculo"))))</f>
        <v>Aprovado</v>
      </c>
      <c r="N54" s="53">
        <v>767.91999999999985</v>
      </c>
      <c r="O54" s="53">
        <v>575.94000000000005</v>
      </c>
      <c r="P54" s="52"/>
      <c r="Q54" s="52"/>
      <c r="R54" s="53">
        <v>575.94000000000005</v>
      </c>
      <c r="S54" s="37"/>
      <c r="T54" s="51" t="s">
        <v>727</v>
      </c>
      <c r="U54" s="51"/>
      <c r="V54" s="37" t="s">
        <v>568</v>
      </c>
      <c r="W54" s="53">
        <v>575.94000000000005</v>
      </c>
      <c r="X54" s="123">
        <f>IF(Faturamento!$V798="Pago",IFERROR(W54-R54,0),0)</f>
        <v>0</v>
      </c>
      <c r="Y54" s="52"/>
      <c r="Z54" s="52"/>
      <c r="AA54" s="5"/>
      <c r="AB54" s="5"/>
      <c r="AI54"/>
    </row>
    <row r="55" spans="1:35" hidden="1" x14ac:dyDescent="0.3">
      <c r="A55" s="5" t="str">
        <f>VLOOKUP(B55,base!A:M,11,FALSE)</f>
        <v>TRIFÁSICO</v>
      </c>
      <c r="B55" t="s">
        <v>305</v>
      </c>
      <c r="C55" s="1">
        <v>0</v>
      </c>
      <c r="D55" s="60">
        <v>62955505016160</v>
      </c>
      <c r="E55" s="63" t="s">
        <v>433</v>
      </c>
      <c r="F55" t="s">
        <v>434</v>
      </c>
      <c r="G55" s="4">
        <v>45870</v>
      </c>
      <c r="H55" s="4" t="str">
        <f>Faturamento!$B711&amp;Faturamento!$G711</f>
        <v>10/10232-745658</v>
      </c>
      <c r="I55" t="s">
        <v>435</v>
      </c>
      <c r="J55">
        <v>617</v>
      </c>
      <c r="K55" s="3">
        <v>988.17126107295712</v>
      </c>
      <c r="L55" s="3">
        <v>825.5151861387842</v>
      </c>
      <c r="M55" s="5" t="str">
        <f>IF(Faturamento!$S711&lt;&gt;"","Não emitido",IF(Faturamento!$I711="NÃO","Pendente Fatura", IF(Faturamento!$R711&lt;&gt;"","Aprovado",IF(Faturamento!$O711&lt;&gt;0,"Pendente Emissão","Processo de Calculo"))))</f>
        <v>Aprovado</v>
      </c>
      <c r="N55" s="3">
        <v>719.84126107295708</v>
      </c>
      <c r="O55" s="3">
        <v>557.19000000000005</v>
      </c>
      <c r="P55" s="4">
        <v>45910</v>
      </c>
      <c r="Q55" s="4">
        <v>45920</v>
      </c>
      <c r="R55" s="3">
        <v>557.19000000000005</v>
      </c>
      <c r="S55"/>
      <c r="T55" s="51" t="s">
        <v>1325</v>
      </c>
      <c r="U55" s="51" t="s">
        <v>1326</v>
      </c>
      <c r="V55" t="s">
        <v>568</v>
      </c>
      <c r="W55" s="3">
        <v>557.19000000000005</v>
      </c>
      <c r="X55" s="123">
        <f>IF(Faturamento!$V797="Pago",IFERROR(W55-R55,0),0)</f>
        <v>0</v>
      </c>
      <c r="Y55" s="4"/>
      <c r="Z55" s="4"/>
      <c r="AA55" s="5"/>
      <c r="AB55" s="5"/>
      <c r="AI55"/>
    </row>
    <row r="56" spans="1:35" hidden="1" x14ac:dyDescent="0.3">
      <c r="A56" s="5" t="str">
        <f>VLOOKUP(B56,base!A:M,11,FALSE)</f>
        <v>TRIFÁSICO</v>
      </c>
      <c r="B56" s="37" t="s">
        <v>220</v>
      </c>
      <c r="C56" s="56">
        <v>67992637973</v>
      </c>
      <c r="D56" s="59">
        <v>62955505017213</v>
      </c>
      <c r="E56" s="37" t="s">
        <v>433</v>
      </c>
      <c r="F56" s="37" t="s">
        <v>434</v>
      </c>
      <c r="G56" s="52">
        <v>45748</v>
      </c>
      <c r="H56" s="52" t="str">
        <f>Faturamento!$B376&amp;Faturamento!$G376</f>
        <v>10/510330-445870</v>
      </c>
      <c r="I56" s="37" t="s">
        <v>435</v>
      </c>
      <c r="J56" s="37">
        <v>655</v>
      </c>
      <c r="K56" s="53">
        <v>1242.25</v>
      </c>
      <c r="L56" s="53">
        <v>1058.4825000000001</v>
      </c>
      <c r="M56" s="5" t="str">
        <f>IF(Faturamento!$S376&lt;&gt;"","Não emitido",IF(Faturamento!$I376="NÃO","Pendente Fatura", IF(Faturamento!$R376&lt;&gt;"","Aprovado",IF(Faturamento!$O376&lt;&gt;0,"Pendente Emissão","Processo de Calculo"))))</f>
        <v>Aprovado</v>
      </c>
      <c r="N56" s="53">
        <v>735.07</v>
      </c>
      <c r="O56" s="53">
        <v>551.29999999999995</v>
      </c>
      <c r="P56" s="52"/>
      <c r="Q56" s="52"/>
      <c r="R56" s="53">
        <v>551.29999999999995</v>
      </c>
      <c r="S56" s="37"/>
      <c r="T56" s="51" t="s">
        <v>876</v>
      </c>
      <c r="U56" s="51"/>
      <c r="V56" s="37" t="s">
        <v>568</v>
      </c>
      <c r="W56" s="53">
        <v>551.29999999999995</v>
      </c>
      <c r="X56" s="123">
        <f>IF(Faturamento!$V796="Pago",IFERROR(W56-R56,0),0)</f>
        <v>0</v>
      </c>
      <c r="Y56" s="52"/>
      <c r="Z56" s="52"/>
      <c r="AA56" s="5"/>
      <c r="AB56" s="5"/>
      <c r="AI56"/>
    </row>
    <row r="57" spans="1:35" hidden="1" x14ac:dyDescent="0.3">
      <c r="A57" s="5" t="str">
        <f>VLOOKUP(B57,base!A:M,11,FALSE)</f>
        <v>TRIFÁSICO</v>
      </c>
      <c r="B57" t="s">
        <v>189</v>
      </c>
      <c r="C57" s="56">
        <v>67991767866</v>
      </c>
      <c r="D57">
        <v>62955505461210</v>
      </c>
      <c r="E57" s="37" t="s">
        <v>433</v>
      </c>
      <c r="F57" t="s">
        <v>108</v>
      </c>
      <c r="G57" s="4">
        <v>45931</v>
      </c>
      <c r="H57" s="52" t="str">
        <f>Faturamento!$B939&amp;Faturamento!$G939</f>
        <v>10/237441-145809</v>
      </c>
      <c r="I57" s="37" t="s">
        <v>435</v>
      </c>
      <c r="J57">
        <v>659</v>
      </c>
      <c r="K57" s="3">
        <v>1052.9194</v>
      </c>
      <c r="L57" s="3">
        <v>827.19325663688608</v>
      </c>
      <c r="M57" s="5" t="s">
        <v>1489</v>
      </c>
      <c r="N57" s="53">
        <v>807.08940000000007</v>
      </c>
      <c r="O57" s="53">
        <v>533.85</v>
      </c>
      <c r="P57" s="52">
        <v>45967</v>
      </c>
      <c r="Q57" s="52">
        <v>45974</v>
      </c>
      <c r="R57" s="53">
        <v>533.85</v>
      </c>
      <c r="S57" s="37"/>
      <c r="T57" s="3" t="str">
        <f>D57&amp;R57</f>
        <v>62955505461210533,85</v>
      </c>
      <c r="U57" s="3" t="s">
        <v>1751</v>
      </c>
      <c r="V57" s="37" t="s">
        <v>568</v>
      </c>
      <c r="W57" s="13">
        <f>R57</f>
        <v>533.85</v>
      </c>
      <c r="X57" s="124">
        <f>IF(Faturamento!$V941="Pago",IFERROR(W57-R57,0),0)</f>
        <v>0</v>
      </c>
    </row>
    <row r="58" spans="1:35" hidden="1" x14ac:dyDescent="0.3">
      <c r="A58" s="5" t="str">
        <f>VLOOKUP(B58,base!A:M,11,FALSE)</f>
        <v>TRIFÁSICO</v>
      </c>
      <c r="B58" t="s">
        <v>220</v>
      </c>
      <c r="C58" s="1">
        <v>0</v>
      </c>
      <c r="D58" s="60">
        <v>62955505017213</v>
      </c>
      <c r="E58" s="63" t="s">
        <v>433</v>
      </c>
      <c r="F58" t="s">
        <v>434</v>
      </c>
      <c r="G58" s="4">
        <v>45870</v>
      </c>
      <c r="H58" s="4" t="str">
        <f>Faturamento!$B713&amp;Faturamento!$G713</f>
        <v>10/987178-145931</v>
      </c>
      <c r="I58" t="s">
        <v>435</v>
      </c>
      <c r="J58">
        <v>576</v>
      </c>
      <c r="K58" s="3">
        <v>868.37760000000003</v>
      </c>
      <c r="L58" s="3">
        <v>713.53382523579694</v>
      </c>
      <c r="M58" s="5" t="str">
        <f>IF(Faturamento!$S713&lt;&gt;"","Não emitido",IF(Faturamento!$I713="NÃO","Pendente Fatura", IF(Faturamento!$R713&lt;&gt;"","Aprovado",IF(Faturamento!$O713&lt;&gt;0,"Pendente Emissão","Processo de Calculo"))))</f>
        <v>Aprovado</v>
      </c>
      <c r="N58" s="3">
        <v>685.26760000000013</v>
      </c>
      <c r="O58" s="3">
        <v>530.41999999999996</v>
      </c>
      <c r="P58" s="4">
        <v>45910</v>
      </c>
      <c r="Q58" s="4">
        <v>45920</v>
      </c>
      <c r="R58" s="3">
        <v>530.41999999999996</v>
      </c>
      <c r="S58"/>
      <c r="T58" s="51" t="s">
        <v>1329</v>
      </c>
      <c r="U58" s="51" t="s">
        <v>1330</v>
      </c>
      <c r="V58" t="s">
        <v>568</v>
      </c>
      <c r="W58" s="3">
        <v>530.41999999999996</v>
      </c>
      <c r="X58" s="123">
        <f>IF(Faturamento!$V795="Pago",IFERROR(W58-R58,0),0)</f>
        <v>0</v>
      </c>
      <c r="Y58" s="4"/>
      <c r="Z58" s="4"/>
      <c r="AA58" s="5"/>
      <c r="AB58" s="5"/>
      <c r="AI58"/>
    </row>
    <row r="59" spans="1:35" hidden="1" x14ac:dyDescent="0.3">
      <c r="A59" s="5" t="str">
        <f>VLOOKUP(B59,base!A:M,11,FALSE)</f>
        <v>TRIFÁSICO</v>
      </c>
      <c r="B59" s="37" t="s">
        <v>196</v>
      </c>
      <c r="C59" s="56">
        <v>0</v>
      </c>
      <c r="D59" s="59">
        <v>62955505215791</v>
      </c>
      <c r="E59" s="37" t="s">
        <v>433</v>
      </c>
      <c r="F59" s="37" t="s">
        <v>434</v>
      </c>
      <c r="G59" s="52">
        <v>45901</v>
      </c>
      <c r="H59" s="52" t="str">
        <f>Faturamento!$B810&amp;Faturamento!$G810</f>
        <v>10/3214521-145627</v>
      </c>
      <c r="I59" s="37" t="s">
        <v>435</v>
      </c>
      <c r="J59">
        <v>599</v>
      </c>
      <c r="K59" s="3">
        <v>969.73050000000001</v>
      </c>
      <c r="L59" s="3">
        <v>775.37032431035641</v>
      </c>
      <c r="M59" s="5" t="s">
        <v>1489</v>
      </c>
      <c r="N59" s="53">
        <v>723.66049999999996</v>
      </c>
      <c r="O59" s="53">
        <v>529.29999999999995</v>
      </c>
      <c r="P59" s="52">
        <v>45933</v>
      </c>
      <c r="Q59" s="52">
        <v>45943</v>
      </c>
      <c r="R59" s="53">
        <f>O59</f>
        <v>529.29999999999995</v>
      </c>
      <c r="S59" s="37"/>
      <c r="T59" s="51" t="s">
        <v>1504</v>
      </c>
      <c r="U59" s="51" t="s">
        <v>1505</v>
      </c>
      <c r="V59" s="37" t="s">
        <v>568</v>
      </c>
      <c r="W59" s="53">
        <f>O59</f>
        <v>529.29999999999995</v>
      </c>
      <c r="X59" s="123">
        <f>IF(Faturamento!$V794="Pago",IFERROR(W59-R59,0),0)</f>
        <v>0</v>
      </c>
      <c r="Y59" s="52"/>
      <c r="Z59" s="52"/>
      <c r="AA59" s="5"/>
      <c r="AB59" s="5"/>
      <c r="AI59"/>
    </row>
    <row r="60" spans="1:35" hidden="1" x14ac:dyDescent="0.3">
      <c r="A60" s="5" t="str">
        <f>VLOOKUP(B60,base!A:M,11,FALSE)</f>
        <v>TRIFÁSICO</v>
      </c>
      <c r="B60" s="37" t="s">
        <v>196</v>
      </c>
      <c r="C60" s="56" t="s">
        <v>175</v>
      </c>
      <c r="D60" s="59">
        <v>62955505215791</v>
      </c>
      <c r="E60" s="37" t="s">
        <v>433</v>
      </c>
      <c r="F60" s="37" t="s">
        <v>434</v>
      </c>
      <c r="G60" s="52">
        <v>45689</v>
      </c>
      <c r="H60" s="52" t="str">
        <f>Faturamento!$B156&amp;Faturamento!$G156</f>
        <v>10/2247256-745717</v>
      </c>
      <c r="I60" s="37" t="s">
        <v>435</v>
      </c>
      <c r="J60" s="37">
        <v>650</v>
      </c>
      <c r="K60" s="53">
        <v>1147.2</v>
      </c>
      <c r="L60" s="53">
        <v>970.92499999999995</v>
      </c>
      <c r="M60" s="5" t="str">
        <f>IF(Faturamento!$S156&lt;&gt;"","Não emitido",IF(Faturamento!$I156="NÃO","Pendente Fatura", IF(Faturamento!$R156&lt;&gt;"","Aprovado",IF(Faturamento!$O156&lt;&gt;0,"Pendente Emissão","Processo de Calculo"))))</f>
        <v>Aprovado</v>
      </c>
      <c r="N60" s="53">
        <v>705.10000000000014</v>
      </c>
      <c r="O60" s="53">
        <v>528.83000000000004</v>
      </c>
      <c r="P60" s="52"/>
      <c r="Q60" s="52"/>
      <c r="R60" s="53">
        <v>528.83000000000004</v>
      </c>
      <c r="S60" s="37"/>
      <c r="T60" s="51" t="s">
        <v>717</v>
      </c>
      <c r="U60" s="51"/>
      <c r="V60" s="37" t="s">
        <v>568</v>
      </c>
      <c r="W60" s="53">
        <v>528.83000000000004</v>
      </c>
      <c r="X60" s="123">
        <f>IF(Faturamento!$V793="Pago",IFERROR(W60-R60,0),0)</f>
        <v>0</v>
      </c>
      <c r="Y60" s="52"/>
      <c r="Z60" s="52"/>
      <c r="AA60" s="5"/>
      <c r="AB60" s="5"/>
      <c r="AI60"/>
    </row>
    <row r="61" spans="1:35" hidden="1" x14ac:dyDescent="0.3">
      <c r="A61" s="5" t="str">
        <f>VLOOKUP(B61,base!A:M,11,FALSE)</f>
        <v>TRIFÁSICO</v>
      </c>
      <c r="B61" t="s">
        <v>236</v>
      </c>
      <c r="C61" s="1">
        <v>67996266684</v>
      </c>
      <c r="D61" s="60">
        <v>62955505067660</v>
      </c>
      <c r="E61" s="63" t="s">
        <v>433</v>
      </c>
      <c r="F61" t="s">
        <v>434</v>
      </c>
      <c r="G61" s="4">
        <v>45717</v>
      </c>
      <c r="H61" s="4" t="str">
        <f>Faturamento!$B243&amp;Faturamento!$G243</f>
        <v>10/931327-145658</v>
      </c>
      <c r="I61" t="s">
        <v>435</v>
      </c>
      <c r="J61">
        <v>673</v>
      </c>
      <c r="K61" s="3">
        <v>798.13</v>
      </c>
      <c r="L61" s="3">
        <v>622.97749999999996</v>
      </c>
      <c r="M61" s="5" t="str">
        <f>IF(Faturamento!$S243&lt;&gt;"","Não emitido",IF(Faturamento!$I243="NÃO","Pendente Fatura", IF(Faturamento!$R243&lt;&gt;"","Aprovado",IF(Faturamento!$O243&lt;&gt;0,"Pendente Emissão","Processo de Calculo"))))</f>
        <v>Aprovado</v>
      </c>
      <c r="N61" s="3">
        <v>700.61000000000013</v>
      </c>
      <c r="O61" s="3">
        <v>525.46</v>
      </c>
      <c r="P61" s="4"/>
      <c r="Q61" s="4"/>
      <c r="R61" s="3">
        <v>525.46</v>
      </c>
      <c r="S61"/>
      <c r="T61" s="51" t="s">
        <v>784</v>
      </c>
      <c r="U61" s="51"/>
      <c r="V61" t="s">
        <v>568</v>
      </c>
      <c r="W61" s="3">
        <v>525.46</v>
      </c>
      <c r="X61" s="123">
        <f>IF(Faturamento!$V792="Pago",IFERROR(W61-R61,0),0)</f>
        <v>0</v>
      </c>
      <c r="Y61" s="4"/>
      <c r="Z61" s="4"/>
      <c r="AA61" s="5"/>
      <c r="AB61" s="5"/>
      <c r="AI61"/>
    </row>
    <row r="62" spans="1:35" hidden="1" x14ac:dyDescent="0.3">
      <c r="A62" s="5" t="str">
        <f>VLOOKUP(B62,base!A:M,11,FALSE)</f>
        <v>TRIFÁSICO</v>
      </c>
      <c r="B62" s="37" t="s">
        <v>236</v>
      </c>
      <c r="C62" s="56">
        <v>67996266684</v>
      </c>
      <c r="D62" s="59">
        <v>62955505067660</v>
      </c>
      <c r="E62" s="37" t="s">
        <v>433</v>
      </c>
      <c r="F62" s="37" t="s">
        <v>434</v>
      </c>
      <c r="G62" s="52">
        <v>45748</v>
      </c>
      <c r="H62" s="52" t="str">
        <f>Faturamento!$B340&amp;Faturamento!$G340</f>
        <v>10/480529-745748</v>
      </c>
      <c r="I62" s="37" t="s">
        <v>435</v>
      </c>
      <c r="J62" s="37">
        <v>646</v>
      </c>
      <c r="K62" s="53">
        <v>776.09</v>
      </c>
      <c r="L62" s="53">
        <v>607.78250000000003</v>
      </c>
      <c r="M62" s="5" t="str">
        <f>IF(Faturamento!$S340&lt;&gt;"","Não emitido",IF(Faturamento!$I340="NÃO","Pendente Fatura", IF(Faturamento!$R340&lt;&gt;"","Aprovado",IF(Faturamento!$O340&lt;&gt;0,"Pendente Emissão","Processo de Calculo"))))</f>
        <v>Aprovado</v>
      </c>
      <c r="N62" s="53">
        <v>673.23</v>
      </c>
      <c r="O62" s="53">
        <v>504.92</v>
      </c>
      <c r="P62" s="52"/>
      <c r="Q62" s="52"/>
      <c r="R62" s="53">
        <v>504.92</v>
      </c>
      <c r="S62" s="37"/>
      <c r="T62" s="51" t="s">
        <v>843</v>
      </c>
      <c r="U62" s="51"/>
      <c r="V62" s="37" t="s">
        <v>568</v>
      </c>
      <c r="W62" s="53">
        <v>504.92</v>
      </c>
      <c r="X62" s="123">
        <f>IF(Faturamento!$V791="Pago",IFERROR(W62-R62,0),0)</f>
        <v>0</v>
      </c>
      <c r="Y62" s="52"/>
      <c r="Z62" s="52"/>
      <c r="AA62" s="5"/>
      <c r="AB62" s="5"/>
      <c r="AI62"/>
    </row>
    <row r="63" spans="1:35" hidden="1" x14ac:dyDescent="0.3">
      <c r="A63" s="5" t="str">
        <f>VLOOKUP(B63,base!A:M,11,FALSE)</f>
        <v>BIFÁSICO</v>
      </c>
      <c r="B63" t="s">
        <v>318</v>
      </c>
      <c r="C63" s="1">
        <v>67999998719</v>
      </c>
      <c r="D63" s="60">
        <v>62955505015431</v>
      </c>
      <c r="E63" s="63" t="s">
        <v>433</v>
      </c>
      <c r="F63" t="s">
        <v>434</v>
      </c>
      <c r="G63" s="4">
        <v>45717</v>
      </c>
      <c r="H63" s="4" t="str">
        <f>Faturamento!$B299&amp;Faturamento!$G299</f>
        <v>10/1433087-245717</v>
      </c>
      <c r="I63" t="s">
        <v>435</v>
      </c>
      <c r="J63">
        <v>602</v>
      </c>
      <c r="K63" s="3">
        <v>1138.57</v>
      </c>
      <c r="L63" s="3">
        <v>970.57249999999999</v>
      </c>
      <c r="M63" s="5" t="str">
        <f>IF(Faturamento!$S299&lt;&gt;"","Não emitido",IF(Faturamento!$I299="NÃO","Pendente Fatura", IF(Faturamento!$R299&lt;&gt;"","Aprovado",IF(Faturamento!$O299&lt;&gt;0,"Pendente Emissão","Processo de Calculo"))))</f>
        <v>Aprovado</v>
      </c>
      <c r="N63" s="3">
        <v>671.99</v>
      </c>
      <c r="O63" s="3">
        <v>503.99</v>
      </c>
      <c r="P63" s="4"/>
      <c r="Q63" s="4"/>
      <c r="R63" s="3">
        <v>503.99</v>
      </c>
      <c r="S63"/>
      <c r="T63" s="51" t="s">
        <v>827</v>
      </c>
      <c r="U63" s="51"/>
      <c r="V63" t="s">
        <v>568</v>
      </c>
      <c r="W63" s="3">
        <v>503.99</v>
      </c>
      <c r="X63" s="123">
        <f>IF(Faturamento!$V790="Pago",IFERROR(W63-R63,0),0)</f>
        <v>0</v>
      </c>
      <c r="Y63" s="4"/>
      <c r="Z63" s="4"/>
      <c r="AA63" s="5"/>
      <c r="AB63" s="5"/>
      <c r="AI63"/>
    </row>
    <row r="64" spans="1:35" hidden="1" x14ac:dyDescent="0.3">
      <c r="A64" s="5" t="e">
        <f>VLOOKUP(B64,base!A:M,11,FALSE)</f>
        <v>#N/A</v>
      </c>
      <c r="B64" t="s">
        <v>658</v>
      </c>
      <c r="C64" s="56" t="e">
        <v>#N/A</v>
      </c>
      <c r="D64" t="s">
        <v>1180</v>
      </c>
      <c r="E64" s="37" t="s">
        <v>433</v>
      </c>
      <c r="F64" t="s">
        <v>108</v>
      </c>
      <c r="G64" s="4">
        <v>45931</v>
      </c>
      <c r="H64" s="52" t="str">
        <f>Faturamento!$B976&amp;Faturamento!$G976</f>
        <v>10/505854-045870</v>
      </c>
      <c r="I64" s="37" t="s">
        <v>435</v>
      </c>
      <c r="J64">
        <v>629</v>
      </c>
      <c r="M64" s="5" t="s">
        <v>1536</v>
      </c>
      <c r="N64" s="53">
        <v>680.30857142857144</v>
      </c>
      <c r="O64" s="53">
        <v>490.04</v>
      </c>
      <c r="P64" s="53" t="s">
        <v>1684</v>
      </c>
      <c r="Q64" s="53" t="s">
        <v>1684</v>
      </c>
      <c r="R64" s="53" t="s">
        <v>1684</v>
      </c>
      <c r="S64" s="37" t="s">
        <v>1393</v>
      </c>
      <c r="T64" s="3" t="str">
        <f>D64&amp;R64</f>
        <v>#ND-</v>
      </c>
      <c r="U64" s="3" t="e">
        <v>#N/A</v>
      </c>
      <c r="V64" s="37" t="s">
        <v>438</v>
      </c>
      <c r="X64" s="124">
        <f>IF(Faturamento!$V978="Pago",IFERROR(W64-R64,0),0)</f>
        <v>0</v>
      </c>
    </row>
    <row r="65" spans="1:35" hidden="1" x14ac:dyDescent="0.3">
      <c r="A65" s="5" t="str">
        <f>VLOOKUP(B65,base!A:M,11,FALSE)</f>
        <v>TRIFÁSICO</v>
      </c>
      <c r="B65" s="37" t="s">
        <v>218</v>
      </c>
      <c r="C65" s="56">
        <v>67991120875</v>
      </c>
      <c r="D65" s="59">
        <v>62955505379395</v>
      </c>
      <c r="E65" s="37" t="s">
        <v>433</v>
      </c>
      <c r="F65" s="37" t="s">
        <v>434</v>
      </c>
      <c r="G65" s="52">
        <v>45778</v>
      </c>
      <c r="H65" s="52" t="str">
        <f>Faturamento!$B470&amp;Faturamento!$G470</f>
        <v>10/63920-345809</v>
      </c>
      <c r="I65" s="37" t="s">
        <v>435</v>
      </c>
      <c r="J65">
        <v>575</v>
      </c>
      <c r="K65" s="3">
        <v>759.38250000000005</v>
      </c>
      <c r="L65" s="3">
        <v>597.66437499999995</v>
      </c>
      <c r="M65" s="5" t="str">
        <f>IF(Faturamento!$S470&lt;&gt;"","Não emitido",IF(Faturamento!$I470="NÃO","Pendente Fatura", IF(Faturamento!$R470&lt;&gt;"","Aprovado",IF(Faturamento!$O470&lt;&gt;0,"Pendente Emissão","Processo de Calculo"))))</f>
        <v>Aprovado</v>
      </c>
      <c r="N65" s="53">
        <v>646.87250000000006</v>
      </c>
      <c r="O65" s="53">
        <v>485.15</v>
      </c>
      <c r="P65" s="52"/>
      <c r="Q65" s="52"/>
      <c r="R65" s="53">
        <v>485.15</v>
      </c>
      <c r="S65" s="37"/>
      <c r="T65" s="51" t="s">
        <v>962</v>
      </c>
      <c r="U65" s="51"/>
      <c r="V65" s="37" t="s">
        <v>369</v>
      </c>
      <c r="W65" s="53">
        <v>0</v>
      </c>
      <c r="X65" s="123">
        <f>IF(Faturamento!$V184="Pago",IFERROR(W65-R65,0),0)</f>
        <v>-485.15</v>
      </c>
      <c r="Y65" s="52"/>
      <c r="Z65" s="196" t="s">
        <v>1795</v>
      </c>
      <c r="AA65" s="5"/>
      <c r="AB65" s="5"/>
      <c r="AI65"/>
    </row>
    <row r="66" spans="1:35" hidden="1" x14ac:dyDescent="0.3">
      <c r="A66" s="5" t="str">
        <f>VLOOKUP(B66,base!A:M,11,FALSE)</f>
        <v>TRIFÁSICO</v>
      </c>
      <c r="B66" t="s">
        <v>302</v>
      </c>
      <c r="C66" s="56">
        <v>67992637973</v>
      </c>
      <c r="D66">
        <v>62955505321630</v>
      </c>
      <c r="E66" s="37" t="s">
        <v>433</v>
      </c>
      <c r="F66" t="s">
        <v>108</v>
      </c>
      <c r="G66" s="4">
        <v>45931</v>
      </c>
      <c r="H66" s="52" t="str">
        <f>Faturamento!$B944&amp;Faturamento!$G944</f>
        <v>10/987178-145809</v>
      </c>
      <c r="I66" s="37" t="s">
        <v>435</v>
      </c>
      <c r="J66">
        <v>545</v>
      </c>
      <c r="K66" s="3">
        <v>917.94100000000014</v>
      </c>
      <c r="L66" s="3">
        <v>730.16967769385815</v>
      </c>
      <c r="M66" s="5" t="s">
        <v>1489</v>
      </c>
      <c r="N66" s="53">
        <v>671.38100000000009</v>
      </c>
      <c r="O66" s="53">
        <v>483.61</v>
      </c>
      <c r="P66" s="52">
        <v>45967</v>
      </c>
      <c r="Q66" s="52">
        <v>45974</v>
      </c>
      <c r="R66" s="53">
        <v>483.61</v>
      </c>
      <c r="S66" s="37"/>
      <c r="T66" s="3" t="str">
        <f>D66&amp;R66</f>
        <v>62955505321630483,61</v>
      </c>
      <c r="U66" s="3" t="s">
        <v>1756</v>
      </c>
      <c r="V66" s="37" t="s">
        <v>568</v>
      </c>
      <c r="W66" s="13">
        <f>R66</f>
        <v>483.61</v>
      </c>
      <c r="X66" s="124">
        <f>IF(Faturamento!$V946="Pago",IFERROR(W66-R66,0),0)</f>
        <v>0</v>
      </c>
    </row>
    <row r="67" spans="1:35" hidden="1" x14ac:dyDescent="0.3">
      <c r="A67" s="5" t="str">
        <f>VLOOKUP(B67,base!A:M,11,FALSE)</f>
        <v>TRIFÁSICO</v>
      </c>
      <c r="B67" s="37" t="s">
        <v>200</v>
      </c>
      <c r="C67" s="56">
        <v>0</v>
      </c>
      <c r="D67" s="59">
        <v>62955505016403</v>
      </c>
      <c r="E67" s="37" t="s">
        <v>433</v>
      </c>
      <c r="F67" s="37" t="s">
        <v>434</v>
      </c>
      <c r="G67" s="52">
        <v>45901</v>
      </c>
      <c r="H67" s="52" t="str">
        <f>Faturamento!$B806&amp;Faturamento!$G806</f>
        <v>10/29964-445627</v>
      </c>
      <c r="I67" s="37" t="s">
        <v>435</v>
      </c>
      <c r="J67">
        <v>540</v>
      </c>
      <c r="K67" s="3">
        <v>904.2059999999999</v>
      </c>
      <c r="L67" s="3">
        <v>729.00210318833297</v>
      </c>
      <c r="M67" s="5" t="s">
        <v>1489</v>
      </c>
      <c r="N67" s="53">
        <v>652.33600000000001</v>
      </c>
      <c r="O67" s="53">
        <v>477.13</v>
      </c>
      <c r="P67" s="52">
        <v>45933</v>
      </c>
      <c r="Q67" s="52">
        <v>45943</v>
      </c>
      <c r="R67" s="53">
        <f>O67</f>
        <v>477.13</v>
      </c>
      <c r="S67" s="37"/>
      <c r="T67" s="51" t="s">
        <v>1496</v>
      </c>
      <c r="U67" s="51" t="s">
        <v>1497</v>
      </c>
      <c r="V67" s="37" t="s">
        <v>568</v>
      </c>
      <c r="W67" s="53">
        <f>O67</f>
        <v>477.13</v>
      </c>
      <c r="X67" s="123">
        <f>IF(Faturamento!$V789="Pago",IFERROR(W67-R67,0),0)</f>
        <v>0</v>
      </c>
      <c r="Y67" s="52"/>
      <c r="Z67" s="52"/>
      <c r="AA67" s="5"/>
      <c r="AB67" s="5"/>
      <c r="AI67"/>
    </row>
    <row r="68" spans="1:35" hidden="1" x14ac:dyDescent="0.3">
      <c r="A68" s="5" t="str">
        <f>VLOOKUP(B68,base!A:M,11,FALSE)</f>
        <v>TRIFÁSICO</v>
      </c>
      <c r="B68" s="37" t="s">
        <v>294</v>
      </c>
      <c r="C68" s="56">
        <v>67992637973</v>
      </c>
      <c r="D68" s="59">
        <v>62955505367117</v>
      </c>
      <c r="E68" s="37" t="s">
        <v>433</v>
      </c>
      <c r="F68" s="37" t="s">
        <v>434</v>
      </c>
      <c r="G68" s="52">
        <v>45689</v>
      </c>
      <c r="H68" s="52" t="str">
        <f>Faturamento!$B174&amp;Faturamento!$G174</f>
        <v>10/1695011-545717</v>
      </c>
      <c r="I68" s="37" t="s">
        <v>435</v>
      </c>
      <c r="J68" s="37">
        <v>606</v>
      </c>
      <c r="K68" s="53">
        <v>889.87</v>
      </c>
      <c r="L68" s="53">
        <v>732.4525000000001</v>
      </c>
      <c r="M68" s="5" t="str">
        <f>IF(Faturamento!$S174&lt;&gt;"","Não emitido",IF(Faturamento!$I174="NÃO","Pendente Fatura", IF(Faturamento!$R174&lt;&gt;"","Aprovado",IF(Faturamento!$O174&lt;&gt;0,"Pendente Emissão","Processo de Calculo"))))</f>
        <v>Aprovado</v>
      </c>
      <c r="N68" s="53">
        <v>629.67000000000007</v>
      </c>
      <c r="O68" s="53">
        <v>472.25</v>
      </c>
      <c r="P68" s="52"/>
      <c r="Q68" s="52"/>
      <c r="R68" s="53">
        <v>472.25</v>
      </c>
      <c r="S68" s="37"/>
      <c r="T68" s="51" t="s">
        <v>734</v>
      </c>
      <c r="U68" s="51"/>
      <c r="V68" s="37" t="s">
        <v>568</v>
      </c>
      <c r="W68" s="53">
        <v>472.25</v>
      </c>
      <c r="X68" s="123">
        <f>IF(Faturamento!$V788="Pago",IFERROR(W68-R68,0),0)</f>
        <v>0</v>
      </c>
      <c r="Y68" s="52"/>
      <c r="Z68" s="52"/>
      <c r="AA68" s="5"/>
      <c r="AB68" s="5"/>
      <c r="AI68"/>
    </row>
    <row r="69" spans="1:35" hidden="1" x14ac:dyDescent="0.3">
      <c r="A69" s="5" t="str">
        <f>VLOOKUP(B69,base!A:M,11,FALSE)</f>
        <v>TRIFÁSICO</v>
      </c>
      <c r="B69" s="37" t="s">
        <v>238</v>
      </c>
      <c r="C69" s="56">
        <v>67996266684</v>
      </c>
      <c r="D69" s="59">
        <v>62955505016080</v>
      </c>
      <c r="E69" s="37" t="s">
        <v>433</v>
      </c>
      <c r="F69" s="37" t="s">
        <v>434</v>
      </c>
      <c r="G69" s="52">
        <v>45689</v>
      </c>
      <c r="H69" s="52" t="str">
        <f>Faturamento!$B168&amp;Faturamento!$G168</f>
        <v>10/3092868-345748</v>
      </c>
      <c r="I69" s="37" t="s">
        <v>435</v>
      </c>
      <c r="J69" s="37">
        <v>583</v>
      </c>
      <c r="K69" s="53">
        <v>822.51</v>
      </c>
      <c r="L69" s="53">
        <v>667.21</v>
      </c>
      <c r="M69" s="5" t="str">
        <f>IF(Faturamento!$S168&lt;&gt;"","Não emitido",IF(Faturamento!$I168="NÃO","Pendente Fatura", IF(Faturamento!$R168&lt;&gt;"","Aprovado",IF(Faturamento!$O168&lt;&gt;0,"Pendente Emissão","Processo de Calculo"))))</f>
        <v>Aprovado</v>
      </c>
      <c r="N69" s="53">
        <v>621.19999999999993</v>
      </c>
      <c r="O69" s="53">
        <v>465.9</v>
      </c>
      <c r="P69" s="52"/>
      <c r="Q69" s="52"/>
      <c r="R69" s="53">
        <v>465.9</v>
      </c>
      <c r="S69" s="37"/>
      <c r="T69" s="51" t="s">
        <v>728</v>
      </c>
      <c r="U69" s="51"/>
      <c r="V69" s="37" t="s">
        <v>568</v>
      </c>
      <c r="W69" s="53">
        <v>465.9</v>
      </c>
      <c r="X69" s="123">
        <f>IF(Faturamento!$V787="Pago",IFERROR(W69-R69,0),0)</f>
        <v>0</v>
      </c>
      <c r="Y69" s="52"/>
      <c r="Z69" s="52"/>
      <c r="AA69" s="5"/>
      <c r="AB69" s="5"/>
      <c r="AI69"/>
    </row>
    <row r="70" spans="1:35" hidden="1" x14ac:dyDescent="0.3">
      <c r="A70" s="5" t="str">
        <f>VLOOKUP(B70,base!A:M,11,FALSE)</f>
        <v>TRIFÁSICO</v>
      </c>
      <c r="B70" s="37" t="s">
        <v>224</v>
      </c>
      <c r="C70" s="56" t="s">
        <v>226</v>
      </c>
      <c r="D70" s="59">
        <v>62955505177504</v>
      </c>
      <c r="E70" s="37" t="s">
        <v>433</v>
      </c>
      <c r="F70" s="37" t="s">
        <v>434</v>
      </c>
      <c r="G70" s="52">
        <v>45658</v>
      </c>
      <c r="H70" s="52" t="str">
        <f>Faturamento!$B68&amp;Faturamento!$G68</f>
        <v>10/510330-445689</v>
      </c>
      <c r="I70" s="37" t="s">
        <v>435</v>
      </c>
      <c r="J70">
        <v>589</v>
      </c>
      <c r="K70" s="3">
        <v>836.99</v>
      </c>
      <c r="L70" s="3">
        <v>683.34249999999997</v>
      </c>
      <c r="M70" s="5" t="str">
        <f>IF(Faturamento!$S68&lt;&gt;"","Não emitido",IF(Faturamento!$I68="NÃO","Pendente Fatura", IF(Faturamento!$R68&lt;&gt;"","Aprovado",IF(Faturamento!$O68&lt;&gt;0,"Pendente Emissão","Processo de Calculo"))))</f>
        <v>Aprovado</v>
      </c>
      <c r="N70" s="53">
        <v>614.59</v>
      </c>
      <c r="O70" s="53">
        <v>460.94</v>
      </c>
      <c r="P70" s="52"/>
      <c r="Q70" s="52"/>
      <c r="R70" s="53">
        <v>460.94</v>
      </c>
      <c r="S70" s="37"/>
      <c r="T70" s="51" t="s">
        <v>629</v>
      </c>
      <c r="U70" s="51"/>
      <c r="V70" s="37" t="s">
        <v>568</v>
      </c>
      <c r="W70" s="53">
        <v>460.94</v>
      </c>
      <c r="X70" s="123">
        <f>IF(Faturamento!$V786="Pago",IFERROR(W70-R70,0),0)</f>
        <v>0</v>
      </c>
      <c r="Y70" s="52"/>
      <c r="Z70" s="52"/>
      <c r="AA70" s="5"/>
      <c r="AB70" s="5"/>
      <c r="AI70"/>
    </row>
    <row r="71" spans="1:35" hidden="1" x14ac:dyDescent="0.3">
      <c r="A71" s="5" t="str">
        <f>VLOOKUP(B71,base!A:M,11,FALSE)</f>
        <v>TRIFÁSICO</v>
      </c>
      <c r="B71" t="s">
        <v>236</v>
      </c>
      <c r="C71" s="1">
        <v>67996266684</v>
      </c>
      <c r="D71" s="60">
        <v>62955505067660</v>
      </c>
      <c r="E71" s="63" t="s">
        <v>433</v>
      </c>
      <c r="F71" t="s">
        <v>434</v>
      </c>
      <c r="G71" s="4">
        <v>45658</v>
      </c>
      <c r="H71" s="4" t="str">
        <f>Faturamento!$B69&amp;Faturamento!$G69</f>
        <v>10/3030784-745689</v>
      </c>
      <c r="I71" t="s">
        <v>435</v>
      </c>
      <c r="J71">
        <v>547</v>
      </c>
      <c r="K71" s="3">
        <v>876.26</v>
      </c>
      <c r="L71" s="3">
        <v>723.61500000000001</v>
      </c>
      <c r="M71" s="5" t="str">
        <f>IF(Faturamento!$S69&lt;&gt;"","Não emitido",IF(Faturamento!$I69="NÃO","Pendente Fatura", IF(Faturamento!$R69&lt;&gt;"","Aprovado",IF(Faturamento!$O69&lt;&gt;0,"Pendente Emissão","Processo de Calculo"))))</f>
        <v>Aprovado</v>
      </c>
      <c r="N71" s="3">
        <v>610.57999999999993</v>
      </c>
      <c r="O71" s="3">
        <v>457.94</v>
      </c>
      <c r="P71" s="4"/>
      <c r="Q71" s="4"/>
      <c r="R71" s="3">
        <v>457.94</v>
      </c>
      <c r="S71"/>
      <c r="T71" s="51" t="s">
        <v>630</v>
      </c>
      <c r="U71" s="51"/>
      <c r="V71" t="s">
        <v>568</v>
      </c>
      <c r="W71" s="3">
        <v>457.94</v>
      </c>
      <c r="X71" s="123">
        <f>IF(Faturamento!$V785="Pago",IFERROR(W71-R71,0),0)</f>
        <v>0</v>
      </c>
      <c r="Y71" s="4"/>
      <c r="Z71" s="4"/>
      <c r="AA71" s="5"/>
      <c r="AB71" s="5"/>
      <c r="AI71"/>
    </row>
    <row r="72" spans="1:35" hidden="1" x14ac:dyDescent="0.3">
      <c r="A72" s="5" t="str">
        <f>VLOOKUP(B72,base!A:M,11,FALSE)</f>
        <v>TRIFÁSICO</v>
      </c>
      <c r="B72" t="s">
        <v>148</v>
      </c>
      <c r="C72" s="56">
        <v>67996150274</v>
      </c>
      <c r="D72">
        <v>62955505331198</v>
      </c>
      <c r="E72" s="37" t="s">
        <v>433</v>
      </c>
      <c r="F72" t="s">
        <v>108</v>
      </c>
      <c r="G72" s="4">
        <v>45931</v>
      </c>
      <c r="H72" s="52" t="str">
        <f>Faturamento!$B897&amp;Faturamento!$G897</f>
        <v>10/127464-645717</v>
      </c>
      <c r="I72" s="37" t="s">
        <v>435</v>
      </c>
      <c r="J72">
        <v>576</v>
      </c>
      <c r="K72" s="3">
        <v>826.11800000000017</v>
      </c>
      <c r="L72" s="3">
        <v>652.25876171987966</v>
      </c>
      <c r="M72" s="5" t="s">
        <v>1489</v>
      </c>
      <c r="N72" s="53">
        <v>621.63799999999992</v>
      </c>
      <c r="O72" s="53">
        <v>447.78</v>
      </c>
      <c r="P72" s="52">
        <v>45967</v>
      </c>
      <c r="Q72" s="52">
        <v>45974</v>
      </c>
      <c r="R72" s="53">
        <v>447.78</v>
      </c>
      <c r="S72" s="37"/>
      <c r="T72" s="3" t="str">
        <f>D72&amp;R72</f>
        <v>62955505331198447,78</v>
      </c>
      <c r="U72" s="3" t="s">
        <v>1709</v>
      </c>
      <c r="V72" s="37" t="s">
        <v>568</v>
      </c>
      <c r="W72" s="13">
        <f>R72</f>
        <v>447.78</v>
      </c>
      <c r="X72" s="124">
        <f>IF(Faturamento!$V899="Pago",IFERROR(W72-R72,0),0)</f>
        <v>0</v>
      </c>
    </row>
    <row r="73" spans="1:35" x14ac:dyDescent="0.3">
      <c r="A73" s="5" t="str">
        <f>VLOOKUP(B73,base!A:M,11,FALSE)</f>
        <v>TRIFÁSICO</v>
      </c>
      <c r="B73" s="37" t="s">
        <v>244</v>
      </c>
      <c r="C73" s="56" t="s">
        <v>166</v>
      </c>
      <c r="D73" s="59">
        <v>62955505419443</v>
      </c>
      <c r="E73" s="37" t="s">
        <v>433</v>
      </c>
      <c r="F73" s="37" t="s">
        <v>434</v>
      </c>
      <c r="G73" s="52">
        <v>45717</v>
      </c>
      <c r="H73" s="52" t="str">
        <f>Faturamento!$B248&amp;Faturamento!$G248</f>
        <v>10/61344-845931</v>
      </c>
      <c r="I73" s="37" t="s">
        <v>435</v>
      </c>
      <c r="J73">
        <v>568</v>
      </c>
      <c r="K73" s="3">
        <v>690.96</v>
      </c>
      <c r="L73" s="3">
        <v>543.30000000000007</v>
      </c>
      <c r="M73" s="5" t="str">
        <f>IF(Faturamento!$S248&lt;&gt;"","Não emitido",IF(Faturamento!$I248="NÃO","Pendente Fatura", IF(Faturamento!$R248&lt;&gt;"","Aprovado",IF(Faturamento!$O248&lt;&gt;0,"Pendente Emissão","Processo de Calculo"))))</f>
        <v>Aprovado</v>
      </c>
      <c r="N73" s="53">
        <v>590.64</v>
      </c>
      <c r="O73" s="53">
        <v>442.98</v>
      </c>
      <c r="P73" s="52"/>
      <c r="Q73" s="52"/>
      <c r="R73" s="53">
        <v>442.98</v>
      </c>
      <c r="S73" s="37"/>
      <c r="T73" s="51" t="s">
        <v>789</v>
      </c>
      <c r="U73" s="51"/>
      <c r="V73" s="37" t="s">
        <v>568</v>
      </c>
      <c r="W73" s="53">
        <v>442.98</v>
      </c>
      <c r="X73" s="123">
        <f>IF(Faturamento!$V784="Pago",IFERROR(W73-R73,0),0)</f>
        <v>0</v>
      </c>
      <c r="Y73" s="52"/>
      <c r="Z73" s="52"/>
      <c r="AA73" s="5"/>
      <c r="AB73" s="5"/>
      <c r="AI73"/>
    </row>
    <row r="74" spans="1:35" hidden="1" x14ac:dyDescent="0.3">
      <c r="A74" s="5" t="e">
        <f>VLOOKUP(B74,base!A:M,11,FALSE)</f>
        <v>#N/A</v>
      </c>
      <c r="B74" s="37" t="s">
        <v>692</v>
      </c>
      <c r="C74" s="56" t="e">
        <v>#N/A</v>
      </c>
      <c r="D74" s="59">
        <v>62955505057789</v>
      </c>
      <c r="E74" s="37" t="s">
        <v>433</v>
      </c>
      <c r="F74" s="37" t="s">
        <v>434</v>
      </c>
      <c r="G74" s="52">
        <v>45717</v>
      </c>
      <c r="H74" s="52" t="str">
        <f>Faturamento!$B284&amp;Faturamento!$G284</f>
        <v>10/2599101-945870</v>
      </c>
      <c r="I74" s="37" t="s">
        <v>435</v>
      </c>
      <c r="J74">
        <v>602</v>
      </c>
      <c r="K74" s="3">
        <v>1109.56</v>
      </c>
      <c r="L74" s="3">
        <v>962.96249999999986</v>
      </c>
      <c r="M74" s="5" t="str">
        <f>IF(Faturamento!$S284&lt;&gt;"","Não emitido",IF(Faturamento!$I284="NÃO","Pendente Fatura", IF(Faturamento!$R284&lt;&gt;"","Aprovado",IF(Faturamento!$O284&lt;&gt;0,"Pendente Emissão","Processo de Calculo"))))</f>
        <v>Aprovado</v>
      </c>
      <c r="N74" s="53">
        <v>586.3900000000001</v>
      </c>
      <c r="O74" s="53">
        <v>439.79</v>
      </c>
      <c r="P74" s="52"/>
      <c r="Q74" s="52"/>
      <c r="R74" s="53">
        <v>439.79</v>
      </c>
      <c r="S74" s="37"/>
      <c r="T74" s="51" t="s">
        <v>824</v>
      </c>
      <c r="U74" s="51"/>
      <c r="V74" s="37" t="s">
        <v>369</v>
      </c>
      <c r="W74" s="53">
        <v>0</v>
      </c>
      <c r="X74" s="123">
        <f>IF(Faturamento!$V112="Pago",IFERROR(W74-R74,0),0)</f>
        <v>-439.79</v>
      </c>
      <c r="Y74" s="52"/>
      <c r="Z74" s="196" t="s">
        <v>1795</v>
      </c>
      <c r="AA74" s="5"/>
      <c r="AB74" s="5"/>
      <c r="AI74" t="str">
        <f>VLOOKUP(B74,'[1]Conciliação - 032025'!$A:$L,12,FALSE)</f>
        <v>VALOR DEVIDO - Cancelamento via email dia 30/04, tenho tudo formalizado por whatsapp com Diil</v>
      </c>
    </row>
    <row r="75" spans="1:35" hidden="1" x14ac:dyDescent="0.3">
      <c r="A75" s="5" t="str">
        <f>VLOOKUP(B75,base!A:M,11,FALSE)</f>
        <v>TRIFÁSICO</v>
      </c>
      <c r="B75" s="37" t="s">
        <v>200</v>
      </c>
      <c r="C75" s="56">
        <v>67992637973</v>
      </c>
      <c r="D75" s="59">
        <v>62955505016403</v>
      </c>
      <c r="E75" s="37" t="s">
        <v>433</v>
      </c>
      <c r="F75" s="37" t="s">
        <v>434</v>
      </c>
      <c r="G75" s="52">
        <v>45748</v>
      </c>
      <c r="H75" s="52" t="str">
        <f>Faturamento!$B374&amp;Faturamento!$G374</f>
        <v>10/1672452-845809</v>
      </c>
      <c r="I75" s="37" t="s">
        <v>435</v>
      </c>
      <c r="J75" s="37">
        <v>523</v>
      </c>
      <c r="K75" s="53">
        <v>1079.03</v>
      </c>
      <c r="L75" s="53">
        <v>933.06999999999994</v>
      </c>
      <c r="M75" s="5" t="str">
        <f>IF(Faturamento!$S374&lt;&gt;"","Não emitido",IF(Faturamento!$I374="NÃO","Pendente Fatura", IF(Faturamento!$R374&lt;&gt;"","Aprovado",IF(Faturamento!$O374&lt;&gt;0,"Pendente Emissão","Processo de Calculo"))))</f>
        <v>Aprovado</v>
      </c>
      <c r="N75" s="53">
        <v>583.83999999999992</v>
      </c>
      <c r="O75" s="53">
        <v>437.88</v>
      </c>
      <c r="P75" s="52"/>
      <c r="Q75" s="52"/>
      <c r="R75" s="53">
        <v>437.88</v>
      </c>
      <c r="S75" s="37"/>
      <c r="T75" s="51" t="s">
        <v>874</v>
      </c>
      <c r="U75" s="51"/>
      <c r="V75" s="37" t="s">
        <v>568</v>
      </c>
      <c r="W75" s="53">
        <v>437.88</v>
      </c>
      <c r="X75" s="123">
        <f>IF(Faturamento!$V783="Pago",IFERROR(W75-R75,0),0)</f>
        <v>0</v>
      </c>
      <c r="Y75" s="52"/>
      <c r="Z75" s="52"/>
      <c r="AA75" s="5"/>
      <c r="AB75" s="5"/>
      <c r="AI75"/>
    </row>
    <row r="76" spans="1:35" hidden="1" x14ac:dyDescent="0.3">
      <c r="A76" s="5" t="str">
        <f>VLOOKUP(B76,base!A:M,11,FALSE)</f>
        <v>TRIFÁSICO</v>
      </c>
      <c r="B76" t="s">
        <v>184</v>
      </c>
      <c r="C76" s="56">
        <v>67992637973</v>
      </c>
      <c r="D76">
        <v>62955505017213</v>
      </c>
      <c r="E76" s="37" t="s">
        <v>433</v>
      </c>
      <c r="F76" t="s">
        <v>108</v>
      </c>
      <c r="G76" s="4">
        <v>45931</v>
      </c>
      <c r="H76" s="52" t="str">
        <f>Faturamento!$B951&amp;Faturamento!$G951</f>
        <v>10/505854-045809</v>
      </c>
      <c r="I76" s="37" t="s">
        <v>435</v>
      </c>
      <c r="J76">
        <v>487</v>
      </c>
      <c r="K76" s="3">
        <v>785.05190000000005</v>
      </c>
      <c r="L76" s="3">
        <v>618.63663212063943</v>
      </c>
      <c r="M76" s="5" t="s">
        <v>1489</v>
      </c>
      <c r="N76" s="53">
        <v>595.02189999999996</v>
      </c>
      <c r="O76" s="53">
        <v>428.75</v>
      </c>
      <c r="P76" s="52">
        <v>45967</v>
      </c>
      <c r="Q76" s="52">
        <v>45974</v>
      </c>
      <c r="R76" s="53">
        <v>428.75</v>
      </c>
      <c r="S76" s="37"/>
      <c r="T76" s="3" t="str">
        <f>D76&amp;R76</f>
        <v>62955505017213428,75</v>
      </c>
      <c r="U76" s="3" t="s">
        <v>1763</v>
      </c>
      <c r="V76" s="37" t="s">
        <v>568</v>
      </c>
      <c r="W76" s="13">
        <f>R76</f>
        <v>428.75</v>
      </c>
      <c r="X76" s="124">
        <f>IF(Faturamento!$V953="Pago",IFERROR(W76-R76,0),0)</f>
        <v>0</v>
      </c>
    </row>
    <row r="77" spans="1:35" hidden="1" x14ac:dyDescent="0.3">
      <c r="A77" s="5" t="e">
        <f>VLOOKUP(B77,base!A:M,11,FALSE)</f>
        <v>#N/A</v>
      </c>
      <c r="B77" t="s">
        <v>658</v>
      </c>
      <c r="C77" s="1" t="e">
        <v>#N/A</v>
      </c>
      <c r="D77" s="60">
        <v>62955505015199</v>
      </c>
      <c r="E77" s="63" t="s">
        <v>433</v>
      </c>
      <c r="F77" t="s">
        <v>434</v>
      </c>
      <c r="G77" s="4">
        <v>45658</v>
      </c>
      <c r="H77" s="4" t="str">
        <f>Faturamento!$B101&amp;Faturamento!$G101</f>
        <v>10/925970-645931</v>
      </c>
      <c r="I77" t="s">
        <v>435</v>
      </c>
      <c r="J77">
        <v>576</v>
      </c>
      <c r="K77" s="3">
        <v>821.29</v>
      </c>
      <c r="L77" s="3">
        <v>678.61749999999995</v>
      </c>
      <c r="M77" s="5" t="s">
        <v>1489</v>
      </c>
      <c r="N77" s="3">
        <v>570.68999999999994</v>
      </c>
      <c r="O77" s="3">
        <v>428.02</v>
      </c>
      <c r="P77" s="4"/>
      <c r="Q77" s="4"/>
      <c r="R77" s="3">
        <v>428.02</v>
      </c>
      <c r="S77"/>
      <c r="T77" s="51" t="s">
        <v>659</v>
      </c>
      <c r="U77" s="51"/>
      <c r="V77" t="s">
        <v>369</v>
      </c>
      <c r="W77" s="3">
        <v>0</v>
      </c>
      <c r="X77" s="123">
        <f>IF(Faturamento!$V53="Pago",IFERROR(W77-R77,0),0)</f>
        <v>-428.02</v>
      </c>
      <c r="Y77" s="4"/>
      <c r="Z77" s="196" t="s">
        <v>1795</v>
      </c>
      <c r="AA77" s="5"/>
      <c r="AB77" s="5"/>
      <c r="AI77"/>
    </row>
    <row r="78" spans="1:35" hidden="1" x14ac:dyDescent="0.3">
      <c r="A78" s="5" t="str">
        <f>VLOOKUP(B78,base!A:M,11,FALSE)</f>
        <v>TRIFÁSICO</v>
      </c>
      <c r="B78" t="s">
        <v>238</v>
      </c>
      <c r="C78" s="1">
        <v>67996266684</v>
      </c>
      <c r="D78" s="60">
        <v>62955505016080</v>
      </c>
      <c r="E78" s="63" t="s">
        <v>433</v>
      </c>
      <c r="F78" t="s">
        <v>434</v>
      </c>
      <c r="G78" s="4">
        <v>45717</v>
      </c>
      <c r="H78" s="4" t="str">
        <f>Faturamento!$B247&amp;Faturamento!$G247</f>
        <v>10/3040565-845870</v>
      </c>
      <c r="I78" t="s">
        <v>435</v>
      </c>
      <c r="J78">
        <v>548</v>
      </c>
      <c r="K78" s="3">
        <v>746.1</v>
      </c>
      <c r="L78" s="3">
        <v>603.62750000000005</v>
      </c>
      <c r="M78" s="5" t="str">
        <f>IF(Faturamento!$S247&lt;&gt;"","Não emitido",IF(Faturamento!$I247="NÃO","Pendente Fatura", IF(Faturamento!$R247&lt;&gt;"","Aprovado",IF(Faturamento!$O247&lt;&gt;0,"Pendente Emissão","Processo de Calculo"))))</f>
        <v>Aprovado</v>
      </c>
      <c r="N78" s="3">
        <v>569.89</v>
      </c>
      <c r="O78" s="3">
        <v>427.42</v>
      </c>
      <c r="P78" s="4"/>
      <c r="Q78" s="4"/>
      <c r="R78" s="3">
        <v>427.42</v>
      </c>
      <c r="S78"/>
      <c r="T78" s="51" t="s">
        <v>788</v>
      </c>
      <c r="U78" s="51"/>
      <c r="V78" t="s">
        <v>568</v>
      </c>
      <c r="W78" s="3">
        <v>427.42</v>
      </c>
      <c r="X78" s="123">
        <f>IF(Faturamento!$V782="Pago",IFERROR(W78-R78,0),0)</f>
        <v>0</v>
      </c>
      <c r="Y78" s="4"/>
      <c r="Z78" s="4"/>
      <c r="AA78" s="5"/>
      <c r="AB78" s="5"/>
      <c r="AI78"/>
    </row>
    <row r="79" spans="1:35" hidden="1" x14ac:dyDescent="0.3">
      <c r="A79" s="5" t="str">
        <f>VLOOKUP(B79,base!A:M,11,FALSE)</f>
        <v>BIFÁSICO</v>
      </c>
      <c r="B79" s="1" t="s">
        <v>127</v>
      </c>
      <c r="C79" s="126">
        <f>VLOOKUP(B79,Base_Clientes[[INSTALAÇÃO]:[TELEFONE]],10,0)</f>
        <v>67996446178</v>
      </c>
      <c r="D79" s="60">
        <v>62955505016918</v>
      </c>
      <c r="E79" s="63" t="s">
        <v>433</v>
      </c>
      <c r="F79" t="s">
        <v>434</v>
      </c>
      <c r="G79" s="4">
        <v>45901</v>
      </c>
      <c r="H79" s="4" t="str">
        <f>Faturamento!$B847&amp;Faturamento!$G847</f>
        <v>10/504844-245689</v>
      </c>
      <c r="I79" t="s">
        <v>435</v>
      </c>
      <c r="J79">
        <v>386</v>
      </c>
      <c r="K79" s="3">
        <v>467.83</v>
      </c>
      <c r="L79" s="3">
        <v>369.16205039779788</v>
      </c>
      <c r="M79" s="5" t="s">
        <v>1489</v>
      </c>
      <c r="N79" s="3">
        <v>367.37</v>
      </c>
      <c r="O79" s="3">
        <v>268.7</v>
      </c>
      <c r="P79" s="4">
        <v>45933</v>
      </c>
      <c r="Q79" s="4">
        <v>45943</v>
      </c>
      <c r="R79" s="3">
        <f>O79</f>
        <v>268.7</v>
      </c>
      <c r="S79"/>
      <c r="T79" s="51" t="s">
        <v>1573</v>
      </c>
      <c r="U79" s="51" t="s">
        <v>1574</v>
      </c>
      <c r="V79" t="s">
        <v>369</v>
      </c>
      <c r="W79" s="3"/>
      <c r="X79" s="123">
        <f>IF(Faturamento!$V883="Pago",IFERROR(W79-R79,0),0)</f>
        <v>0</v>
      </c>
      <c r="Y79" s="4"/>
      <c r="Z79" s="196" t="s">
        <v>1795</v>
      </c>
      <c r="AA79" s="5"/>
      <c r="AB79" s="5"/>
      <c r="AI79"/>
    </row>
    <row r="80" spans="1:35" hidden="1" x14ac:dyDescent="0.3">
      <c r="A80" s="5" t="str">
        <f>VLOOKUP(B80,base!A:M,11,FALSE)</f>
        <v>TRIFÁSICO</v>
      </c>
      <c r="B80" t="s">
        <v>171</v>
      </c>
      <c r="C80" s="56">
        <v>67996266684</v>
      </c>
      <c r="D80">
        <v>62955505312487</v>
      </c>
      <c r="E80" s="37" t="s">
        <v>433</v>
      </c>
      <c r="F80" t="s">
        <v>108</v>
      </c>
      <c r="G80" s="4">
        <v>45931</v>
      </c>
      <c r="H80" s="52" t="str">
        <f>Faturamento!$B898&amp;Faturamento!$G898</f>
        <v>10/24514-245717</v>
      </c>
      <c r="I80" s="37" t="s">
        <v>435</v>
      </c>
      <c r="J80">
        <v>555</v>
      </c>
      <c r="K80" s="3">
        <v>687.20749999999998</v>
      </c>
      <c r="L80" s="3">
        <v>522.09676792931555</v>
      </c>
      <c r="M80" s="5" t="s">
        <v>1489</v>
      </c>
      <c r="N80" s="53">
        <v>590.35749999999996</v>
      </c>
      <c r="O80" s="53">
        <v>425.25</v>
      </c>
      <c r="P80" s="52">
        <v>45967</v>
      </c>
      <c r="Q80" s="52">
        <v>45974</v>
      </c>
      <c r="R80" s="53">
        <v>425.25</v>
      </c>
      <c r="S80" s="37"/>
      <c r="T80" s="3" t="str">
        <f>D80&amp;R80</f>
        <v>62955505312487425,25</v>
      </c>
      <c r="U80" s="3" t="s">
        <v>1710</v>
      </c>
      <c r="V80" s="37" t="s">
        <v>568</v>
      </c>
      <c r="W80" s="13">
        <f>R80</f>
        <v>425.25</v>
      </c>
      <c r="X80" s="124">
        <f>IF(Faturamento!$V900="Pago",IFERROR(W80-R80,0),0)</f>
        <v>0</v>
      </c>
    </row>
    <row r="81" spans="1:35" hidden="1" x14ac:dyDescent="0.3">
      <c r="A81" s="5" t="str">
        <f>VLOOKUP(B81,base!A:M,11,FALSE)</f>
        <v>TRIFÁSICO</v>
      </c>
      <c r="B81" t="s">
        <v>186</v>
      </c>
      <c r="C81" s="56">
        <v>6784548587</v>
      </c>
      <c r="D81">
        <v>62955505016160</v>
      </c>
      <c r="E81" s="37" t="s">
        <v>433</v>
      </c>
      <c r="F81" t="s">
        <v>108</v>
      </c>
      <c r="G81" s="4">
        <v>45931</v>
      </c>
      <c r="H81" s="52" t="str">
        <f>Faturamento!$B902&amp;Faturamento!$G902</f>
        <v>10/41548-945717</v>
      </c>
      <c r="I81" s="37" t="s">
        <v>435</v>
      </c>
      <c r="J81">
        <v>873</v>
      </c>
      <c r="K81" s="3">
        <v>1120.8800000000001</v>
      </c>
      <c r="L81" s="3">
        <v>881.30677006432825</v>
      </c>
      <c r="M81" s="5" t="s">
        <v>1489</v>
      </c>
      <c r="N81" s="53">
        <v>856.59999999999991</v>
      </c>
      <c r="O81" s="53">
        <v>424.53</v>
      </c>
      <c r="P81" s="52">
        <v>45967</v>
      </c>
      <c r="Q81" s="52">
        <v>45974</v>
      </c>
      <c r="R81" s="53">
        <v>424.53</v>
      </c>
      <c r="S81" s="37"/>
      <c r="T81" s="3" t="str">
        <f>D81&amp;R81</f>
        <v>62955505016160424,53</v>
      </c>
      <c r="U81" s="3" t="s">
        <v>1714</v>
      </c>
      <c r="V81" s="37" t="s">
        <v>568</v>
      </c>
      <c r="W81" s="13">
        <f>R81</f>
        <v>424.53</v>
      </c>
      <c r="X81" s="124">
        <f>IF(Faturamento!$V904="Pago",IFERROR(W81-R81,0),0)</f>
        <v>0</v>
      </c>
    </row>
    <row r="82" spans="1:35" hidden="1" x14ac:dyDescent="0.3">
      <c r="A82" s="5" t="str">
        <f>VLOOKUP(B82,base!A:M,11,FALSE)</f>
        <v>BIFÁSICO</v>
      </c>
      <c r="B82" s="37" t="s">
        <v>198</v>
      </c>
      <c r="C82" s="56" t="s">
        <v>166</v>
      </c>
      <c r="D82" s="59">
        <v>62955505419443</v>
      </c>
      <c r="E82" s="37" t="s">
        <v>433</v>
      </c>
      <c r="F82" s="37" t="s">
        <v>434</v>
      </c>
      <c r="G82" s="52">
        <v>45717</v>
      </c>
      <c r="H82" s="52" t="str">
        <f>Faturamento!$B278&amp;Faturamento!$G278</f>
        <v>10/1695011-545658</v>
      </c>
      <c r="I82" s="37" t="s">
        <v>435</v>
      </c>
      <c r="J82">
        <v>543</v>
      </c>
      <c r="K82" s="3">
        <v>657.72</v>
      </c>
      <c r="L82" s="3">
        <v>516.67999999999995</v>
      </c>
      <c r="M82" s="5" t="str">
        <f>IF(Faturamento!$S278&lt;&gt;"","Não emitido",IF(Faturamento!$I278="NÃO","Pendente Fatura", IF(Faturamento!$R278&lt;&gt;"","Aprovado",IF(Faturamento!$O278&lt;&gt;0,"Pendente Emissão","Processo de Calculo"))))</f>
        <v>Aprovado</v>
      </c>
      <c r="N82" s="53">
        <v>564.16000000000008</v>
      </c>
      <c r="O82" s="53">
        <v>423.12</v>
      </c>
      <c r="P82" s="52"/>
      <c r="Q82" s="52"/>
      <c r="R82" s="53">
        <v>423.12</v>
      </c>
      <c r="S82" s="37"/>
      <c r="T82" s="51" t="s">
        <v>818</v>
      </c>
      <c r="U82" s="51"/>
      <c r="V82" s="37" t="s">
        <v>568</v>
      </c>
      <c r="W82" s="53">
        <v>423.12</v>
      </c>
      <c r="X82" s="123">
        <f>IF(Faturamento!$V781="Pago",IFERROR(W82-R82,0),0)</f>
        <v>0</v>
      </c>
      <c r="Y82" s="52"/>
      <c r="Z82" s="52"/>
      <c r="AA82" s="5"/>
      <c r="AB82" s="5"/>
      <c r="AI82"/>
    </row>
    <row r="83" spans="1:35" hidden="1" x14ac:dyDescent="0.3">
      <c r="A83" s="5" t="str">
        <f>VLOOKUP(B83,base!A:M,11,FALSE)</f>
        <v>TRIFÁSICO</v>
      </c>
      <c r="B83" s="37" t="s">
        <v>294</v>
      </c>
      <c r="C83" s="56">
        <v>67992637973</v>
      </c>
      <c r="D83" s="59">
        <v>62955505367117</v>
      </c>
      <c r="E83" s="37" t="s">
        <v>433</v>
      </c>
      <c r="F83" s="37" t="s">
        <v>434</v>
      </c>
      <c r="G83" s="52">
        <v>45717</v>
      </c>
      <c r="H83" s="52" t="str">
        <f>Faturamento!$B246&amp;Faturamento!$G246</f>
        <v>10/1081489-545778</v>
      </c>
      <c r="I83" s="37" t="s">
        <v>435</v>
      </c>
      <c r="J83">
        <v>542</v>
      </c>
      <c r="K83" s="3">
        <v>1025.94</v>
      </c>
      <c r="L83" s="3">
        <v>884.96</v>
      </c>
      <c r="M83" s="5" t="str">
        <f>IF(Faturamento!$S246&lt;&gt;"","Não emitido",IF(Faturamento!$I246="NÃO","Pendente Fatura", IF(Faturamento!$R246&lt;&gt;"","Aprovado",IF(Faturamento!$O246&lt;&gt;0,"Pendente Emissão","Processo de Calculo"))))</f>
        <v>Aprovado</v>
      </c>
      <c r="N83" s="53">
        <v>563.91999999999996</v>
      </c>
      <c r="O83" s="53">
        <v>422.94</v>
      </c>
      <c r="P83" s="52"/>
      <c r="Q83" s="52"/>
      <c r="R83" s="53">
        <v>422.94</v>
      </c>
      <c r="S83" s="37"/>
      <c r="T83" s="51" t="s">
        <v>787</v>
      </c>
      <c r="U83" s="51"/>
      <c r="V83" s="37" t="s">
        <v>568</v>
      </c>
      <c r="W83" s="53">
        <v>422.94</v>
      </c>
      <c r="X83" s="123">
        <f>IF(Faturamento!$V780="Pago",IFERROR(W83-R83,0),0)</f>
        <v>0</v>
      </c>
      <c r="Y83" s="52"/>
      <c r="Z83" s="52"/>
      <c r="AA83" s="5"/>
      <c r="AB83" s="5"/>
      <c r="AI83"/>
    </row>
    <row r="84" spans="1:35" hidden="1" x14ac:dyDescent="0.3">
      <c r="A84" s="5" t="str">
        <f>VLOOKUP(B84,base!A:M,11,FALSE)</f>
        <v>TRIFÁSICO</v>
      </c>
      <c r="B84" s="37" t="s">
        <v>305</v>
      </c>
      <c r="C84" s="56" t="s">
        <v>278</v>
      </c>
      <c r="D84" s="59">
        <v>62955505393207</v>
      </c>
      <c r="E84" s="37" t="s">
        <v>433</v>
      </c>
      <c r="F84" s="37" t="s">
        <v>434</v>
      </c>
      <c r="G84" s="52">
        <v>45839</v>
      </c>
      <c r="H84" s="52" t="str">
        <f>Faturamento!$B618&amp;Faturamento!$G618</f>
        <v>10/501586-245870</v>
      </c>
      <c r="I84" s="37" t="s">
        <v>435</v>
      </c>
      <c r="J84" s="37">
        <v>459</v>
      </c>
      <c r="K84" s="53">
        <v>759.21329635499205</v>
      </c>
      <c r="L84" s="53">
        <v>636.74505617115688</v>
      </c>
      <c r="M84" s="5" t="str">
        <f>IF(Faturamento!$S618&lt;&gt;"","Não emitido",IF(Faturamento!$I618="NÃO","Pendente Fatura", IF(Faturamento!$R618&lt;&gt;"","Aprovado",IF(Faturamento!$O618&lt;&gt;0,"Pendente Emissão","Processo de Calculo"))))</f>
        <v>Aprovado</v>
      </c>
      <c r="N84" s="53">
        <v>545.35329635499204</v>
      </c>
      <c r="O84" s="53">
        <v>422.89</v>
      </c>
      <c r="P84" s="52">
        <v>45910</v>
      </c>
      <c r="Q84" s="52">
        <v>45920</v>
      </c>
      <c r="R84" s="53">
        <v>422.89</v>
      </c>
      <c r="S84" s="37"/>
      <c r="T84" s="51" t="s">
        <v>1151</v>
      </c>
      <c r="U84" s="51" t="s">
        <v>1152</v>
      </c>
      <c r="V84" s="37" t="s">
        <v>568</v>
      </c>
      <c r="W84" s="53">
        <v>422.89</v>
      </c>
      <c r="X84" s="123">
        <f>IF(Faturamento!$V779="Pago",IFERROR(W84-R84,0),0)</f>
        <v>0</v>
      </c>
      <c r="Y84" s="52"/>
      <c r="Z84" s="52"/>
      <c r="AA84" s="5"/>
      <c r="AB84" s="5"/>
      <c r="AI84"/>
    </row>
    <row r="85" spans="1:35" hidden="1" x14ac:dyDescent="0.3">
      <c r="A85" s="5" t="e">
        <f>VLOOKUP(B85,base!A:M,11,FALSE)</f>
        <v>#N/A</v>
      </c>
      <c r="B85" t="s">
        <v>520</v>
      </c>
      <c r="C85" s="56" t="e">
        <v>#N/A</v>
      </c>
      <c r="D85" t="s">
        <v>1180</v>
      </c>
      <c r="E85" s="37" t="s">
        <v>433</v>
      </c>
      <c r="F85" t="s">
        <v>108</v>
      </c>
      <c r="G85" s="4">
        <v>45931</v>
      </c>
      <c r="H85" s="52" t="str">
        <f>Faturamento!$B979&amp;Faturamento!$G979</f>
        <v>10/452884-045901</v>
      </c>
      <c r="I85" s="37" t="s">
        <v>435</v>
      </c>
      <c r="J85">
        <v>317</v>
      </c>
      <c r="M85" s="5" t="s">
        <v>1536</v>
      </c>
      <c r="N85" s="53">
        <v>505.46999998999991</v>
      </c>
      <c r="O85" s="53">
        <v>418.48</v>
      </c>
      <c r="P85" s="53" t="s">
        <v>1684</v>
      </c>
      <c r="Q85" s="53" t="s">
        <v>1684</v>
      </c>
      <c r="R85" s="53" t="s">
        <v>1684</v>
      </c>
      <c r="S85" s="37" t="s">
        <v>1393</v>
      </c>
      <c r="T85" s="3" t="str">
        <f>D85&amp;R85</f>
        <v>#ND-</v>
      </c>
      <c r="U85" s="3" t="e">
        <v>#N/A</v>
      </c>
      <c r="V85" s="37" t="s">
        <v>438</v>
      </c>
      <c r="X85" s="124">
        <f>IF(Faturamento!$V981="Pago",IFERROR(W85-R85,0),0)</f>
        <v>0</v>
      </c>
    </row>
    <row r="86" spans="1:35" hidden="1" x14ac:dyDescent="0.3">
      <c r="A86" s="5" t="str">
        <f>VLOOKUP(B86,base!A:M,11,FALSE)</f>
        <v>TRIFÁSICO</v>
      </c>
      <c r="B86" s="37" t="s">
        <v>171</v>
      </c>
      <c r="C86" s="56">
        <v>0</v>
      </c>
      <c r="D86" s="59">
        <v>62955505312487</v>
      </c>
      <c r="E86" s="37" t="s">
        <v>433</v>
      </c>
      <c r="F86" s="37" t="s">
        <v>434</v>
      </c>
      <c r="G86" s="52">
        <v>45901</v>
      </c>
      <c r="H86" s="52" t="str">
        <f>Faturamento!$B850&amp;Faturamento!$G850</f>
        <v>10/480529-745689</v>
      </c>
      <c r="I86" s="37" t="s">
        <v>435</v>
      </c>
      <c r="J86">
        <v>539</v>
      </c>
      <c r="K86" s="3">
        <v>665.96</v>
      </c>
      <c r="L86" s="3">
        <v>513.70512358115161</v>
      </c>
      <c r="M86" s="5" t="s">
        <v>1489</v>
      </c>
      <c r="N86" s="53">
        <v>566.8900000000001</v>
      </c>
      <c r="O86" s="53">
        <v>414.64</v>
      </c>
      <c r="P86" s="52">
        <v>45933</v>
      </c>
      <c r="Q86" s="52">
        <v>45943</v>
      </c>
      <c r="R86" s="53">
        <f>O86</f>
        <v>414.64</v>
      </c>
      <c r="S86" s="37"/>
      <c r="T86" s="51" t="s">
        <v>1579</v>
      </c>
      <c r="U86" s="51" t="s">
        <v>1580</v>
      </c>
      <c r="V86" s="37" t="s">
        <v>568</v>
      </c>
      <c r="W86" s="53">
        <f>O86</f>
        <v>414.64</v>
      </c>
      <c r="X86" s="123">
        <f>IF(Faturamento!$V778="Pago",IFERROR(W86-R86,0),0)</f>
        <v>0</v>
      </c>
      <c r="Y86" s="52"/>
      <c r="Z86" s="52"/>
      <c r="AA86" s="5"/>
      <c r="AB86" s="5"/>
      <c r="AI86"/>
    </row>
    <row r="87" spans="1:35" hidden="1" x14ac:dyDescent="0.3">
      <c r="A87" s="5" t="str">
        <f>VLOOKUP(B87,base!A:M,11,FALSE)</f>
        <v>TRIFÁSICO</v>
      </c>
      <c r="B87" s="37" t="s">
        <v>218</v>
      </c>
      <c r="C87" s="56">
        <v>67991120875</v>
      </c>
      <c r="D87" s="59">
        <v>62955505379395</v>
      </c>
      <c r="E87" s="37" t="s">
        <v>433</v>
      </c>
      <c r="F87" s="37" t="s">
        <v>434</v>
      </c>
      <c r="G87" s="52">
        <v>45658</v>
      </c>
      <c r="H87" s="52" t="str">
        <f>Faturamento!$B66&amp;Faturamento!$G66</f>
        <v>10/513413-545931</v>
      </c>
      <c r="I87" s="37" t="s">
        <v>435</v>
      </c>
      <c r="J87">
        <v>493</v>
      </c>
      <c r="K87" s="3">
        <v>851.71</v>
      </c>
      <c r="L87" s="3">
        <v>714.13249999999994</v>
      </c>
      <c r="M87" s="5" t="str">
        <f>IF(Faturamento!$S66&lt;&gt;"","Não emitido",IF(Faturamento!$I66="NÃO","Pendente Fatura", IF(Faturamento!$R66&lt;&gt;"","Aprovado",IF(Faturamento!$O66&lt;&gt;0,"Pendente Emissão","Processo de Calculo"))))</f>
        <v>Aprovado</v>
      </c>
      <c r="N87" s="53">
        <v>550.30999999999995</v>
      </c>
      <c r="O87" s="53">
        <v>412.73</v>
      </c>
      <c r="P87" s="52"/>
      <c r="Q87" s="52"/>
      <c r="R87" s="53">
        <v>412.73</v>
      </c>
      <c r="S87" s="37"/>
      <c r="T87" s="51" t="s">
        <v>626</v>
      </c>
      <c r="U87" s="51"/>
      <c r="V87" s="37" t="s">
        <v>568</v>
      </c>
      <c r="W87" s="53">
        <v>412.73</v>
      </c>
      <c r="X87" s="123">
        <f>IF(Faturamento!$V777="Pago",IFERROR(W87-R87,0),0)</f>
        <v>0</v>
      </c>
      <c r="Y87" s="52"/>
      <c r="Z87" s="52"/>
      <c r="AA87" s="5">
        <v>283032</v>
      </c>
      <c r="AB87" s="5">
        <v>502</v>
      </c>
      <c r="AC87" s="5" t="s">
        <v>434</v>
      </c>
      <c r="AD87" s="5" t="s">
        <v>624</v>
      </c>
      <c r="AE87" s="5">
        <v>59.21</v>
      </c>
      <c r="AG87" s="5" t="s">
        <v>627</v>
      </c>
      <c r="AH87" s="5" t="s">
        <v>500</v>
      </c>
      <c r="AI87"/>
    </row>
    <row r="88" spans="1:35" hidden="1" x14ac:dyDescent="0.3">
      <c r="A88" s="5" t="str">
        <f>VLOOKUP(B88,base!A:M,11,FALSE)</f>
        <v>TRIFÁSICO</v>
      </c>
      <c r="B88" s="37" t="s">
        <v>220</v>
      </c>
      <c r="C88" s="56">
        <v>67992637973</v>
      </c>
      <c r="D88" s="59">
        <v>62955505017213</v>
      </c>
      <c r="E88" s="37" t="s">
        <v>433</v>
      </c>
      <c r="F88" s="37" t="s">
        <v>434</v>
      </c>
      <c r="G88" s="52">
        <v>45839</v>
      </c>
      <c r="H88" s="52" t="str">
        <f>Faturamento!$B620&amp;Faturamento!$G620</f>
        <v>10/24514-245870</v>
      </c>
      <c r="I88" s="37" t="s">
        <v>435</v>
      </c>
      <c r="J88" s="37">
        <v>450</v>
      </c>
      <c r="K88" s="53">
        <v>701.39499999999998</v>
      </c>
      <c r="L88" s="53">
        <v>581.32359899999994</v>
      </c>
      <c r="M88" s="5" t="str">
        <f>IF(Faturamento!$S620&lt;&gt;"","Não emitido",IF(Faturamento!$I620="NÃO","Pendente Fatura", IF(Faturamento!$R620&lt;&gt;"","Aprovado",IF(Faturamento!$O620&lt;&gt;0,"Pendente Emissão","Processo de Calculo"))))</f>
        <v>Aprovado</v>
      </c>
      <c r="N88" s="53">
        <v>529.68500000000017</v>
      </c>
      <c r="O88" s="53">
        <v>409.61</v>
      </c>
      <c r="P88" s="52">
        <v>45910</v>
      </c>
      <c r="Q88" s="52">
        <v>45920</v>
      </c>
      <c r="R88" s="53">
        <v>409.61</v>
      </c>
      <c r="S88" s="37"/>
      <c r="T88" s="51" t="s">
        <v>1155</v>
      </c>
      <c r="U88" s="51" t="s">
        <v>1156</v>
      </c>
      <c r="V88" s="37" t="s">
        <v>568</v>
      </c>
      <c r="W88" s="53">
        <v>409.61</v>
      </c>
      <c r="X88" s="123">
        <f>IF(Faturamento!$V776="Pago",IFERROR(W88-R88,0),0)</f>
        <v>0</v>
      </c>
      <c r="Y88" s="52"/>
      <c r="Z88" s="52"/>
      <c r="AA88" s="5"/>
      <c r="AB88" s="5"/>
      <c r="AI88"/>
    </row>
    <row r="89" spans="1:35" hidden="1" x14ac:dyDescent="0.3">
      <c r="A89" s="5" t="str">
        <f>VLOOKUP(B89,base!A:M,11,FALSE)</f>
        <v>TRIFÁSICO</v>
      </c>
      <c r="B89" t="s">
        <v>118</v>
      </c>
      <c r="C89" s="1">
        <v>67996135721</v>
      </c>
      <c r="D89" s="60">
        <v>62955505182257</v>
      </c>
      <c r="E89" s="63" t="s">
        <v>433</v>
      </c>
      <c r="F89" t="s">
        <v>434</v>
      </c>
      <c r="G89" s="4">
        <v>45717</v>
      </c>
      <c r="H89" s="4" t="str">
        <f>Faturamento!$B251&amp;Faturamento!$G251</f>
        <v>10/109074-545870</v>
      </c>
      <c r="I89" t="s">
        <v>435</v>
      </c>
      <c r="J89">
        <v>481</v>
      </c>
      <c r="K89" s="3">
        <v>727.20999999999992</v>
      </c>
      <c r="L89" s="3">
        <v>592.98</v>
      </c>
      <c r="M89" s="5" t="str">
        <f>IF(Faturamento!$S251&lt;&gt;"","Não emitido",IF(Faturamento!$I251="NÃO","Pendente Fatura", IF(Faturamento!$R251&lt;&gt;"","Aprovado",IF(Faturamento!$O251&lt;&gt;0,"Pendente Emissão","Processo de Calculo"))))</f>
        <v>Aprovado</v>
      </c>
      <c r="N89" s="3">
        <v>536.91999999999996</v>
      </c>
      <c r="O89" s="3">
        <v>402.69</v>
      </c>
      <c r="P89" s="4"/>
      <c r="Q89" s="4"/>
      <c r="R89" s="3">
        <v>402.69</v>
      </c>
      <c r="S89"/>
      <c r="T89" s="51" t="s">
        <v>792</v>
      </c>
      <c r="U89" s="51"/>
      <c r="V89" t="s">
        <v>568</v>
      </c>
      <c r="W89" s="3">
        <v>402.69</v>
      </c>
      <c r="X89" s="123">
        <f>IF(Faturamento!$V775="Pago",IFERROR(W89-R89,0),0)</f>
        <v>0</v>
      </c>
      <c r="Y89" s="4"/>
      <c r="Z89" s="4"/>
      <c r="AA89" s="5"/>
      <c r="AB89" s="5"/>
      <c r="AI89" t="str">
        <f>VLOOKUP(B89,'[1]Conciliação - 032025'!$A:$L,12,FALSE)</f>
        <v>DEPÓSITO UNIFICADO ITAU R$1.310,17 - 10/06/2025</v>
      </c>
    </row>
    <row r="90" spans="1:35" hidden="1" x14ac:dyDescent="0.3">
      <c r="A90" s="5" t="str">
        <f>VLOOKUP(B90,base!A:M,11,FALSE)</f>
        <v>TRIFÁSICO</v>
      </c>
      <c r="B90" t="s">
        <v>220</v>
      </c>
      <c r="C90" s="1">
        <v>67992637973</v>
      </c>
      <c r="D90" s="60">
        <v>62955505017213</v>
      </c>
      <c r="E90" s="63" t="s">
        <v>433</v>
      </c>
      <c r="F90" t="s">
        <v>434</v>
      </c>
      <c r="G90" s="4">
        <v>45778</v>
      </c>
      <c r="H90" s="4" t="str">
        <f>Faturamento!$B473&amp;Faturamento!$G473</f>
        <v>10/76927-345809</v>
      </c>
      <c r="I90" t="s">
        <v>435</v>
      </c>
      <c r="J90">
        <v>466</v>
      </c>
      <c r="K90" s="3">
        <v>964.04129870129873</v>
      </c>
      <c r="L90" s="3">
        <v>831.00597402597396</v>
      </c>
      <c r="M90" s="5" t="str">
        <f>IF(Faturamento!$S473&lt;&gt;"","Não emitido",IF(Faturamento!$I473="NÃO","Pendente Fatura", IF(Faturamento!$R473&lt;&gt;"","Aprovado",IF(Faturamento!$O473&lt;&gt;0,"Pendente Emissão","Processo de Calculo"))))</f>
        <v>Aprovado</v>
      </c>
      <c r="N90" s="3">
        <v>532.14129870129864</v>
      </c>
      <c r="O90" s="3">
        <v>399.11</v>
      </c>
      <c r="P90" s="4"/>
      <c r="Q90" s="4"/>
      <c r="R90" s="3">
        <v>399.11</v>
      </c>
      <c r="S90"/>
      <c r="T90" s="51" t="s">
        <v>965</v>
      </c>
      <c r="U90" s="51"/>
      <c r="V90" t="s">
        <v>568</v>
      </c>
      <c r="W90" s="3">
        <v>399.11</v>
      </c>
      <c r="X90" s="123">
        <f>IF(Faturamento!$V774="Pago",IFERROR(W90-R90,0),0)</f>
        <v>0</v>
      </c>
      <c r="Y90" s="4"/>
      <c r="Z90" s="4"/>
      <c r="AA90" s="5"/>
      <c r="AB90" s="5"/>
      <c r="AI90"/>
    </row>
    <row r="91" spans="1:35" hidden="1" x14ac:dyDescent="0.3">
      <c r="A91" s="5" t="str">
        <f>VLOOKUP(B91,base!A:M,11,FALSE)</f>
        <v>TRIFÁSICO</v>
      </c>
      <c r="B91" t="s">
        <v>334</v>
      </c>
      <c r="C91" s="56" t="s">
        <v>336</v>
      </c>
      <c r="D91">
        <v>62955505015946</v>
      </c>
      <c r="E91" s="37" t="s">
        <v>433</v>
      </c>
      <c r="F91" t="s">
        <v>108</v>
      </c>
      <c r="G91" s="4">
        <v>45931</v>
      </c>
      <c r="H91" s="52" t="str">
        <f>Faturamento!$B911&amp;Faturamento!$G911</f>
        <v>10/2344751-945717</v>
      </c>
      <c r="I91" s="37" t="s">
        <v>435</v>
      </c>
      <c r="J91">
        <v>589</v>
      </c>
      <c r="K91" s="3">
        <v>775.28499999999997</v>
      </c>
      <c r="L91" s="3">
        <v>599.64504405118885</v>
      </c>
      <c r="M91" s="5" t="s">
        <v>1489</v>
      </c>
      <c r="N91" s="53">
        <v>628.00500000000022</v>
      </c>
      <c r="O91" s="53">
        <v>398.21</v>
      </c>
      <c r="P91" s="52">
        <v>45967</v>
      </c>
      <c r="Q91" s="52">
        <v>45974</v>
      </c>
      <c r="R91" s="53">
        <v>398.21</v>
      </c>
      <c r="S91" s="37"/>
      <c r="T91" s="3" t="str">
        <f>D91&amp;R91</f>
        <v>62955505015946398,21</v>
      </c>
      <c r="U91" s="3" t="s">
        <v>1723</v>
      </c>
      <c r="V91" s="37" t="s">
        <v>568</v>
      </c>
      <c r="W91" s="13">
        <f>R91</f>
        <v>398.21</v>
      </c>
      <c r="X91" s="124">
        <f>IF(Faturamento!$V913="Pago",IFERROR(W91-R91,0),0)</f>
        <v>0</v>
      </c>
    </row>
    <row r="92" spans="1:35" hidden="1" x14ac:dyDescent="0.3">
      <c r="A92" s="5" t="str">
        <f>VLOOKUP(B92,base!A:M,11,FALSE)</f>
        <v>TRIFÁSICO</v>
      </c>
      <c r="B92" s="37" t="s">
        <v>171</v>
      </c>
      <c r="C92" s="56">
        <v>67996266684</v>
      </c>
      <c r="D92" s="59">
        <v>62955505312487</v>
      </c>
      <c r="E92" s="37" t="s">
        <v>433</v>
      </c>
      <c r="F92" s="37" t="s">
        <v>434</v>
      </c>
      <c r="G92" s="52">
        <v>45778</v>
      </c>
      <c r="H92" s="52" t="str">
        <f>Faturamento!$B484&amp;Faturamento!$G484</f>
        <v>10/3123706-845778</v>
      </c>
      <c r="I92" s="37" t="s">
        <v>435</v>
      </c>
      <c r="J92">
        <v>540</v>
      </c>
      <c r="K92" s="3">
        <v>553.35</v>
      </c>
      <c r="L92" s="3">
        <v>421.495</v>
      </c>
      <c r="M92" s="5" t="str">
        <f>IF(Faturamento!$S484&lt;&gt;"","Não emitido",IF(Faturamento!$I484="NÃO","Pendente Fatura", IF(Faturamento!$R484&lt;&gt;"","Aprovado",IF(Faturamento!$O484&lt;&gt;0,"Pendente Emissão","Processo de Calculo"))))</f>
        <v>Aprovado</v>
      </c>
      <c r="N92" s="53">
        <v>527.41999999999996</v>
      </c>
      <c r="O92" s="53">
        <v>395.57</v>
      </c>
      <c r="P92" s="52"/>
      <c r="Q92" s="52"/>
      <c r="R92" s="53">
        <v>395.57</v>
      </c>
      <c r="S92" s="37"/>
      <c r="T92" s="51" t="s">
        <v>972</v>
      </c>
      <c r="U92" s="51"/>
      <c r="V92" s="37" t="s">
        <v>568</v>
      </c>
      <c r="W92" s="53">
        <v>395.57</v>
      </c>
      <c r="X92" s="123">
        <f>IF(Faturamento!$V773="Pago",IFERROR(W92-R92,0),0)</f>
        <v>0</v>
      </c>
      <c r="Y92" s="52"/>
      <c r="Z92" s="52"/>
      <c r="AA92" s="5"/>
      <c r="AB92" s="5"/>
      <c r="AI92"/>
    </row>
    <row r="93" spans="1:35" hidden="1" x14ac:dyDescent="0.3">
      <c r="A93" s="5" t="str">
        <f>VLOOKUP(B93,base!A:M,11,FALSE)</f>
        <v>TRIFÁSICO</v>
      </c>
      <c r="B93" s="37" t="s">
        <v>184</v>
      </c>
      <c r="C93" s="56">
        <v>67992637973</v>
      </c>
      <c r="D93" s="59">
        <v>62955505017213</v>
      </c>
      <c r="E93" s="37" t="s">
        <v>433</v>
      </c>
      <c r="F93" s="37" t="s">
        <v>434</v>
      </c>
      <c r="G93" s="52">
        <v>45689</v>
      </c>
      <c r="H93" s="52" t="str">
        <f>Faturamento!$B152&amp;Faturamento!$G152</f>
        <v>10/276283-945689</v>
      </c>
      <c r="I93" s="37" t="s">
        <v>435</v>
      </c>
      <c r="J93" s="37">
        <v>464</v>
      </c>
      <c r="K93" s="53">
        <v>696.99</v>
      </c>
      <c r="L93" s="53">
        <v>567.50500000000011</v>
      </c>
      <c r="M93" s="5" t="str">
        <f>IF(Faturamento!$S152&lt;&gt;"","Não emitido",IF(Faturamento!$I152="NÃO","Pendente Fatura", IF(Faturamento!$R152&lt;&gt;"","Aprovado",IF(Faturamento!$O152&lt;&gt;0,"Pendente Emissão","Processo de Calculo"))))</f>
        <v>Aprovado</v>
      </c>
      <c r="N93" s="53">
        <v>517.94000000000005</v>
      </c>
      <c r="O93" s="53">
        <v>388.46</v>
      </c>
      <c r="P93" s="52"/>
      <c r="Q93" s="52"/>
      <c r="R93" s="53">
        <v>388.46</v>
      </c>
      <c r="S93" s="37"/>
      <c r="T93" s="51" t="s">
        <v>713</v>
      </c>
      <c r="U93" s="51"/>
      <c r="V93" s="37" t="s">
        <v>568</v>
      </c>
      <c r="W93" s="53">
        <v>388.46</v>
      </c>
      <c r="X93" s="123">
        <f>IF(Faturamento!$V772="Pago",IFERROR(W93-R93,0),0)</f>
        <v>0</v>
      </c>
      <c r="Y93" s="52"/>
      <c r="Z93" s="52"/>
      <c r="AA93" s="5"/>
      <c r="AB93" s="5"/>
      <c r="AI93"/>
    </row>
    <row r="94" spans="1:35" hidden="1" x14ac:dyDescent="0.3">
      <c r="A94" s="5" t="str">
        <f>VLOOKUP(B94,base!A:M,11,FALSE)</f>
        <v>TRIFÁSICO</v>
      </c>
      <c r="B94" s="37" t="s">
        <v>311</v>
      </c>
      <c r="C94" s="56" t="s">
        <v>313</v>
      </c>
      <c r="D94" s="59">
        <v>62955505193534</v>
      </c>
      <c r="E94" s="37" t="s">
        <v>433</v>
      </c>
      <c r="F94" s="37" t="s">
        <v>434</v>
      </c>
      <c r="G94" s="52">
        <v>45689</v>
      </c>
      <c r="H94" s="52" t="str">
        <f>Faturamento!$B178&amp;Faturamento!$G178</f>
        <v>10/260761-245748</v>
      </c>
      <c r="I94" s="37" t="s">
        <v>435</v>
      </c>
      <c r="J94" s="37">
        <v>476</v>
      </c>
      <c r="K94" s="53">
        <v>739.42</v>
      </c>
      <c r="L94" s="53">
        <v>611.06500000000005</v>
      </c>
      <c r="M94" s="5" t="str">
        <f>IF(Faturamento!$S178&lt;&gt;"","Não emitido",IF(Faturamento!$I178="NÃO","Pendente Fatura", IF(Faturamento!$R178&lt;&gt;"","Aprovado",IF(Faturamento!$O178&lt;&gt;0,"Pendente Emissão","Processo de Calculo"))))</f>
        <v>Aprovado</v>
      </c>
      <c r="N94" s="53">
        <v>513.41999999999996</v>
      </c>
      <c r="O94" s="53">
        <v>385.07</v>
      </c>
      <c r="P94" s="52"/>
      <c r="Q94" s="52"/>
      <c r="R94" s="53">
        <v>385.07</v>
      </c>
      <c r="S94" s="37"/>
      <c r="T94" s="51" t="s">
        <v>738</v>
      </c>
      <c r="U94" s="51"/>
      <c r="V94" s="37" t="s">
        <v>568</v>
      </c>
      <c r="W94" s="53">
        <v>385.07</v>
      </c>
      <c r="X94" s="123">
        <f>IF(Faturamento!$V771="Pago",IFERROR(W94-R94,0),0)</f>
        <v>0</v>
      </c>
      <c r="Y94" s="52"/>
      <c r="Z94" s="52"/>
      <c r="AA94" s="5"/>
      <c r="AB94" s="5"/>
      <c r="AI94"/>
    </row>
    <row r="95" spans="1:35" hidden="1" x14ac:dyDescent="0.3">
      <c r="A95" s="5" t="str">
        <f>VLOOKUP(B95,base!A:M,11,FALSE)</f>
        <v>TRIFÁSICO</v>
      </c>
      <c r="B95" t="s">
        <v>200</v>
      </c>
      <c r="C95" s="1">
        <v>0</v>
      </c>
      <c r="D95" s="60">
        <v>62955505016403</v>
      </c>
      <c r="E95" s="63" t="s">
        <v>433</v>
      </c>
      <c r="F95" t="s">
        <v>434</v>
      </c>
      <c r="G95" s="4">
        <v>45870</v>
      </c>
      <c r="H95" s="4" t="str">
        <f>Faturamento!$B717&amp;Faturamento!$G717</f>
        <v>10/52987-545809</v>
      </c>
      <c r="I95" t="s">
        <v>435</v>
      </c>
      <c r="J95">
        <v>420</v>
      </c>
      <c r="K95" s="3">
        <v>744.86599999999999</v>
      </c>
      <c r="L95" s="3">
        <v>632.8422025232918</v>
      </c>
      <c r="M95" s="5" t="str">
        <f>IF(Faturamento!$S717&lt;&gt;"","Não emitido",IF(Faturamento!$I717="NÃO","Pendente Fatura", IF(Faturamento!$R717&lt;&gt;"","Aprovado",IF(Faturamento!$O717&lt;&gt;0,"Pendente Emissão","Processo de Calculo"))))</f>
        <v>Aprovado</v>
      </c>
      <c r="N95" s="3">
        <v>495.76600000000008</v>
      </c>
      <c r="O95" s="3">
        <v>383.74</v>
      </c>
      <c r="P95" s="4">
        <v>45910</v>
      </c>
      <c r="Q95" s="4">
        <v>45920</v>
      </c>
      <c r="R95" s="3">
        <v>383.74</v>
      </c>
      <c r="S95"/>
      <c r="T95" s="51" t="s">
        <v>1337</v>
      </c>
      <c r="U95" s="51" t="s">
        <v>1338</v>
      </c>
      <c r="V95" t="s">
        <v>568</v>
      </c>
      <c r="W95" s="3">
        <v>383.74</v>
      </c>
      <c r="X95" s="123">
        <f>IF(Faturamento!$V770="Pago",IFERROR(W95-R95,0),0)</f>
        <v>0</v>
      </c>
      <c r="Y95" s="4"/>
      <c r="Z95" s="4"/>
      <c r="AA95" s="5"/>
      <c r="AB95" s="5"/>
      <c r="AI95"/>
    </row>
    <row r="96" spans="1:35" hidden="1" x14ac:dyDescent="0.3">
      <c r="A96" s="5" t="str">
        <f>VLOOKUP(B96,base!A:M,11,FALSE)</f>
        <v>TRIFÁSICO</v>
      </c>
      <c r="B96" t="s">
        <v>189</v>
      </c>
      <c r="C96" s="1">
        <v>0</v>
      </c>
      <c r="D96" s="60">
        <v>62955505461210</v>
      </c>
      <c r="E96" s="63" t="s">
        <v>433</v>
      </c>
      <c r="F96" t="s">
        <v>434</v>
      </c>
      <c r="G96" s="4">
        <v>45870</v>
      </c>
      <c r="H96" s="4" t="str">
        <f>Faturamento!$B715&amp;Faturamento!$G715</f>
        <v>10/69319-245839</v>
      </c>
      <c r="I96" t="s">
        <v>435</v>
      </c>
      <c r="J96">
        <v>418</v>
      </c>
      <c r="K96" s="3">
        <v>698.19416666666666</v>
      </c>
      <c r="L96" s="3">
        <v>587.68472237282299</v>
      </c>
      <c r="M96" s="5" t="str">
        <f>IF(Faturamento!$S715&lt;&gt;"","Não emitido",IF(Faturamento!$I715="NÃO","Pendente Fatura", IF(Faturamento!$R715&lt;&gt;"","Aprovado",IF(Faturamento!$O715&lt;&gt;0,"Pendente Emissão","Processo de Calculo"))))</f>
        <v>Aprovado</v>
      </c>
      <c r="N96" s="3">
        <v>489.06416666666661</v>
      </c>
      <c r="O96" s="3">
        <v>378.55</v>
      </c>
      <c r="P96" s="4">
        <v>45910</v>
      </c>
      <c r="Q96" s="4">
        <v>45920</v>
      </c>
      <c r="R96" s="3">
        <v>378.55</v>
      </c>
      <c r="S96"/>
      <c r="T96" s="51" t="s">
        <v>1333</v>
      </c>
      <c r="U96" s="51" t="s">
        <v>1334</v>
      </c>
      <c r="V96" t="s">
        <v>568</v>
      </c>
      <c r="W96" s="3">
        <v>378.55</v>
      </c>
      <c r="X96" s="123">
        <f>IF(Faturamento!$V769="Pago",IFERROR(W96-R96,0),0)</f>
        <v>0</v>
      </c>
      <c r="Y96" s="4"/>
      <c r="Z96" s="4"/>
      <c r="AA96" s="5"/>
      <c r="AB96" s="5"/>
      <c r="AI96"/>
    </row>
    <row r="97" spans="1:35" hidden="1" x14ac:dyDescent="0.3">
      <c r="A97" s="5" t="str">
        <f>VLOOKUP(B97,base!A:M,11,FALSE)</f>
        <v>TRIFÁSICO</v>
      </c>
      <c r="B97" s="37" t="s">
        <v>118</v>
      </c>
      <c r="C97" s="56">
        <v>67996135721</v>
      </c>
      <c r="D97" s="59">
        <v>62955505182257</v>
      </c>
      <c r="E97" s="37" t="s">
        <v>433</v>
      </c>
      <c r="F97" s="37" t="s">
        <v>434</v>
      </c>
      <c r="G97" s="52">
        <v>45658</v>
      </c>
      <c r="H97" s="52" t="str">
        <f>Faturamento!$B46&amp;Faturamento!$G46</f>
        <v>10/2599101-945689</v>
      </c>
      <c r="I97" s="37" t="s">
        <v>435</v>
      </c>
      <c r="J97">
        <v>497</v>
      </c>
      <c r="K97" s="3">
        <v>686.02</v>
      </c>
      <c r="L97" s="3">
        <v>559.88750000000005</v>
      </c>
      <c r="M97" s="5" t="str">
        <f>IF(Faturamento!$S46&lt;&gt;"","Não emitido",IF(Faturamento!$I46="NÃO","Pendente Fatura", IF(Faturamento!$R46&lt;&gt;"","Aprovado",IF(Faturamento!$O46&lt;&gt;0,"Pendente Emissão","Processo de Calculo"))))</f>
        <v>Aprovado</v>
      </c>
      <c r="N97" s="53">
        <v>504.53</v>
      </c>
      <c r="O97" s="53">
        <v>378.4</v>
      </c>
      <c r="P97" s="52"/>
      <c r="Q97" s="52"/>
      <c r="R97" s="53">
        <v>378.4</v>
      </c>
      <c r="S97" s="37"/>
      <c r="T97" s="51" t="s">
        <v>571</v>
      </c>
      <c r="U97" s="51"/>
      <c r="V97" s="37" t="s">
        <v>568</v>
      </c>
      <c r="W97" s="53">
        <v>378.4</v>
      </c>
      <c r="X97" s="123">
        <f>IF(Faturamento!$V768="Pago",IFERROR(W97-R97,0),0)</f>
        <v>0</v>
      </c>
      <c r="Y97" s="52"/>
      <c r="Z97" s="52"/>
      <c r="AA97" s="5">
        <v>283032</v>
      </c>
      <c r="AB97" s="5">
        <v>502</v>
      </c>
      <c r="AC97" s="5" t="s">
        <v>434</v>
      </c>
      <c r="AD97" s="5" t="s">
        <v>572</v>
      </c>
      <c r="AE97" s="5">
        <v>182.75</v>
      </c>
      <c r="AG97" s="5" t="s">
        <v>573</v>
      </c>
      <c r="AH97" s="5" t="s">
        <v>174</v>
      </c>
      <c r="AI97"/>
    </row>
    <row r="98" spans="1:35" hidden="1" x14ac:dyDescent="0.3">
      <c r="A98" s="5" t="str">
        <f>VLOOKUP(B98,base!A:M,11,FALSE)</f>
        <v>TRIFÁSICO</v>
      </c>
      <c r="B98" s="37" t="s">
        <v>338</v>
      </c>
      <c r="C98" s="56" t="s">
        <v>126</v>
      </c>
      <c r="D98" s="59">
        <v>62955505122432</v>
      </c>
      <c r="E98" s="37" t="s">
        <v>433</v>
      </c>
      <c r="F98" s="37" t="s">
        <v>434</v>
      </c>
      <c r="G98" s="52">
        <v>45870</v>
      </c>
      <c r="H98" s="52" t="str">
        <f>Faturamento!$B762&amp;Faturamento!$G762</f>
        <v>10/987178-145748</v>
      </c>
      <c r="I98" s="37" t="s">
        <v>435</v>
      </c>
      <c r="J98">
        <v>477</v>
      </c>
      <c r="K98" s="3">
        <v>675.35857142857139</v>
      </c>
      <c r="L98" s="3">
        <v>565.28197701350064</v>
      </c>
      <c r="M98" s="5" t="str">
        <f>IF(Faturamento!$S762&lt;&gt;"","Não emitido",IF(Faturamento!$I762="NÃO","Pendente Fatura", IF(Faturamento!$R762&lt;&gt;"","Aprovado",IF(Faturamento!$O762&lt;&gt;0,"Pendente Emissão","Processo de Calculo"))))</f>
        <v>Aprovado</v>
      </c>
      <c r="N98" s="53">
        <v>487.14857142857136</v>
      </c>
      <c r="O98" s="53">
        <v>377.07</v>
      </c>
      <c r="P98" s="52">
        <v>45910</v>
      </c>
      <c r="Q98" s="52">
        <v>45920</v>
      </c>
      <c r="R98" s="53">
        <v>377.07</v>
      </c>
      <c r="S98" s="37"/>
      <c r="T98" s="51" t="s">
        <v>1420</v>
      </c>
      <c r="U98" s="51" t="s">
        <v>1421</v>
      </c>
      <c r="V98" s="37" t="s">
        <v>568</v>
      </c>
      <c r="W98" s="53">
        <v>377.07</v>
      </c>
      <c r="X98" s="123">
        <f>IF(Faturamento!$V767="Pago",IFERROR(W98-R98,0),0)</f>
        <v>0</v>
      </c>
      <c r="Y98" s="52"/>
      <c r="Z98" s="52"/>
      <c r="AA98" s="5"/>
      <c r="AB98" s="5"/>
      <c r="AI98"/>
    </row>
    <row r="99" spans="1:35" hidden="1" x14ac:dyDescent="0.3">
      <c r="A99" s="5" t="e">
        <f>VLOOKUP(B99,base!A:M,11,FALSE)</f>
        <v>#N/A</v>
      </c>
      <c r="B99" t="s">
        <v>692</v>
      </c>
      <c r="C99" s="1" t="e">
        <v>#N/A</v>
      </c>
      <c r="D99" s="60">
        <v>62955505057789</v>
      </c>
      <c r="E99" s="63" t="s">
        <v>433</v>
      </c>
      <c r="F99" t="s">
        <v>434</v>
      </c>
      <c r="G99" s="4">
        <v>45748</v>
      </c>
      <c r="H99" s="4" t="str">
        <f>Faturamento!$B381&amp;Faturamento!$G381</f>
        <v>10/931327-145839</v>
      </c>
      <c r="I99" t="s">
        <v>435</v>
      </c>
      <c r="J99" s="37">
        <v>517</v>
      </c>
      <c r="K99" s="53">
        <v>706.59</v>
      </c>
      <c r="L99" s="53">
        <v>580.9050006425</v>
      </c>
      <c r="M99" s="5" t="str">
        <f>IF(Faturamento!$S381&lt;&gt;"","Não emitido",IF(Faturamento!$I381="NÃO","Pendente Fatura", IF(Faturamento!$R381&lt;&gt;"","Aprovado",IF(Faturamento!$O381&lt;&gt;0,"Pendente Emissão","Processo de Calculo"))))</f>
        <v>Aprovado</v>
      </c>
      <c r="N99" s="3">
        <v>502.73999742999996</v>
      </c>
      <c r="O99" s="3">
        <v>377.05</v>
      </c>
      <c r="P99" s="4"/>
      <c r="Q99" s="4"/>
      <c r="R99" s="3">
        <v>377.05</v>
      </c>
      <c r="S99"/>
      <c r="T99" s="51" t="s">
        <v>880</v>
      </c>
      <c r="U99" s="51"/>
      <c r="V99" t="s">
        <v>568</v>
      </c>
      <c r="W99" s="3">
        <v>377.05</v>
      </c>
      <c r="X99" s="123">
        <f>IF(Faturamento!$V766="Pago",IFERROR(W99-R99,0),0)</f>
        <v>0</v>
      </c>
      <c r="Y99" s="4"/>
      <c r="Z99" s="4"/>
      <c r="AA99" s="5"/>
      <c r="AB99" s="5"/>
      <c r="AI99"/>
    </row>
    <row r="100" spans="1:35" hidden="1" x14ac:dyDescent="0.3">
      <c r="A100" s="5" t="str">
        <f>VLOOKUP(B100,base!A:M,11,FALSE)</f>
        <v>BIFÁSICO</v>
      </c>
      <c r="B100" s="37" t="s">
        <v>318</v>
      </c>
      <c r="C100" s="56">
        <v>67999998719</v>
      </c>
      <c r="D100" s="59">
        <v>62955505015431</v>
      </c>
      <c r="E100" s="37" t="s">
        <v>433</v>
      </c>
      <c r="F100" s="37" t="s">
        <v>434</v>
      </c>
      <c r="G100" s="52">
        <v>45748</v>
      </c>
      <c r="H100" s="52" t="str">
        <f>Faturamento!$B396&amp;Faturamento!$G396</f>
        <v>10/260761-245901</v>
      </c>
      <c r="I100" s="37" t="s">
        <v>435</v>
      </c>
      <c r="J100" s="37">
        <v>517</v>
      </c>
      <c r="K100" s="53">
        <v>923.67000000000007</v>
      </c>
      <c r="L100" s="53">
        <v>798.04500000000007</v>
      </c>
      <c r="M100" s="5" t="str">
        <f>IF(Faturamento!$S396&lt;&gt;"","Não emitido",IF(Faturamento!$I396="NÃO","Pendente Fatura", IF(Faturamento!$R396&lt;&gt;"","Aprovado",IF(Faturamento!$O396&lt;&gt;0,"Pendente Emissão","Processo de Calculo"))))</f>
        <v>Aprovado</v>
      </c>
      <c r="N100" s="53">
        <v>502.5</v>
      </c>
      <c r="O100" s="53">
        <v>376.88</v>
      </c>
      <c r="P100" s="52"/>
      <c r="Q100" s="52"/>
      <c r="R100" s="53">
        <v>376.88</v>
      </c>
      <c r="S100" s="37"/>
      <c r="T100" s="51" t="s">
        <v>894</v>
      </c>
      <c r="U100" s="51"/>
      <c r="V100" s="37" t="s">
        <v>568</v>
      </c>
      <c r="W100" s="53">
        <v>376.88</v>
      </c>
      <c r="X100" s="123">
        <f>IF(Faturamento!$V765="Pago",IFERROR(W100-R100,0),0)</f>
        <v>0</v>
      </c>
      <c r="Y100" s="52"/>
      <c r="Z100" s="52"/>
      <c r="AA100" s="5"/>
      <c r="AB100" s="5"/>
      <c r="AI100"/>
    </row>
    <row r="101" spans="1:35" hidden="1" x14ac:dyDescent="0.3">
      <c r="A101" s="5" t="e">
        <f>VLOOKUP(B101,base!A:M,11,FALSE)</f>
        <v>#N/A</v>
      </c>
      <c r="B101" t="s">
        <v>692</v>
      </c>
      <c r="C101" s="56" t="e">
        <v>#N/A</v>
      </c>
      <c r="D101" t="s">
        <v>1180</v>
      </c>
      <c r="E101" s="37" t="s">
        <v>433</v>
      </c>
      <c r="F101" t="s">
        <v>108</v>
      </c>
      <c r="G101" s="4">
        <v>45931</v>
      </c>
      <c r="H101" s="52" t="str">
        <f>Faturamento!$B978&amp;Faturamento!$G978</f>
        <v>10/908866-745870</v>
      </c>
      <c r="I101" s="37" t="s">
        <v>435</v>
      </c>
      <c r="J101">
        <v>493</v>
      </c>
      <c r="M101" s="5" t="s">
        <v>1536</v>
      </c>
      <c r="N101" s="53">
        <v>519.34555555555562</v>
      </c>
      <c r="O101" s="53">
        <v>374.1</v>
      </c>
      <c r="P101" s="53" t="s">
        <v>1684</v>
      </c>
      <c r="Q101" s="53" t="s">
        <v>1684</v>
      </c>
      <c r="R101" s="53" t="s">
        <v>1684</v>
      </c>
      <c r="S101" s="37" t="s">
        <v>1393</v>
      </c>
      <c r="T101" s="3" t="str">
        <f>D101&amp;R101</f>
        <v>#ND-</v>
      </c>
      <c r="U101" s="3" t="e">
        <v>#N/A</v>
      </c>
      <c r="V101" s="37" t="s">
        <v>438</v>
      </c>
      <c r="X101" s="124">
        <f>IF(Faturamento!$V980="Pago",IFERROR(W101-R101,0),0)</f>
        <v>0</v>
      </c>
    </row>
    <row r="102" spans="1:35" hidden="1" x14ac:dyDescent="0.3">
      <c r="A102" s="5" t="str">
        <f>VLOOKUP(B102,base!A:M,11,FALSE)</f>
        <v>TRIFÁSICO</v>
      </c>
      <c r="B102" t="s">
        <v>238</v>
      </c>
      <c r="C102" s="1">
        <v>67996266684</v>
      </c>
      <c r="D102" s="60">
        <v>62955505016080</v>
      </c>
      <c r="E102" s="63" t="s">
        <v>433</v>
      </c>
      <c r="F102" t="s">
        <v>434</v>
      </c>
      <c r="G102" s="4">
        <v>45658</v>
      </c>
      <c r="H102" s="4" t="str">
        <f>Faturamento!$B71&amp;Faturamento!$G71</f>
        <v>10/29964-445658</v>
      </c>
      <c r="I102" t="s">
        <v>435</v>
      </c>
      <c r="J102">
        <v>445</v>
      </c>
      <c r="K102" s="3">
        <v>681.9</v>
      </c>
      <c r="L102" s="3">
        <v>557.71750000000009</v>
      </c>
      <c r="M102" s="5" t="str">
        <f>IF(Faturamento!$S71&lt;&gt;"","Não emitido",IF(Faturamento!$I71="NÃO","Pendente Fatura", IF(Faturamento!$R71&lt;&gt;"","Aprovado",IF(Faturamento!$O71&lt;&gt;0,"Pendente Emissão","Processo de Calculo"))))</f>
        <v>Aprovado</v>
      </c>
      <c r="N102" s="3">
        <v>496.72999999999996</v>
      </c>
      <c r="O102" s="3">
        <v>372.55</v>
      </c>
      <c r="P102" s="4"/>
      <c r="Q102" s="4"/>
      <c r="R102" s="3">
        <v>372.55</v>
      </c>
      <c r="S102"/>
      <c r="T102" s="51" t="s">
        <v>631</v>
      </c>
      <c r="U102" s="51"/>
      <c r="V102" t="s">
        <v>568</v>
      </c>
      <c r="W102" s="3">
        <v>372.55</v>
      </c>
      <c r="X102" s="123">
        <f>IF(Faturamento!$V764="Pago",IFERROR(W102-R102,0),0)</f>
        <v>0</v>
      </c>
      <c r="Y102" s="4"/>
      <c r="Z102" s="4"/>
      <c r="AA102" s="5"/>
      <c r="AB102" s="5"/>
      <c r="AI102"/>
    </row>
    <row r="103" spans="1:35" hidden="1" x14ac:dyDescent="0.3">
      <c r="A103" s="5" t="str">
        <f>VLOOKUP(B103,base!A:M,11,FALSE)</f>
        <v>BIFÁSICO</v>
      </c>
      <c r="B103" t="s">
        <v>127</v>
      </c>
      <c r="C103" s="56">
        <v>67996446178</v>
      </c>
      <c r="D103">
        <v>62955505016918</v>
      </c>
      <c r="E103" s="37" t="s">
        <v>433</v>
      </c>
      <c r="F103" t="s">
        <v>108</v>
      </c>
      <c r="G103" s="4">
        <v>45931</v>
      </c>
      <c r="H103" s="52" t="str">
        <f>Faturamento!$B892&amp;Faturamento!$G892</f>
        <v>10/252817-245717</v>
      </c>
      <c r="I103" s="37" t="s">
        <v>435</v>
      </c>
      <c r="J103">
        <v>523</v>
      </c>
      <c r="K103" s="3">
        <v>655.92000000000007</v>
      </c>
      <c r="L103" s="3">
        <v>512.39700863169674</v>
      </c>
      <c r="M103" s="5" t="s">
        <v>1489</v>
      </c>
      <c r="N103" s="53">
        <v>513.16999999999996</v>
      </c>
      <c r="O103" s="53">
        <v>369.65</v>
      </c>
      <c r="P103" s="52">
        <v>45967</v>
      </c>
      <c r="Q103" s="52">
        <v>45974</v>
      </c>
      <c r="R103" s="53">
        <v>369.65</v>
      </c>
      <c r="S103" s="37"/>
      <c r="T103" s="3" t="str">
        <f>D103&amp;R103</f>
        <v>62955505016918369,65</v>
      </c>
      <c r="U103" s="3" t="s">
        <v>1704</v>
      </c>
      <c r="V103" s="37" t="s">
        <v>568</v>
      </c>
      <c r="W103" s="13">
        <f>R103</f>
        <v>369.65</v>
      </c>
      <c r="X103" s="124">
        <f>IF(Faturamento!$V894="Pago",IFERROR(W103-R103,0),0)</f>
        <v>0</v>
      </c>
    </row>
    <row r="104" spans="1:35" hidden="1" x14ac:dyDescent="0.3">
      <c r="A104" s="5" t="str">
        <f>VLOOKUP(B104,base!A:M,11,FALSE)</f>
        <v>TRIFÁSICO</v>
      </c>
      <c r="B104" s="37" t="s">
        <v>338</v>
      </c>
      <c r="C104" s="56" t="s">
        <v>341</v>
      </c>
      <c r="D104" s="59">
        <v>62955505122432</v>
      </c>
      <c r="E104" s="37" t="s">
        <v>433</v>
      </c>
      <c r="F104" s="37" t="s">
        <v>434</v>
      </c>
      <c r="G104" s="52">
        <v>45658</v>
      </c>
      <c r="H104" s="52" t="str">
        <f>Faturamento!$B134&amp;Faturamento!$G134</f>
        <v>10/1035655-845931</v>
      </c>
      <c r="I104" s="37" t="s">
        <v>435</v>
      </c>
      <c r="J104">
        <v>494</v>
      </c>
      <c r="K104" s="3">
        <v>823.12</v>
      </c>
      <c r="L104" s="3">
        <v>699.99249999999984</v>
      </c>
      <c r="M104" s="5" t="str">
        <f>IF(Faturamento!$S134&lt;&gt;"","Não emitido",IF(Faturamento!$I134="NÃO","Pendente Fatura", IF(Faturamento!$R134&lt;&gt;"","Aprovado",IF(Faturamento!$O134&lt;&gt;0,"Pendente Emissão","Processo de Calculo"))))</f>
        <v>Aprovado</v>
      </c>
      <c r="N104" s="53">
        <v>492.5100000000001</v>
      </c>
      <c r="O104" s="53">
        <v>369.38</v>
      </c>
      <c r="P104" s="52"/>
      <c r="Q104" s="52"/>
      <c r="R104" s="53">
        <v>369.38</v>
      </c>
      <c r="S104" s="37"/>
      <c r="T104" s="51" t="s">
        <v>691</v>
      </c>
      <c r="U104" s="51"/>
      <c r="V104" s="37" t="s">
        <v>568</v>
      </c>
      <c r="W104" s="53">
        <v>369.38</v>
      </c>
      <c r="X104" s="123">
        <f>IF(Faturamento!$V763="Pago",IFERROR(W104-R104,0),0)</f>
        <v>0</v>
      </c>
      <c r="Y104" s="52"/>
      <c r="Z104" s="52"/>
      <c r="AA104" s="5"/>
      <c r="AB104" s="5"/>
      <c r="AI104"/>
    </row>
    <row r="105" spans="1:35" hidden="1" x14ac:dyDescent="0.3">
      <c r="A105" s="5" t="str">
        <f>VLOOKUP(B105,base!A:M,11,FALSE)</f>
        <v>TRIFÁSICO</v>
      </c>
      <c r="B105" s="37" t="s">
        <v>220</v>
      </c>
      <c r="C105" s="56">
        <v>67992637973</v>
      </c>
      <c r="D105" s="59">
        <v>62955505017213</v>
      </c>
      <c r="E105" s="37" t="s">
        <v>433</v>
      </c>
      <c r="F105" s="37" t="s">
        <v>434</v>
      </c>
      <c r="G105" s="52">
        <v>45809</v>
      </c>
      <c r="H105" s="52" t="str">
        <f>Faturamento!$B560&amp;Faturamento!$G560</f>
        <v>10/76927-345870</v>
      </c>
      <c r="I105" s="37" t="s">
        <v>435</v>
      </c>
      <c r="J105" s="37">
        <v>417</v>
      </c>
      <c r="K105" s="53">
        <v>671.37929999999994</v>
      </c>
      <c r="L105" s="53">
        <v>554.70256799150889</v>
      </c>
      <c r="M105" s="5" t="str">
        <f>IF(Faturamento!$S560&lt;&gt;"","Não emitido",IF(Faturamento!$I560="NÃO","Pendente Fatura", IF(Faturamento!$R560&lt;&gt;"","Aprovado",IF(Faturamento!$O560&lt;&gt;0,"Pendente Emissão","Processo de Calculo"))))</f>
        <v>Aprovado</v>
      </c>
      <c r="N105" s="53">
        <v>491.77930000000003</v>
      </c>
      <c r="O105" s="53">
        <v>368.83</v>
      </c>
      <c r="P105" s="52">
        <v>45860</v>
      </c>
      <c r="Q105" s="52">
        <v>45871</v>
      </c>
      <c r="R105" s="53">
        <v>368.83</v>
      </c>
      <c r="S105" s="37"/>
      <c r="T105" s="51" t="s">
        <v>1079</v>
      </c>
      <c r="U105" s="51" t="s">
        <v>1080</v>
      </c>
      <c r="V105" s="37" t="s">
        <v>568</v>
      </c>
      <c r="W105" s="53">
        <v>368.83</v>
      </c>
      <c r="X105" s="123">
        <f>IF(Faturamento!$V762="Pago",IFERROR(W105-R105,0),0)</f>
        <v>0</v>
      </c>
      <c r="Y105" s="52" t="s">
        <v>1015</v>
      </c>
      <c r="Z105" s="52"/>
      <c r="AA105" s="5"/>
      <c r="AB105" s="5"/>
      <c r="AI105"/>
    </row>
    <row r="106" spans="1:35" hidden="1" x14ac:dyDescent="0.3">
      <c r="A106" s="5" t="str">
        <f>VLOOKUP(B106,base!A:M,11,FALSE)</f>
        <v>TRIFÁSICO</v>
      </c>
      <c r="B106" s="37" t="s">
        <v>222</v>
      </c>
      <c r="C106" s="56">
        <v>67996150274</v>
      </c>
      <c r="D106" s="59">
        <v>62955505000167</v>
      </c>
      <c r="E106" s="37" t="s">
        <v>433</v>
      </c>
      <c r="F106" s="37" t="s">
        <v>434</v>
      </c>
      <c r="G106" s="52">
        <v>45717</v>
      </c>
      <c r="H106" s="52" t="str">
        <f>Faturamento!$B334&amp;Faturamento!$G334</f>
        <v>10/41548-945748</v>
      </c>
      <c r="I106" s="37" t="s">
        <v>435</v>
      </c>
      <c r="J106">
        <v>502</v>
      </c>
      <c r="M106" s="5" t="str">
        <f>IF(Faturamento!$S334&lt;&gt;"","Não emitido",IF(Faturamento!$I334="NÃO","Pendente Fatura", IF(Faturamento!$R334&lt;&gt;"","Aprovado",IF(Faturamento!$O334&lt;&gt;0,"Pendente Emissão","Processo de Calculo"))))</f>
        <v>Aprovado</v>
      </c>
      <c r="N106" s="53">
        <v>488.98</v>
      </c>
      <c r="O106" s="53">
        <v>366.74</v>
      </c>
      <c r="P106" s="52"/>
      <c r="Q106" s="52"/>
      <c r="R106" s="53"/>
      <c r="S106" s="37" t="s">
        <v>708</v>
      </c>
      <c r="T106" s="51" t="s">
        <v>535</v>
      </c>
      <c r="U106" s="51"/>
      <c r="V106" s="37" t="s">
        <v>438</v>
      </c>
      <c r="W106" s="53">
        <v>0</v>
      </c>
      <c r="X106" s="123">
        <f>IF(Faturamento!$V150="Pago",IFERROR(W106-R106,0),0)</f>
        <v>0</v>
      </c>
      <c r="Y106" s="52"/>
      <c r="Z106" s="52"/>
      <c r="AA106" s="5"/>
      <c r="AB106" s="5"/>
      <c r="AI106"/>
    </row>
    <row r="107" spans="1:35" hidden="1" x14ac:dyDescent="0.3">
      <c r="A107" s="5" t="str">
        <f>VLOOKUP(B107,base!A:M,11,FALSE)</f>
        <v>TRIFÁSICO</v>
      </c>
      <c r="B107" s="37" t="s">
        <v>311</v>
      </c>
      <c r="C107" s="56" t="s">
        <v>313</v>
      </c>
      <c r="D107" s="59">
        <v>62955505193534</v>
      </c>
      <c r="E107" s="37" t="s">
        <v>433</v>
      </c>
      <c r="F107" s="37" t="s">
        <v>434</v>
      </c>
      <c r="G107" s="52">
        <v>45717</v>
      </c>
      <c r="H107" s="52" t="str">
        <f>Faturamento!$B252&amp;Faturamento!$G252</f>
        <v>10/532723-445778</v>
      </c>
      <c r="I107" s="37" t="s">
        <v>435</v>
      </c>
      <c r="J107">
        <v>458</v>
      </c>
      <c r="K107" s="3">
        <v>711.51</v>
      </c>
      <c r="L107" s="3">
        <v>589.6400000000001</v>
      </c>
      <c r="M107" s="5" t="str">
        <f>IF(Faturamento!$S252&lt;&gt;"","Não emitido",IF(Faturamento!$I252="NÃO","Pendente Fatura", IF(Faturamento!$R252&lt;&gt;"","Aprovado",IF(Faturamento!$O252&lt;&gt;0,"Pendente Emissão","Processo de Calculo"))))</f>
        <v>Aprovado</v>
      </c>
      <c r="N107" s="53">
        <v>487.47999999999996</v>
      </c>
      <c r="O107" s="53">
        <v>365.61</v>
      </c>
      <c r="P107" s="52"/>
      <c r="Q107" s="52"/>
      <c r="R107" s="53">
        <v>365.61</v>
      </c>
      <c r="S107" s="37"/>
      <c r="T107" s="51" t="s">
        <v>793</v>
      </c>
      <c r="U107" s="51"/>
      <c r="V107" s="37" t="s">
        <v>568</v>
      </c>
      <c r="W107" s="53">
        <v>365.61</v>
      </c>
      <c r="X107" s="123">
        <f>IF(Faturamento!$V761="Pago",IFERROR(W107-R107,0),0)</f>
        <v>0</v>
      </c>
      <c r="Y107" s="52"/>
      <c r="Z107" s="52"/>
      <c r="AA107" s="5"/>
      <c r="AB107" s="5"/>
      <c r="AI107"/>
    </row>
    <row r="108" spans="1:35" hidden="1" x14ac:dyDescent="0.3">
      <c r="A108" s="5" t="str">
        <f>VLOOKUP(B108,base!A:M,11,FALSE)</f>
        <v>TRIFÁSICO</v>
      </c>
      <c r="B108" t="s">
        <v>189</v>
      </c>
      <c r="C108" s="1">
        <v>67991767866</v>
      </c>
      <c r="D108" s="60">
        <v>62955505461210</v>
      </c>
      <c r="E108" s="63" t="s">
        <v>433</v>
      </c>
      <c r="F108" t="s">
        <v>434</v>
      </c>
      <c r="G108" s="4">
        <v>45839</v>
      </c>
      <c r="H108" s="4" t="str">
        <f>Faturamento!$B625&amp;Faturamento!$G625</f>
        <v>10/283183-245689</v>
      </c>
      <c r="I108" t="s">
        <v>435</v>
      </c>
      <c r="J108" s="37">
        <v>406</v>
      </c>
      <c r="K108" s="53">
        <v>729.856056338028</v>
      </c>
      <c r="L108" s="53">
        <v>621.53428101408429</v>
      </c>
      <c r="M108" s="5" t="s">
        <v>1489</v>
      </c>
      <c r="N108" s="3">
        <v>472.87605633802815</v>
      </c>
      <c r="O108" s="3">
        <v>364.55</v>
      </c>
      <c r="P108" s="4">
        <v>45910</v>
      </c>
      <c r="Q108" s="4">
        <v>45920</v>
      </c>
      <c r="R108" s="3">
        <v>364.55</v>
      </c>
      <c r="S108"/>
      <c r="T108" s="51" t="s">
        <v>1165</v>
      </c>
      <c r="U108" s="51" t="s">
        <v>1166</v>
      </c>
      <c r="V108" t="s">
        <v>568</v>
      </c>
      <c r="W108" s="3">
        <v>364.55</v>
      </c>
      <c r="X108" s="123">
        <f>IF(Faturamento!$V760="Pago",IFERROR(W108-R108,0),0)</f>
        <v>0</v>
      </c>
      <c r="Y108" s="4"/>
      <c r="Z108" s="4"/>
      <c r="AA108" s="5"/>
      <c r="AB108" s="5"/>
      <c r="AI108"/>
    </row>
    <row r="109" spans="1:35" hidden="1" x14ac:dyDescent="0.3">
      <c r="A109" s="5" t="str">
        <f>VLOOKUP(B109,base!A:M,11,FALSE)</f>
        <v>BIFÁSICO</v>
      </c>
      <c r="B109" s="37" t="s">
        <v>318</v>
      </c>
      <c r="C109" s="56">
        <v>0</v>
      </c>
      <c r="D109" s="59">
        <v>62955505015431</v>
      </c>
      <c r="E109" s="37" t="s">
        <v>433</v>
      </c>
      <c r="F109" s="37" t="s">
        <v>434</v>
      </c>
      <c r="G109" s="52">
        <v>45901</v>
      </c>
      <c r="H109" s="52" t="str">
        <f>Faturamento!$B846&amp;Faturamento!$G846</f>
        <v>10/489076-045689</v>
      </c>
      <c r="I109" s="37" t="s">
        <v>435</v>
      </c>
      <c r="J109">
        <v>520</v>
      </c>
      <c r="K109" s="3">
        <v>651.23</v>
      </c>
      <c r="L109" s="3">
        <v>518.30745614060538</v>
      </c>
      <c r="M109" s="5" t="s">
        <v>1489</v>
      </c>
      <c r="N109" s="53">
        <v>494.91</v>
      </c>
      <c r="O109" s="53">
        <v>361.99</v>
      </c>
      <c r="P109" s="52">
        <v>45933</v>
      </c>
      <c r="Q109" s="52">
        <v>45943</v>
      </c>
      <c r="R109" s="53">
        <f>O109</f>
        <v>361.99</v>
      </c>
      <c r="S109" s="37"/>
      <c r="T109" s="51" t="s">
        <v>1571</v>
      </c>
      <c r="U109" s="51" t="s">
        <v>1572</v>
      </c>
      <c r="V109" s="37" t="s">
        <v>568</v>
      </c>
      <c r="W109" s="53">
        <v>494.91</v>
      </c>
      <c r="X109" s="123">
        <f>IF(Faturamento!$V882="Pago",IFERROR(W109-R109,0),0)</f>
        <v>0</v>
      </c>
      <c r="Y109" s="52">
        <v>45966</v>
      </c>
      <c r="Z109" s="52"/>
      <c r="AA109" s="5"/>
      <c r="AB109" s="5"/>
      <c r="AI109"/>
    </row>
    <row r="110" spans="1:35" hidden="1" x14ac:dyDescent="0.3">
      <c r="A110" s="5" t="str">
        <f>VLOOKUP(B110,base!A:M,11,FALSE)</f>
        <v>TRIFÁSICO</v>
      </c>
      <c r="B110" t="s">
        <v>266</v>
      </c>
      <c r="C110" s="56">
        <v>67991060202</v>
      </c>
      <c r="D110">
        <v>62955505213233</v>
      </c>
      <c r="E110" s="37" t="s">
        <v>433</v>
      </c>
      <c r="F110" t="s">
        <v>108</v>
      </c>
      <c r="G110" s="4">
        <v>45931</v>
      </c>
      <c r="H110" s="52" t="str">
        <f>Faturamento!$B895&amp;Faturamento!$G895</f>
        <v>10/72605-945717</v>
      </c>
      <c r="I110" s="37" t="s">
        <v>435</v>
      </c>
      <c r="J110">
        <v>468</v>
      </c>
      <c r="K110" s="3">
        <v>598.21636363636367</v>
      </c>
      <c r="L110" s="3">
        <v>458.95390398333217</v>
      </c>
      <c r="M110" s="5" t="s">
        <v>1489</v>
      </c>
      <c r="N110" s="53">
        <v>497.93636363636358</v>
      </c>
      <c r="O110" s="53">
        <v>357.75</v>
      </c>
      <c r="P110" s="52">
        <v>45967</v>
      </c>
      <c r="Q110" s="52">
        <v>45974</v>
      </c>
      <c r="R110" s="53">
        <v>357.75</v>
      </c>
      <c r="S110" s="37"/>
      <c r="T110" s="3" t="str">
        <f>D110&amp;R110</f>
        <v>62955505213233357,75</v>
      </c>
      <c r="U110" s="3" t="s">
        <v>1707</v>
      </c>
      <c r="V110" s="37" t="s">
        <v>568</v>
      </c>
      <c r="W110" s="13">
        <f>R110</f>
        <v>357.75</v>
      </c>
      <c r="X110" s="124">
        <f>IF(Faturamento!$V897="Pago",IFERROR(W110-R110,0),0)</f>
        <v>0</v>
      </c>
    </row>
    <row r="111" spans="1:35" hidden="1" x14ac:dyDescent="0.3">
      <c r="A111" s="5" t="str">
        <f>VLOOKUP(B111,base!A:M,11,FALSE)</f>
        <v>TRIFÁSICO</v>
      </c>
      <c r="B111" t="s">
        <v>238</v>
      </c>
      <c r="C111" s="56">
        <v>67996266684</v>
      </c>
      <c r="D111">
        <v>62955505016080</v>
      </c>
      <c r="E111" s="37" t="s">
        <v>433</v>
      </c>
      <c r="F111" t="s">
        <v>108</v>
      </c>
      <c r="G111" s="4">
        <v>45931</v>
      </c>
      <c r="H111" s="52" t="str">
        <f>Faturamento!$B945&amp;Faturamento!$G945</f>
        <v>10/2794432-145809</v>
      </c>
      <c r="I111" s="37" t="s">
        <v>435</v>
      </c>
      <c r="J111">
        <v>401</v>
      </c>
      <c r="K111" s="3">
        <v>693.90920000000006</v>
      </c>
      <c r="L111" s="3">
        <v>555.14377610751944</v>
      </c>
      <c r="M111" s="5" t="s">
        <v>1489</v>
      </c>
      <c r="N111" s="53">
        <v>496.1592</v>
      </c>
      <c r="O111" s="53">
        <v>357.39</v>
      </c>
      <c r="P111" s="52">
        <v>45967</v>
      </c>
      <c r="Q111" s="52">
        <v>45974</v>
      </c>
      <c r="R111" s="53">
        <v>357.39</v>
      </c>
      <c r="S111" s="37"/>
      <c r="T111" s="3" t="str">
        <f>D111&amp;R111</f>
        <v>62955505016080357,39</v>
      </c>
      <c r="U111" s="3" t="s">
        <v>1757</v>
      </c>
      <c r="V111" s="37" t="s">
        <v>568</v>
      </c>
      <c r="W111">
        <v>496.16</v>
      </c>
      <c r="X111" s="124">
        <f>IF(Faturamento!$V947="Pago",IFERROR(W111-R111,0),0)</f>
        <v>0</v>
      </c>
      <c r="Y111" s="175">
        <v>45992</v>
      </c>
      <c r="Z111" s="175"/>
    </row>
    <row r="112" spans="1:35" hidden="1" x14ac:dyDescent="0.3">
      <c r="A112" s="5" t="str">
        <f>VLOOKUP(B112,base!A:M,11,FALSE)</f>
        <v>TRIFÁSICO</v>
      </c>
      <c r="B112" s="37" t="s">
        <v>184</v>
      </c>
      <c r="C112" s="56">
        <v>67992637973</v>
      </c>
      <c r="D112" s="59">
        <v>62955505017213</v>
      </c>
      <c r="E112" s="37" t="s">
        <v>433</v>
      </c>
      <c r="F112" s="37" t="s">
        <v>434</v>
      </c>
      <c r="G112" s="52">
        <v>45748</v>
      </c>
      <c r="H112" s="52" t="str">
        <f>Faturamento!$B338&amp;Faturamento!$G338</f>
        <v>10/76927-345748</v>
      </c>
      <c r="I112" s="37" t="s">
        <v>435</v>
      </c>
      <c r="J112" s="37">
        <v>423</v>
      </c>
      <c r="K112" s="53">
        <v>652.34</v>
      </c>
      <c r="L112" s="53">
        <v>534.15750000000003</v>
      </c>
      <c r="M112" s="5" t="str">
        <f>IF(Faturamento!$S338&lt;&gt;"","Não emitido",IF(Faturamento!$I338="NÃO","Pendente Fatura", IF(Faturamento!$R338&lt;&gt;"","Aprovado",IF(Faturamento!$O338&lt;&gt;0,"Pendente Emissão","Processo de Calculo"))))</f>
        <v>Aprovado</v>
      </c>
      <c r="N112" s="53">
        <v>472.73</v>
      </c>
      <c r="O112" s="53">
        <v>354.55</v>
      </c>
      <c r="P112" s="52"/>
      <c r="Q112" s="52"/>
      <c r="R112" s="53">
        <v>354.55</v>
      </c>
      <c r="S112" s="37"/>
      <c r="T112" s="51" t="s">
        <v>841</v>
      </c>
      <c r="U112" s="51"/>
      <c r="V112" s="37" t="s">
        <v>568</v>
      </c>
      <c r="W112" s="53">
        <v>354.55</v>
      </c>
      <c r="X112" s="123">
        <f>IF(Faturamento!$V756="Pago",IFERROR(W112-R112,0),0)</f>
        <v>0</v>
      </c>
      <c r="Y112" s="52"/>
      <c r="Z112" s="52"/>
      <c r="AA112" s="5"/>
      <c r="AB112" s="5"/>
      <c r="AI112"/>
    </row>
    <row r="113" spans="1:35" hidden="1" x14ac:dyDescent="0.3">
      <c r="A113" s="5" t="str">
        <f>VLOOKUP(B113,base!A:M,11,FALSE)</f>
        <v>TRIFÁSICO</v>
      </c>
      <c r="B113" t="s">
        <v>224</v>
      </c>
      <c r="C113" s="1" t="s">
        <v>226</v>
      </c>
      <c r="D113" s="60">
        <v>62955505177504</v>
      </c>
      <c r="E113" s="63" t="s">
        <v>433</v>
      </c>
      <c r="F113" t="s">
        <v>434</v>
      </c>
      <c r="G113" s="4">
        <v>45717</v>
      </c>
      <c r="H113" s="4" t="str">
        <f>Faturamento!$B249&amp;Faturamento!$G249</f>
        <v>10/3139326-745778</v>
      </c>
      <c r="I113" t="s">
        <v>435</v>
      </c>
      <c r="J113">
        <v>422</v>
      </c>
      <c r="K113" s="3">
        <v>676.81000000000006</v>
      </c>
      <c r="L113" s="3">
        <v>559.05000000000018</v>
      </c>
      <c r="M113" s="5" t="str">
        <f>IF(Faturamento!$S249&lt;&gt;"","Não emitido",IF(Faturamento!$I249="NÃO","Pendente Fatura", IF(Faturamento!$R249&lt;&gt;"","Aprovado",IF(Faturamento!$O249&lt;&gt;0,"Pendente Emissão","Processo de Calculo"))))</f>
        <v>Aprovado</v>
      </c>
      <c r="N113" s="3">
        <v>471.03999999999991</v>
      </c>
      <c r="O113" s="3">
        <v>353.28</v>
      </c>
      <c r="P113" s="4"/>
      <c r="Q113" s="4"/>
      <c r="R113" s="3">
        <v>353.28</v>
      </c>
      <c r="S113"/>
      <c r="T113" s="51" t="s">
        <v>790</v>
      </c>
      <c r="U113" s="51"/>
      <c r="V113" t="s">
        <v>568</v>
      </c>
      <c r="W113" s="3">
        <v>353.28</v>
      </c>
      <c r="X113" s="123">
        <f>IF(Faturamento!$V755="Pago",IFERROR(W113-R113,0),0)</f>
        <v>0</v>
      </c>
      <c r="Y113" s="4">
        <v>45932</v>
      </c>
      <c r="Z113" s="4"/>
      <c r="AA113" s="5"/>
      <c r="AB113" s="5"/>
      <c r="AI113">
        <f>VLOOKUP(B113,'[1]Conciliação - 032025'!$A:$L,12,FALSE)</f>
        <v>0</v>
      </c>
    </row>
    <row r="114" spans="1:35" hidden="1" x14ac:dyDescent="0.3">
      <c r="A114" s="5" t="str">
        <f>VLOOKUP(B114,base!A:M,11,FALSE)</f>
        <v>TRIFÁSICO</v>
      </c>
      <c r="B114" t="s">
        <v>266</v>
      </c>
      <c r="C114" s="1">
        <v>67991060202</v>
      </c>
      <c r="D114" s="60">
        <v>62955505213233</v>
      </c>
      <c r="E114" s="63" t="s">
        <v>433</v>
      </c>
      <c r="F114" t="s">
        <v>434</v>
      </c>
      <c r="G114" s="4">
        <v>45748</v>
      </c>
      <c r="H114" s="4" t="str">
        <f>Faturamento!$B395&amp;Faturamento!$G395</f>
        <v>10/511753-645748</v>
      </c>
      <c r="I114" t="s">
        <v>435</v>
      </c>
      <c r="J114" s="37">
        <v>481</v>
      </c>
      <c r="K114" s="53">
        <v>705.38</v>
      </c>
      <c r="L114" s="53">
        <v>588.34500000000003</v>
      </c>
      <c r="M114" s="5" t="str">
        <f>IF(Faturamento!$S395&lt;&gt;"","Não emitido",IF(Faturamento!$I395="NÃO","Pendente Fatura", IF(Faturamento!$R395&lt;&gt;"","Aprovado",IF(Faturamento!$O395&lt;&gt;0,"Pendente Emissão","Processo de Calculo"))))</f>
        <v>Aprovado</v>
      </c>
      <c r="N114" s="3">
        <v>468.14000000000004</v>
      </c>
      <c r="O114" s="3">
        <v>351.11</v>
      </c>
      <c r="P114" s="4"/>
      <c r="Q114" s="4"/>
      <c r="R114" s="3">
        <v>351.11</v>
      </c>
      <c r="S114"/>
      <c r="T114" s="51" t="s">
        <v>893</v>
      </c>
      <c r="U114" s="51"/>
      <c r="V114" t="s">
        <v>568</v>
      </c>
      <c r="W114" s="3">
        <v>351.11</v>
      </c>
      <c r="X114" s="123">
        <f>IF(Faturamento!$V751="Pago",IFERROR(W114-R114,0),0)</f>
        <v>0</v>
      </c>
      <c r="Y114" s="4"/>
      <c r="Z114" s="4"/>
      <c r="AA114" s="5"/>
      <c r="AB114" s="5"/>
      <c r="AI114"/>
    </row>
    <row r="115" spans="1:35" x14ac:dyDescent="0.3">
      <c r="A115" s="5" t="str">
        <f>VLOOKUP(B115,base!A:M,11,FALSE)</f>
        <v>TRIFÁSICO</v>
      </c>
      <c r="B115" s="37" t="s">
        <v>244</v>
      </c>
      <c r="C115" s="56" t="s">
        <v>166</v>
      </c>
      <c r="D115" s="59">
        <v>62955505419443</v>
      </c>
      <c r="E115" s="37" t="s">
        <v>433</v>
      </c>
      <c r="F115" s="37" t="s">
        <v>434</v>
      </c>
      <c r="G115" s="52">
        <v>45778</v>
      </c>
      <c r="H115" s="52" t="str">
        <f>Faturamento!$B442&amp;Faturamento!$G442</f>
        <v>10/931327-145931</v>
      </c>
      <c r="I115" s="37" t="s">
        <v>435</v>
      </c>
      <c r="J115">
        <v>412</v>
      </c>
      <c r="K115" s="3">
        <v>581.43799999999999</v>
      </c>
      <c r="L115" s="3">
        <v>464.471</v>
      </c>
      <c r="M115" s="5" t="str">
        <f>IF(Faturamento!$S442&lt;&gt;"","Não emitido",IF(Faturamento!$I442="NÃO","Pendente Fatura", IF(Faturamento!$R442&lt;&gt;"","Aprovado",IF(Faturamento!$O442&lt;&gt;0,"Pendente Emissão","Processo de Calculo"))))</f>
        <v>Aprovado</v>
      </c>
      <c r="N115" s="53">
        <v>467.86800000000005</v>
      </c>
      <c r="O115" s="53">
        <v>350.9</v>
      </c>
      <c r="P115" s="52"/>
      <c r="Q115" s="52"/>
      <c r="R115" s="53">
        <v>350.9</v>
      </c>
      <c r="S115" s="37"/>
      <c r="T115" s="51" t="s">
        <v>937</v>
      </c>
      <c r="U115" s="51"/>
      <c r="V115" s="37" t="s">
        <v>568</v>
      </c>
      <c r="W115" s="53">
        <v>350.9</v>
      </c>
      <c r="X115" s="123">
        <f>IF(Faturamento!$V750="Pago",IFERROR(W115-R115,0),0)</f>
        <v>0</v>
      </c>
      <c r="Y115" s="52"/>
      <c r="Z115" s="52"/>
      <c r="AA115" s="5"/>
      <c r="AB115" s="5"/>
      <c r="AI115"/>
    </row>
    <row r="116" spans="1:35" hidden="1" x14ac:dyDescent="0.3">
      <c r="A116" s="5" t="str">
        <f>VLOOKUP(B116,base!A:M,11,FALSE)</f>
        <v>TRIFÁSICO</v>
      </c>
      <c r="B116" t="s">
        <v>294</v>
      </c>
      <c r="C116" s="56">
        <v>67992637973</v>
      </c>
      <c r="D116">
        <v>62955505367117</v>
      </c>
      <c r="E116" s="37" t="s">
        <v>433</v>
      </c>
      <c r="F116" t="s">
        <v>108</v>
      </c>
      <c r="G116" s="4">
        <v>45931</v>
      </c>
      <c r="H116" s="52" t="str">
        <f>Faturamento!$B942&amp;Faturamento!$G942</f>
        <v>10/162736-345809</v>
      </c>
      <c r="I116" s="37" t="s">
        <v>435</v>
      </c>
      <c r="J116">
        <v>392</v>
      </c>
      <c r="K116" s="3">
        <v>666.03719999999998</v>
      </c>
      <c r="L116" s="3">
        <v>532.58903766196363</v>
      </c>
      <c r="M116" s="5" t="s">
        <v>1489</v>
      </c>
      <c r="N116" s="53">
        <v>477.1472</v>
      </c>
      <c r="O116" s="53">
        <v>343.83</v>
      </c>
      <c r="P116" s="52">
        <v>45967</v>
      </c>
      <c r="Q116" s="52">
        <v>45974</v>
      </c>
      <c r="R116" s="53">
        <v>343.7</v>
      </c>
      <c r="S116" s="37"/>
      <c r="T116" s="3" t="str">
        <f>D116&amp;R116</f>
        <v>62955505367117343,7</v>
      </c>
      <c r="U116" s="3" t="s">
        <v>1754</v>
      </c>
      <c r="V116" s="37" t="s">
        <v>568</v>
      </c>
      <c r="W116" s="13">
        <v>343.7</v>
      </c>
      <c r="X116" s="124">
        <f>IF(Faturamento!$V944="Pago",IFERROR(W116-R116,0),0)</f>
        <v>0</v>
      </c>
      <c r="Y116" s="175">
        <v>45980</v>
      </c>
      <c r="Z116" s="175"/>
    </row>
    <row r="117" spans="1:35" hidden="1" x14ac:dyDescent="0.3">
      <c r="A117" s="5" t="str">
        <f>VLOOKUP(B117,base!A:M,11,FALSE)</f>
        <v>TRIFÁSICO</v>
      </c>
      <c r="B117" t="s">
        <v>285</v>
      </c>
      <c r="C117" s="56">
        <v>67996266684</v>
      </c>
      <c r="D117">
        <v>62955505016080</v>
      </c>
      <c r="E117" s="37" t="s">
        <v>433</v>
      </c>
      <c r="F117" t="s">
        <v>108</v>
      </c>
      <c r="G117" s="4">
        <v>45931</v>
      </c>
      <c r="H117" s="52" t="str">
        <f>Faturamento!$B899&amp;Faturamento!$G899</f>
        <v>10/13786-945717</v>
      </c>
      <c r="I117" s="37" t="s">
        <v>435</v>
      </c>
      <c r="J117">
        <v>443</v>
      </c>
      <c r="K117" s="3">
        <v>652.62259259259258</v>
      </c>
      <c r="L117" s="3">
        <v>519.53370826738819</v>
      </c>
      <c r="M117" s="5" t="s">
        <v>1489</v>
      </c>
      <c r="N117" s="53">
        <v>475.86259259259259</v>
      </c>
      <c r="O117" s="53">
        <v>342.77</v>
      </c>
      <c r="P117" s="52">
        <v>45967</v>
      </c>
      <c r="Q117" s="52">
        <v>45974</v>
      </c>
      <c r="R117" s="53">
        <v>342.77</v>
      </c>
      <c r="S117" s="37"/>
      <c r="T117" s="3" t="str">
        <f>D117&amp;R117</f>
        <v>62955505016080342,77</v>
      </c>
      <c r="U117" s="3" t="s">
        <v>1711</v>
      </c>
      <c r="V117" s="37" t="s">
        <v>568</v>
      </c>
      <c r="W117" s="13">
        <f>R117</f>
        <v>342.77</v>
      </c>
      <c r="X117" s="124">
        <f>IF(Faturamento!$V901="Pago",IFERROR(W117-R117,0),0)</f>
        <v>0</v>
      </c>
    </row>
    <row r="118" spans="1:35" hidden="1" x14ac:dyDescent="0.3">
      <c r="A118" s="5" t="str">
        <f>VLOOKUP(B118,base!A:M,11,FALSE)</f>
        <v>BIFÁSICO</v>
      </c>
      <c r="B118" t="s">
        <v>127</v>
      </c>
      <c r="C118" s="1">
        <v>67996446178</v>
      </c>
      <c r="D118" s="60">
        <v>62955505016918</v>
      </c>
      <c r="E118" s="63" t="s">
        <v>433</v>
      </c>
      <c r="F118" t="s">
        <v>434</v>
      </c>
      <c r="G118" s="4">
        <v>45658</v>
      </c>
      <c r="H118" s="4" t="str">
        <f>Faturamento!$B89&amp;Faturamento!$G89</f>
        <v>10/1035655-845717</v>
      </c>
      <c r="I118" t="s">
        <v>435</v>
      </c>
      <c r="J118">
        <v>409</v>
      </c>
      <c r="K118" s="3">
        <v>780.44</v>
      </c>
      <c r="L118" s="3">
        <v>666.30250000000001</v>
      </c>
      <c r="M118" s="5" t="str">
        <f>IF(Faturamento!$S89&lt;&gt;"","Não emitido",IF(Faturamento!$I89="NÃO","Pendente Fatura", IF(Faturamento!$R89&lt;&gt;"","Aprovado",IF(Faturamento!$O89&lt;&gt;0,"Pendente Emissão","Processo de Calculo"))))</f>
        <v>Aprovado</v>
      </c>
      <c r="N118" s="3">
        <v>456.55</v>
      </c>
      <c r="O118" s="3">
        <v>342.41</v>
      </c>
      <c r="P118" s="4"/>
      <c r="Q118" s="4"/>
      <c r="R118" s="3">
        <v>342.41</v>
      </c>
      <c r="S118"/>
      <c r="T118" s="51" t="s">
        <v>646</v>
      </c>
      <c r="U118" s="51"/>
      <c r="V118" t="s">
        <v>568</v>
      </c>
      <c r="W118" s="3">
        <v>342.41</v>
      </c>
      <c r="X118" s="123">
        <f>IF(Faturamento!$V748="Pago",IFERROR(W118-R118,0),0)</f>
        <v>0</v>
      </c>
      <c r="Y118" s="4"/>
      <c r="Z118" s="4"/>
      <c r="AA118" s="5"/>
      <c r="AB118" s="5"/>
      <c r="AI118"/>
    </row>
    <row r="119" spans="1:35" hidden="1" x14ac:dyDescent="0.3">
      <c r="A119" s="5" t="str">
        <f>VLOOKUP(B119,base!A:M,11,FALSE)</f>
        <v>TRIFÁSICO</v>
      </c>
      <c r="B119" s="37" t="s">
        <v>194</v>
      </c>
      <c r="C119" s="56">
        <v>67996266684</v>
      </c>
      <c r="D119" s="59">
        <v>62955505016080</v>
      </c>
      <c r="E119" s="37" t="s">
        <v>433</v>
      </c>
      <c r="F119" s="37" t="s">
        <v>434</v>
      </c>
      <c r="G119" s="52">
        <v>45717</v>
      </c>
      <c r="H119" s="52" t="str">
        <f>Faturamento!$B242&amp;Faturamento!$G242</f>
        <v>10/63920-345901</v>
      </c>
      <c r="I119" s="37" t="s">
        <v>435</v>
      </c>
      <c r="J119">
        <v>414</v>
      </c>
      <c r="K119" s="3">
        <v>1261.3800000000001</v>
      </c>
      <c r="L119" s="3">
        <v>1147.5550000000001</v>
      </c>
      <c r="M119" s="5" t="str">
        <f>IF(Faturamento!$S242&lt;&gt;"","Não emitido",IF(Faturamento!$I242="NÃO","Pendente Fatura", IF(Faturamento!$R242&lt;&gt;"","Aprovado",IF(Faturamento!$O242&lt;&gt;0,"Pendente Emissão","Processo de Calculo"))))</f>
        <v>Aprovado</v>
      </c>
      <c r="N119" s="53">
        <v>455.2999999999999</v>
      </c>
      <c r="O119" s="53">
        <v>341.48</v>
      </c>
      <c r="P119" s="52"/>
      <c r="Q119" s="52"/>
      <c r="R119" s="53">
        <v>341.48</v>
      </c>
      <c r="S119" s="37"/>
      <c r="T119" s="51" t="s">
        <v>783</v>
      </c>
      <c r="U119" s="51"/>
      <c r="V119" s="37" t="s">
        <v>568</v>
      </c>
      <c r="W119" s="53">
        <v>341.48</v>
      </c>
      <c r="X119" s="123">
        <f>IF(Faturamento!$V747="Pago",IFERROR(W119-R119,0),0)</f>
        <v>0</v>
      </c>
      <c r="Y119" s="52"/>
      <c r="Z119" s="52"/>
      <c r="AA119" s="5"/>
      <c r="AB119" s="5"/>
      <c r="AI119"/>
    </row>
    <row r="120" spans="1:35" hidden="1" x14ac:dyDescent="0.3">
      <c r="A120" s="5" t="str">
        <f>VLOOKUP(B120,base!A:M,11,FALSE)</f>
        <v>TRIFÁSICO</v>
      </c>
      <c r="B120" s="37" t="s">
        <v>236</v>
      </c>
      <c r="C120" s="56">
        <v>0</v>
      </c>
      <c r="D120" s="59">
        <v>62955505067660</v>
      </c>
      <c r="E120" s="37" t="s">
        <v>433</v>
      </c>
      <c r="F120" s="37" t="s">
        <v>434</v>
      </c>
      <c r="G120" s="52">
        <v>45870</v>
      </c>
      <c r="H120" s="52" t="str">
        <f>Faturamento!$B722&amp;Faturamento!$G722</f>
        <v>10/452884-045870</v>
      </c>
      <c r="I120" s="37" t="s">
        <v>435</v>
      </c>
      <c r="J120">
        <v>370</v>
      </c>
      <c r="K120" s="3">
        <v>553.36299999999994</v>
      </c>
      <c r="L120" s="3">
        <v>455.42177198174772</v>
      </c>
      <c r="M120" s="5" t="str">
        <f>IF(Faturamento!$S722&lt;&gt;"","Não emitido",IF(Faturamento!$I722="NÃO","Pendente Fatura", IF(Faturamento!$R722&lt;&gt;"","Aprovado",IF(Faturamento!$O722&lt;&gt;0,"Pendente Emissão","Processo de Calculo"))))</f>
        <v>Aprovado</v>
      </c>
      <c r="N120" s="53">
        <v>433.44300000000004</v>
      </c>
      <c r="O120" s="53">
        <v>335.5</v>
      </c>
      <c r="P120" s="52">
        <v>45910</v>
      </c>
      <c r="Q120" s="52">
        <v>45920</v>
      </c>
      <c r="R120" s="53">
        <v>335.5</v>
      </c>
      <c r="S120" s="53"/>
      <c r="T120" s="51" t="s">
        <v>1347</v>
      </c>
      <c r="U120" s="51" t="s">
        <v>1348</v>
      </c>
      <c r="V120" s="37" t="s">
        <v>568</v>
      </c>
      <c r="W120" s="53">
        <v>335.5</v>
      </c>
      <c r="X120" s="123">
        <f>IF(Faturamento!$V746="Pago",IFERROR(W120-R120,0),0)</f>
        <v>0</v>
      </c>
      <c r="Y120" s="52"/>
      <c r="Z120" s="52"/>
      <c r="AA120" s="5"/>
      <c r="AB120" s="5"/>
      <c r="AI120"/>
    </row>
    <row r="121" spans="1:35" hidden="1" x14ac:dyDescent="0.3">
      <c r="A121" s="5" t="str">
        <f>VLOOKUP(B121,base!A:M,11,FALSE)</f>
        <v>TRIFÁSICO</v>
      </c>
      <c r="B121" t="s">
        <v>334</v>
      </c>
      <c r="C121" s="1">
        <v>0</v>
      </c>
      <c r="D121" s="60">
        <v>62955505015946</v>
      </c>
      <c r="E121" s="63" t="s">
        <v>433</v>
      </c>
      <c r="F121" t="s">
        <v>434</v>
      </c>
      <c r="G121" s="4">
        <v>45901</v>
      </c>
      <c r="H121" s="4" t="str">
        <f>Faturamento!$B857&amp;Faturamento!$G857</f>
        <v>10/72605-945689</v>
      </c>
      <c r="I121" t="s">
        <v>435</v>
      </c>
      <c r="J121">
        <v>435</v>
      </c>
      <c r="K121" s="3">
        <v>613.05999999999995</v>
      </c>
      <c r="L121" s="3">
        <v>490.22529180235966</v>
      </c>
      <c r="M121" s="5" t="s">
        <v>1489</v>
      </c>
      <c r="N121" s="3">
        <v>457.35</v>
      </c>
      <c r="O121" s="3">
        <v>334.52</v>
      </c>
      <c r="P121" s="4">
        <v>45933</v>
      </c>
      <c r="Q121" s="4">
        <v>45943</v>
      </c>
      <c r="R121" s="3">
        <f>O121</f>
        <v>334.52</v>
      </c>
      <c r="S121"/>
      <c r="T121" s="51" t="s">
        <v>1593</v>
      </c>
      <c r="U121" s="51" t="s">
        <v>1594</v>
      </c>
      <c r="V121" t="s">
        <v>568</v>
      </c>
      <c r="W121" s="3">
        <f>O121</f>
        <v>334.52</v>
      </c>
      <c r="X121" s="123">
        <f>IF(Faturamento!$V745="Pago",IFERROR(W121-R121,0),0)</f>
        <v>0</v>
      </c>
      <c r="Y121" s="4"/>
      <c r="Z121" s="4"/>
      <c r="AA121" s="5"/>
      <c r="AB121" s="5"/>
      <c r="AI121"/>
    </row>
    <row r="122" spans="1:35" hidden="1" x14ac:dyDescent="0.3">
      <c r="A122" s="5" t="str">
        <f>VLOOKUP(B122,base!A:M,11,FALSE)</f>
        <v>TRIFÁSICO</v>
      </c>
      <c r="B122" t="s">
        <v>177</v>
      </c>
      <c r="C122" s="1" t="s">
        <v>179</v>
      </c>
      <c r="D122" s="60">
        <v>62955505015350</v>
      </c>
      <c r="E122" s="63" t="s">
        <v>433</v>
      </c>
      <c r="F122" t="s">
        <v>434</v>
      </c>
      <c r="G122" s="4">
        <v>45717</v>
      </c>
      <c r="H122" s="4" t="str">
        <f>Faturamento!$B253&amp;Faturamento!$G253</f>
        <v>10/3005226-045839</v>
      </c>
      <c r="I122" t="s">
        <v>435</v>
      </c>
      <c r="J122">
        <v>426</v>
      </c>
      <c r="K122" s="3">
        <v>643.49</v>
      </c>
      <c r="L122" s="3">
        <v>532.78749999999991</v>
      </c>
      <c r="M122" s="5" t="s">
        <v>1489</v>
      </c>
      <c r="N122" s="3">
        <v>442.81</v>
      </c>
      <c r="O122" s="3">
        <v>332.11</v>
      </c>
      <c r="P122" s="4"/>
      <c r="Q122" s="4"/>
      <c r="R122" s="3">
        <v>332.11</v>
      </c>
      <c r="S122"/>
      <c r="T122" s="51" t="s">
        <v>794</v>
      </c>
      <c r="U122" s="51"/>
      <c r="V122" t="s">
        <v>568</v>
      </c>
      <c r="W122" s="3">
        <v>332.11</v>
      </c>
      <c r="X122" s="123">
        <f>IF(Faturamento!$V744="Pago",IFERROR(W122-R122,0),0)</f>
        <v>0</v>
      </c>
      <c r="Y122" s="4"/>
      <c r="Z122" s="4"/>
      <c r="AA122" s="5"/>
      <c r="AB122" s="5"/>
      <c r="AI122"/>
    </row>
    <row r="123" spans="1:35" hidden="1" x14ac:dyDescent="0.3">
      <c r="A123" s="5" t="str">
        <f>VLOOKUP(B123,base!A:M,11,FALSE)</f>
        <v>TRIFÁSICO</v>
      </c>
      <c r="B123" t="s">
        <v>177</v>
      </c>
      <c r="C123" s="1" t="s">
        <v>179</v>
      </c>
      <c r="D123" s="60">
        <v>62955505015350</v>
      </c>
      <c r="E123" s="63" t="s">
        <v>433</v>
      </c>
      <c r="F123" t="s">
        <v>434</v>
      </c>
      <c r="G123" s="4">
        <v>45689</v>
      </c>
      <c r="H123" s="4" t="str">
        <f>Faturamento!$B149&amp;Faturamento!$G149</f>
        <v>10/1266128-645931</v>
      </c>
      <c r="I123" t="s">
        <v>435</v>
      </c>
      <c r="J123" s="37">
        <v>418</v>
      </c>
      <c r="K123" s="53">
        <v>645.12</v>
      </c>
      <c r="L123" s="53">
        <v>534.58750000000009</v>
      </c>
      <c r="M123" s="5" t="str">
        <f>IF(Faturamento!$S149&lt;&gt;"","Não emitido",IF(Faturamento!$I149="NÃO","Pendente Fatura", IF(Faturamento!$R149&lt;&gt;"","Aprovado",IF(Faturamento!$O149&lt;&gt;0,"Pendente Emissão","Processo de Calculo"))))</f>
        <v>Aprovado</v>
      </c>
      <c r="N123" s="3">
        <v>442.13000000000005</v>
      </c>
      <c r="O123" s="3">
        <v>331.6</v>
      </c>
      <c r="P123" s="4"/>
      <c r="Q123" s="4"/>
      <c r="R123" s="3">
        <v>331.6</v>
      </c>
      <c r="S123"/>
      <c r="T123" s="51" t="s">
        <v>710</v>
      </c>
      <c r="U123" s="51"/>
      <c r="V123" t="s">
        <v>568</v>
      </c>
      <c r="W123" s="3">
        <v>331.6</v>
      </c>
      <c r="X123" s="123">
        <f>IF(Faturamento!$V743="Pago",IFERROR(W123-R123,0),0)</f>
        <v>0</v>
      </c>
      <c r="Y123" s="4"/>
      <c r="Z123" s="4"/>
      <c r="AA123" s="5"/>
      <c r="AB123" s="5"/>
      <c r="AI123"/>
    </row>
    <row r="124" spans="1:35" hidden="1" x14ac:dyDescent="0.3">
      <c r="A124" s="5" t="str">
        <f>VLOOKUP(B124,base!A:M,11,FALSE)</f>
        <v>TRIFÁSICO</v>
      </c>
      <c r="B124" t="s">
        <v>148</v>
      </c>
      <c r="C124" s="1">
        <v>67996150274</v>
      </c>
      <c r="D124" s="60">
        <v>62955505331198</v>
      </c>
      <c r="E124" s="63" t="s">
        <v>433</v>
      </c>
      <c r="F124" t="s">
        <v>434</v>
      </c>
      <c r="G124" s="4">
        <v>45778</v>
      </c>
      <c r="H124" s="4" t="str">
        <f>Faturamento!$B503&amp;Faturamento!$G503</f>
        <v>10/532081-745809</v>
      </c>
      <c r="I124" t="s">
        <v>435</v>
      </c>
      <c r="J124">
        <v>450</v>
      </c>
      <c r="K124" s="3">
        <v>776.59124999999995</v>
      </c>
      <c r="L124" s="3">
        <v>667.44343750000007</v>
      </c>
      <c r="M124" s="5" t="str">
        <f>IF(Faturamento!$S503&lt;&gt;"","Não emitido",IF(Faturamento!$I503="NÃO","Pendente Fatura", IF(Faturamento!$R503&lt;&gt;"","Aprovado",IF(Faturamento!$O503&lt;&gt;0,"Pendente Emissão","Processo de Calculo"))))</f>
        <v>Aprovado</v>
      </c>
      <c r="N124" s="3">
        <v>436.59124999999995</v>
      </c>
      <c r="O124" s="3">
        <v>327.44</v>
      </c>
      <c r="P124" s="4"/>
      <c r="Q124" s="4"/>
      <c r="R124" s="3">
        <v>327.44</v>
      </c>
      <c r="S124"/>
      <c r="T124" s="51" t="s">
        <v>990</v>
      </c>
      <c r="U124" s="51"/>
      <c r="V124" t="s">
        <v>568</v>
      </c>
      <c r="W124" s="3">
        <v>327.44</v>
      </c>
      <c r="X124" s="123">
        <f>IF(Faturamento!$V742="Pago",IFERROR(W124-R124,0),0)</f>
        <v>0</v>
      </c>
      <c r="Y124" s="4"/>
      <c r="Z124" s="4"/>
      <c r="AA124" s="5"/>
      <c r="AB124" s="5"/>
      <c r="AI124"/>
    </row>
    <row r="125" spans="1:35" hidden="1" x14ac:dyDescent="0.3">
      <c r="A125" s="5" t="str">
        <f>VLOOKUP(B125,base!A:M,11,FALSE)</f>
        <v>TRIFÁSICO</v>
      </c>
      <c r="B125" s="37" t="s">
        <v>315</v>
      </c>
      <c r="C125" s="56">
        <v>67996446178</v>
      </c>
      <c r="D125" s="59">
        <v>62955505359360</v>
      </c>
      <c r="E125" s="37" t="s">
        <v>433</v>
      </c>
      <c r="F125" s="37" t="s">
        <v>434</v>
      </c>
      <c r="G125" s="52">
        <v>45717</v>
      </c>
      <c r="H125" s="52" t="str">
        <f>Faturamento!$B250&amp;Faturamento!$G250</f>
        <v>10/452884-045717</v>
      </c>
      <c r="I125" s="37" t="s">
        <v>435</v>
      </c>
      <c r="J125">
        <v>388</v>
      </c>
      <c r="K125" s="3">
        <v>633.53</v>
      </c>
      <c r="L125" s="3">
        <v>525.25250000000005</v>
      </c>
      <c r="M125" s="5" t="str">
        <f>IF(Faturamento!$S250&lt;&gt;"","Não emitido",IF(Faturamento!$I250="NÃO","Pendente Fatura", IF(Faturamento!$R250&lt;&gt;"","Aprovado",IF(Faturamento!$O250&lt;&gt;0,"Pendente Emissão","Processo de Calculo"))))</f>
        <v>Aprovado</v>
      </c>
      <c r="N125" s="53">
        <v>433.11000000000007</v>
      </c>
      <c r="O125" s="53">
        <v>324.83</v>
      </c>
      <c r="P125" s="52"/>
      <c r="Q125" s="52"/>
      <c r="R125" s="53">
        <v>324.83</v>
      </c>
      <c r="S125" s="37"/>
      <c r="T125" s="51" t="s">
        <v>791</v>
      </c>
      <c r="U125" s="51"/>
      <c r="V125" s="37" t="s">
        <v>568</v>
      </c>
      <c r="W125" s="53">
        <v>324.83</v>
      </c>
      <c r="X125" s="123">
        <f>IF(Faturamento!$V741="Pago",IFERROR(W125-R125,0),0)</f>
        <v>0</v>
      </c>
      <c r="Y125" s="52">
        <v>45835</v>
      </c>
      <c r="Z125" s="52"/>
      <c r="AA125" s="5"/>
      <c r="AB125" s="5"/>
      <c r="AI125">
        <f>VLOOKUP(B125,'[1]Conciliação - 032025'!$A:$L,12,FALSE)</f>
        <v>0</v>
      </c>
    </row>
    <row r="126" spans="1:35" hidden="1" x14ac:dyDescent="0.3">
      <c r="A126" s="5" t="str">
        <f>VLOOKUP(B126,base!A:M,11,FALSE)</f>
        <v>TRIFÁSICO</v>
      </c>
      <c r="B126" s="37" t="s">
        <v>148</v>
      </c>
      <c r="C126" s="56">
        <v>67996150274</v>
      </c>
      <c r="D126" s="59">
        <v>62955505331198</v>
      </c>
      <c r="E126" s="37" t="s">
        <v>433</v>
      </c>
      <c r="F126" s="37" t="s">
        <v>434</v>
      </c>
      <c r="G126" s="52">
        <v>45748</v>
      </c>
      <c r="H126" s="52" t="str">
        <f>Faturamento!$B406&amp;Faturamento!$G406</f>
        <v>10/1939035-045839</v>
      </c>
      <c r="I126" s="37" t="s">
        <v>435</v>
      </c>
      <c r="J126" s="37">
        <v>444</v>
      </c>
      <c r="K126" s="53">
        <v>625.66</v>
      </c>
      <c r="L126" s="53">
        <v>517.54</v>
      </c>
      <c r="M126" s="5" t="str">
        <f>IF(Faturamento!$S406&lt;&gt;"","Não emitido",IF(Faturamento!$I406="NÃO","Pendente Fatura", IF(Faturamento!$R406&lt;&gt;"","Aprovado",IF(Faturamento!$O406&lt;&gt;0,"Pendente Emissão","Processo de Calculo"))))</f>
        <v>Aprovado</v>
      </c>
      <c r="N126" s="53">
        <v>432.48</v>
      </c>
      <c r="O126" s="53">
        <v>324.36</v>
      </c>
      <c r="P126" s="52"/>
      <c r="Q126" s="52"/>
      <c r="R126" s="53">
        <v>324.36</v>
      </c>
      <c r="S126" s="37"/>
      <c r="T126" s="51" t="s">
        <v>903</v>
      </c>
      <c r="U126" s="51"/>
      <c r="V126" s="37" t="s">
        <v>568</v>
      </c>
      <c r="W126" s="53">
        <v>324.36</v>
      </c>
      <c r="X126" s="123">
        <f>IF(Faturamento!$V740="Pago",IFERROR(W126-R126,0),0)</f>
        <v>0</v>
      </c>
      <c r="Y126" s="52"/>
      <c r="Z126" s="52"/>
      <c r="AA126" s="5"/>
      <c r="AB126" s="5"/>
      <c r="AI126"/>
    </row>
    <row r="127" spans="1:35" hidden="1" x14ac:dyDescent="0.3">
      <c r="A127" s="5" t="str">
        <f>VLOOKUP(B127,base!A:M,11,FALSE)</f>
        <v>TRIFÁSICO</v>
      </c>
      <c r="B127" t="s">
        <v>181</v>
      </c>
      <c r="C127" s="1">
        <v>67996150274</v>
      </c>
      <c r="D127" s="60">
        <v>62955505197360</v>
      </c>
      <c r="E127" s="63" t="s">
        <v>433</v>
      </c>
      <c r="F127" t="s">
        <v>434</v>
      </c>
      <c r="G127" s="4">
        <v>45717</v>
      </c>
      <c r="H127" s="4" t="str">
        <f>Faturamento!$B267&amp;Faturamento!$G267</f>
        <v>10/156956-545931</v>
      </c>
      <c r="I127" t="s">
        <v>435</v>
      </c>
      <c r="J127">
        <v>413</v>
      </c>
      <c r="K127" s="3">
        <v>630.51</v>
      </c>
      <c r="L127" s="3">
        <v>523.15499999999997</v>
      </c>
      <c r="M127" s="5" t="str">
        <f>IF(Faturamento!$S267&lt;&gt;"","Não emitido",IF(Faturamento!$I267="NÃO","Pendente Fatura", IF(Faturamento!$R267&lt;&gt;"","Aprovado",IF(Faturamento!$O267&lt;&gt;0,"Pendente Emissão","Processo de Calculo"))))</f>
        <v>Aprovado</v>
      </c>
      <c r="N127" s="3">
        <v>429.42</v>
      </c>
      <c r="O127" s="3">
        <v>322.07</v>
      </c>
      <c r="P127" s="4"/>
      <c r="Q127" s="4"/>
      <c r="R127" s="3">
        <v>322.07</v>
      </c>
      <c r="S127"/>
      <c r="T127" s="51" t="s">
        <v>807</v>
      </c>
      <c r="U127" s="51"/>
      <c r="V127" t="s">
        <v>369</v>
      </c>
      <c r="W127" s="3"/>
      <c r="X127" s="123">
        <f>IF(Faturamento!$V831="Pago",IFERROR(W127-R127,0),0)</f>
        <v>0</v>
      </c>
      <c r="Y127" s="4"/>
      <c r="Z127" s="196" t="s">
        <v>1795</v>
      </c>
      <c r="AA127" s="5"/>
      <c r="AB127" s="5"/>
      <c r="AI127">
        <f>VLOOKUP(B127,'[1]Conciliação - 032025'!$A:$L,12,FALSE)</f>
        <v>0</v>
      </c>
    </row>
    <row r="128" spans="1:35" hidden="1" x14ac:dyDescent="0.3">
      <c r="A128" s="5" t="str">
        <f>VLOOKUP(B128,base!A:M,11,FALSE)</f>
        <v>TRIFÁSICO</v>
      </c>
      <c r="B128" t="s">
        <v>194</v>
      </c>
      <c r="C128" s="1">
        <v>67996266684</v>
      </c>
      <c r="D128" s="60">
        <v>62955505016080</v>
      </c>
      <c r="E128" s="63" t="s">
        <v>433</v>
      </c>
      <c r="F128" t="s">
        <v>434</v>
      </c>
      <c r="G128" s="4">
        <v>45839</v>
      </c>
      <c r="H128" s="4" t="str">
        <f>Faturamento!$B621&amp;Faturamento!$G621</f>
        <v>10/52987-545870</v>
      </c>
      <c r="I128" t="s">
        <v>435</v>
      </c>
      <c r="J128" s="37">
        <v>358</v>
      </c>
      <c r="K128" s="53">
        <v>535.20539999999994</v>
      </c>
      <c r="L128" s="53">
        <v>439.68200123999992</v>
      </c>
      <c r="M128" s="5" t="str">
        <f>IF(Faturamento!$S621&lt;&gt;"","Não emitido",IF(Faturamento!$I621="NÃO","Pendente Fatura", IF(Faturamento!$R621&lt;&gt;"","Aprovado",IF(Faturamento!$O621&lt;&gt;0,"Pendente Emissão","Processo de Calculo"))))</f>
        <v>Aprovado</v>
      </c>
      <c r="N128" s="3">
        <v>416.40540000000004</v>
      </c>
      <c r="O128" s="3">
        <v>320.88</v>
      </c>
      <c r="P128" s="4">
        <v>45910</v>
      </c>
      <c r="Q128" s="4">
        <v>45920</v>
      </c>
      <c r="R128" s="3">
        <v>320.88</v>
      </c>
      <c r="S128"/>
      <c r="T128" s="51" t="s">
        <v>1157</v>
      </c>
      <c r="U128" s="51" t="s">
        <v>1158</v>
      </c>
      <c r="V128" t="s">
        <v>568</v>
      </c>
      <c r="W128" s="3">
        <v>320.88</v>
      </c>
      <c r="X128" s="123">
        <f>IF(Faturamento!$V738="Pago",IFERROR(W128-R128,0),0)</f>
        <v>0</v>
      </c>
      <c r="Y128" s="4"/>
      <c r="Z128" s="4"/>
      <c r="AA128" s="5"/>
      <c r="AB128" s="5"/>
      <c r="AI128"/>
    </row>
    <row r="129" spans="1:35" hidden="1" x14ac:dyDescent="0.3">
      <c r="A129" s="5" t="str">
        <f>VLOOKUP(B129,base!A:M,11,FALSE)</f>
        <v>TRIFÁSICO</v>
      </c>
      <c r="B129" s="37" t="s">
        <v>186</v>
      </c>
      <c r="C129" s="56">
        <v>0</v>
      </c>
      <c r="D129" s="59">
        <v>62955505016160</v>
      </c>
      <c r="E129" s="37" t="s">
        <v>433</v>
      </c>
      <c r="F129" s="37" t="s">
        <v>434</v>
      </c>
      <c r="G129" s="52">
        <v>45901</v>
      </c>
      <c r="H129" s="52" t="str">
        <f>Faturamento!$B856&amp;Faturamento!$G856</f>
        <v>10/1674177-945689</v>
      </c>
      <c r="I129" s="37" t="s">
        <v>435</v>
      </c>
      <c r="J129">
        <v>417</v>
      </c>
      <c r="K129" s="3">
        <v>616.82968749999986</v>
      </c>
      <c r="L129" s="3">
        <v>499.07121057115091</v>
      </c>
      <c r="M129" s="5" t="s">
        <v>1489</v>
      </c>
      <c r="N129" s="53">
        <v>438.44968749999998</v>
      </c>
      <c r="O129" s="53">
        <v>320.69</v>
      </c>
      <c r="P129" s="52">
        <v>45933</v>
      </c>
      <c r="Q129" s="52">
        <v>45943</v>
      </c>
      <c r="R129" s="53">
        <f>O129</f>
        <v>320.69</v>
      </c>
      <c r="S129" s="37"/>
      <c r="T129" s="51" t="s">
        <v>1591</v>
      </c>
      <c r="U129" s="51" t="s">
        <v>1592</v>
      </c>
      <c r="V129" s="37" t="s">
        <v>568</v>
      </c>
      <c r="W129" s="53">
        <f>R129</f>
        <v>320.69</v>
      </c>
      <c r="X129" s="123">
        <f>IF(Faturamento!$V737="Pago",IFERROR(W129-R129,0),0)</f>
        <v>0</v>
      </c>
      <c r="Y129" s="52"/>
      <c r="Z129" s="52"/>
      <c r="AA129" s="5"/>
      <c r="AB129" s="5"/>
      <c r="AI129"/>
    </row>
    <row r="130" spans="1:35" hidden="1" x14ac:dyDescent="0.3">
      <c r="A130" s="5" t="str">
        <f>VLOOKUP(B130,base!A:M,11,FALSE)</f>
        <v>TRIFÁSICO</v>
      </c>
      <c r="B130" s="37" t="s">
        <v>196</v>
      </c>
      <c r="C130" s="56">
        <v>0</v>
      </c>
      <c r="D130" s="59">
        <v>62955505215791</v>
      </c>
      <c r="E130" s="37" t="s">
        <v>433</v>
      </c>
      <c r="F130" s="37" t="s">
        <v>434</v>
      </c>
      <c r="G130" s="52">
        <v>45870</v>
      </c>
      <c r="H130" s="52" t="str">
        <f>Faturamento!$B716&amp;Faturamento!$G716</f>
        <v>10/908866-745931</v>
      </c>
      <c r="I130" s="37" t="s">
        <v>435</v>
      </c>
      <c r="J130">
        <v>346</v>
      </c>
      <c r="K130" s="3">
        <v>596.78300000000002</v>
      </c>
      <c r="L130" s="3">
        <v>503.73834756643947</v>
      </c>
      <c r="M130" s="5" t="str">
        <f>IF(Faturamento!$S716&lt;&gt;"","Não emitido",IF(Faturamento!$I716="NÃO","Pendente Fatura", IF(Faturamento!$R716&lt;&gt;"","Aprovado",IF(Faturamento!$O716&lt;&gt;0,"Pendente Emissão","Processo de Calculo"))))</f>
        <v>Aprovado</v>
      </c>
      <c r="N130" s="53">
        <v>411.77300000000002</v>
      </c>
      <c r="O130" s="53">
        <v>318.73</v>
      </c>
      <c r="P130" s="52">
        <v>45910</v>
      </c>
      <c r="Q130" s="52">
        <v>45920</v>
      </c>
      <c r="R130" s="53">
        <v>318.73</v>
      </c>
      <c r="S130" s="37"/>
      <c r="T130" s="51" t="s">
        <v>1335</v>
      </c>
      <c r="U130" s="51" t="s">
        <v>1336</v>
      </c>
      <c r="V130" s="37" t="s">
        <v>568</v>
      </c>
      <c r="W130" s="53">
        <v>318.73</v>
      </c>
      <c r="X130" s="123">
        <f>IF(Faturamento!$V736="Pago",IFERROR(W130-R130,0),0)</f>
        <v>0</v>
      </c>
      <c r="Y130" s="52"/>
      <c r="Z130" s="52"/>
      <c r="AA130" s="5"/>
      <c r="AB130" s="5"/>
      <c r="AI130"/>
    </row>
    <row r="131" spans="1:35" hidden="1" x14ac:dyDescent="0.3">
      <c r="A131" s="5" t="str">
        <f>VLOOKUP(B131,base!A:M,11,FALSE)</f>
        <v>TRIFÁSICO</v>
      </c>
      <c r="B131" t="s">
        <v>184</v>
      </c>
      <c r="C131" s="1">
        <v>67992637973</v>
      </c>
      <c r="D131" s="60">
        <v>62955505017213</v>
      </c>
      <c r="E131" s="63" t="s">
        <v>433</v>
      </c>
      <c r="F131" t="s">
        <v>434</v>
      </c>
      <c r="G131" s="4">
        <v>45717</v>
      </c>
      <c r="H131" s="4" t="str">
        <f>Faturamento!$B241&amp;Faturamento!$G241</f>
        <v>10/504844-245931</v>
      </c>
      <c r="I131" t="s">
        <v>435</v>
      </c>
      <c r="J131">
        <v>376</v>
      </c>
      <c r="K131" s="3">
        <v>586.5</v>
      </c>
      <c r="L131" s="3">
        <v>481.57249999999999</v>
      </c>
      <c r="M131" s="5" t="str">
        <f>IF(Faturamento!$S241&lt;&gt;"","Não emitido",IF(Faturamento!$I241="NÃO","Pendente Fatura", IF(Faturamento!$R241&lt;&gt;"","Aprovado",IF(Faturamento!$O241&lt;&gt;0,"Pendente Emissão","Processo de Calculo"))))</f>
        <v>Aprovado</v>
      </c>
      <c r="N131" s="3">
        <v>419.71</v>
      </c>
      <c r="O131" s="3">
        <v>314.77999999999997</v>
      </c>
      <c r="P131" s="4"/>
      <c r="Q131" s="4"/>
      <c r="R131" s="3">
        <v>314.77999999999997</v>
      </c>
      <c r="S131"/>
      <c r="T131" s="51" t="s">
        <v>782</v>
      </c>
      <c r="U131" s="51"/>
      <c r="V131" t="s">
        <v>568</v>
      </c>
      <c r="W131" s="3">
        <v>314.77999999999997</v>
      </c>
      <c r="X131" s="123">
        <f>IF(Faturamento!$V734="Pago",IFERROR(W131-R131,0),0)</f>
        <v>0</v>
      </c>
      <c r="Y131" s="4"/>
      <c r="Z131" s="4"/>
      <c r="AA131" s="5"/>
      <c r="AB131" s="5"/>
      <c r="AI131"/>
    </row>
    <row r="132" spans="1:35" hidden="1" x14ac:dyDescent="0.3">
      <c r="A132" s="5" t="str">
        <f>VLOOKUP(B132,base!A:M,11,FALSE)</f>
        <v>TRIFÁSICO</v>
      </c>
      <c r="B132" t="s">
        <v>218</v>
      </c>
      <c r="C132" s="1">
        <v>67991120875</v>
      </c>
      <c r="D132" s="60">
        <v>62955505379395</v>
      </c>
      <c r="E132" s="63" t="s">
        <v>433</v>
      </c>
      <c r="F132" t="s">
        <v>434</v>
      </c>
      <c r="G132" s="4">
        <v>45809</v>
      </c>
      <c r="H132" s="4" t="str">
        <f>Faturamento!$B557&amp;Faturamento!$G557</f>
        <v>10/69319-245809</v>
      </c>
      <c r="I132" t="s">
        <v>435</v>
      </c>
      <c r="J132" s="37">
        <v>362</v>
      </c>
      <c r="K132" s="53">
        <v>540.12559999999985</v>
      </c>
      <c r="L132" s="53">
        <v>440.90691399932814</v>
      </c>
      <c r="M132" s="5" t="str">
        <f>IF(Faturamento!$S557&lt;&gt;"","Não emitido",IF(Faturamento!$I557="NÃO","Pendente Fatura", IF(Faturamento!$R557&lt;&gt;"","Aprovado",IF(Faturamento!$O557&lt;&gt;0,"Pendente Emissão","Processo de Calculo"))))</f>
        <v>Aprovado</v>
      </c>
      <c r="N132" s="3">
        <v>418.19559999999996</v>
      </c>
      <c r="O132" s="3">
        <v>313.64999999999998</v>
      </c>
      <c r="P132" s="4">
        <v>45860</v>
      </c>
      <c r="Q132" s="4">
        <v>45871</v>
      </c>
      <c r="R132" s="3">
        <v>313.64999999999998</v>
      </c>
      <c r="S132"/>
      <c r="T132" s="51" t="s">
        <v>1073</v>
      </c>
      <c r="U132" s="51" t="s">
        <v>1074</v>
      </c>
      <c r="V132" t="s">
        <v>568</v>
      </c>
      <c r="W132" s="3">
        <v>313.64999999999998</v>
      </c>
      <c r="X132" s="123">
        <f>IF(Faturamento!$V733="Pago",IFERROR(W132-R132,0),0)</f>
        <v>0</v>
      </c>
      <c r="Y132" s="4" t="s">
        <v>1015</v>
      </c>
      <c r="Z132" s="4"/>
      <c r="AA132" s="5"/>
      <c r="AB132" s="5"/>
      <c r="AI132"/>
    </row>
    <row r="133" spans="1:35" hidden="1" x14ac:dyDescent="0.3">
      <c r="A133" s="5" t="str">
        <f>VLOOKUP(B133,base!A:M,11,FALSE)</f>
        <v>TRIFÁSICO</v>
      </c>
      <c r="B133" t="s">
        <v>181</v>
      </c>
      <c r="C133" s="1">
        <v>67996150274</v>
      </c>
      <c r="D133" s="60">
        <v>62955505197360</v>
      </c>
      <c r="E133" s="63" t="s">
        <v>433</v>
      </c>
      <c r="F133" t="s">
        <v>434</v>
      </c>
      <c r="G133" s="4">
        <v>45689</v>
      </c>
      <c r="H133" s="4" t="str">
        <f>Faturamento!$B151&amp;Faturamento!$G151</f>
        <v>10/435964-245658</v>
      </c>
      <c r="I133" t="s">
        <v>435</v>
      </c>
      <c r="J133" s="37">
        <v>382</v>
      </c>
      <c r="K133" s="53">
        <v>624.93000000000006</v>
      </c>
      <c r="L133" s="53">
        <v>520.53500000000008</v>
      </c>
      <c r="M133" s="5" t="str">
        <f>IF(Faturamento!$S151&lt;&gt;"","Não emitido",IF(Faturamento!$I151="NÃO","Pendente Fatura", IF(Faturamento!$R151&lt;&gt;"","Aprovado",IF(Faturamento!$O151&lt;&gt;0,"Pendente Emissão","Processo de Calculo"))))</f>
        <v>Aprovado</v>
      </c>
      <c r="N133" s="3">
        <v>417.57999999999993</v>
      </c>
      <c r="O133" s="3">
        <v>313.19</v>
      </c>
      <c r="P133" s="4"/>
      <c r="Q133" s="4"/>
      <c r="R133" s="3">
        <v>313.19</v>
      </c>
      <c r="S133"/>
      <c r="T133" s="51" t="s">
        <v>712</v>
      </c>
      <c r="U133" s="51"/>
      <c r="V133" t="s">
        <v>568</v>
      </c>
      <c r="W133" s="3">
        <v>313.19</v>
      </c>
      <c r="X133" s="123">
        <f>IF(Faturamento!$V732="Pago",IFERROR(W133-R133,0),0)</f>
        <v>0</v>
      </c>
      <c r="Y133" s="4"/>
      <c r="Z133" s="4"/>
      <c r="AA133" s="5"/>
      <c r="AB133" s="5"/>
      <c r="AI133"/>
    </row>
    <row r="134" spans="1:35" hidden="1" x14ac:dyDescent="0.3">
      <c r="A134" s="5" t="str">
        <f>VLOOKUP(B134,base!A:M,11,FALSE)</f>
        <v>TRIFÁSICO</v>
      </c>
      <c r="B134" t="s">
        <v>118</v>
      </c>
      <c r="C134" s="56">
        <v>67996135721</v>
      </c>
      <c r="D134">
        <v>62955505182257</v>
      </c>
      <c r="E134" s="37" t="s">
        <v>433</v>
      </c>
      <c r="F134" t="s">
        <v>108</v>
      </c>
      <c r="G134" s="4">
        <v>45931</v>
      </c>
      <c r="H134" s="52" t="str">
        <f>Faturamento!$B948&amp;Faturamento!$G948</f>
        <v>10/280638-845809</v>
      </c>
      <c r="I134" s="37" t="s">
        <v>435</v>
      </c>
      <c r="J134">
        <v>398</v>
      </c>
      <c r="K134" s="3">
        <v>612.63416666666672</v>
      </c>
      <c r="L134" s="3">
        <v>491.76962132637732</v>
      </c>
      <c r="M134" s="5" t="s">
        <v>1489</v>
      </c>
      <c r="N134" s="53">
        <v>432.15416666666658</v>
      </c>
      <c r="O134" s="53">
        <v>311.29000000000002</v>
      </c>
      <c r="P134" s="52">
        <v>45967</v>
      </c>
      <c r="Q134" s="52">
        <v>45974</v>
      </c>
      <c r="R134" s="53">
        <v>311.29000000000002</v>
      </c>
      <c r="S134" s="37"/>
      <c r="T134" s="3" t="str">
        <f>D134&amp;R134</f>
        <v>62955505182257311,29</v>
      </c>
      <c r="U134" s="3" t="s">
        <v>1760</v>
      </c>
      <c r="V134" s="37" t="s">
        <v>568</v>
      </c>
      <c r="W134" s="13">
        <f>R134</f>
        <v>311.29000000000002</v>
      </c>
      <c r="X134" s="124">
        <f>IF(Faturamento!$V950="Pago",IFERROR(W134-R134,0),0)</f>
        <v>0</v>
      </c>
    </row>
    <row r="135" spans="1:35" hidden="1" x14ac:dyDescent="0.3">
      <c r="A135" s="5" t="str">
        <f>VLOOKUP(B135,base!A:M,11,FALSE)</f>
        <v>TRIFÁSICO</v>
      </c>
      <c r="B135" t="s">
        <v>200</v>
      </c>
      <c r="C135" s="1">
        <v>67992637973</v>
      </c>
      <c r="D135" s="60">
        <v>62955505016403</v>
      </c>
      <c r="E135" s="63" t="s">
        <v>433</v>
      </c>
      <c r="F135" t="s">
        <v>434</v>
      </c>
      <c r="G135" s="4">
        <v>45658</v>
      </c>
      <c r="H135" s="4" t="str">
        <f>Faturamento!$B61&amp;Faturamento!$G61</f>
        <v>10/29964-445717</v>
      </c>
      <c r="I135" t="s">
        <v>435</v>
      </c>
      <c r="J135">
        <v>369</v>
      </c>
      <c r="K135" s="3">
        <v>1175.72</v>
      </c>
      <c r="L135" s="3">
        <v>1072.7449999999999</v>
      </c>
      <c r="M135" s="5" t="str">
        <f>IF(Faturamento!$S61&lt;&gt;"","Não emitido",IF(Faturamento!$I61="NÃO","Pendente Fatura", IF(Faturamento!$R61&lt;&gt;"","Aprovado",IF(Faturamento!$O61&lt;&gt;0,"Pendente Emissão","Processo de Calculo"))))</f>
        <v>Aprovado</v>
      </c>
      <c r="N135" s="3">
        <v>411.9</v>
      </c>
      <c r="O135" s="3">
        <v>308.93</v>
      </c>
      <c r="P135" s="4"/>
      <c r="Q135" s="4"/>
      <c r="R135" s="3">
        <v>308.93</v>
      </c>
      <c r="S135"/>
      <c r="T135" s="51" t="s">
        <v>612</v>
      </c>
      <c r="U135" s="51"/>
      <c r="V135" t="s">
        <v>568</v>
      </c>
      <c r="W135" s="3">
        <v>308.93</v>
      </c>
      <c r="X135" s="123">
        <f>IF(Faturamento!$V730="Pago",IFERROR(W135-R135,0),0)</f>
        <v>0</v>
      </c>
      <c r="Y135" s="4"/>
      <c r="Z135" s="4"/>
      <c r="AA135" s="5">
        <v>283032</v>
      </c>
      <c r="AB135" s="5">
        <v>502</v>
      </c>
      <c r="AC135" s="5" t="s">
        <v>434</v>
      </c>
      <c r="AD135" s="5" t="s">
        <v>524</v>
      </c>
      <c r="AE135" s="5">
        <v>118.54</v>
      </c>
      <c r="AG135" s="5" t="s">
        <v>613</v>
      </c>
      <c r="AH135" s="5" t="s">
        <v>503</v>
      </c>
      <c r="AI135"/>
    </row>
    <row r="136" spans="1:35" hidden="1" x14ac:dyDescent="0.3">
      <c r="A136" s="5" t="str">
        <f>VLOOKUP(B136,base!A:M,11,FALSE)</f>
        <v>BIFÁSICO</v>
      </c>
      <c r="B136" t="s">
        <v>198</v>
      </c>
      <c r="C136" s="1" t="s">
        <v>166</v>
      </c>
      <c r="D136" s="60">
        <v>62955505419443</v>
      </c>
      <c r="E136" s="63" t="s">
        <v>433</v>
      </c>
      <c r="F136" t="s">
        <v>434</v>
      </c>
      <c r="G136" s="4">
        <v>45689</v>
      </c>
      <c r="H136" s="4" t="str">
        <f>Faturamento!$B157&amp;Faturamento!$G157</f>
        <v>10/61344-845778</v>
      </c>
      <c r="I136" t="s">
        <v>435</v>
      </c>
      <c r="J136" s="37">
        <v>373</v>
      </c>
      <c r="K136" s="53">
        <v>509.60999999999996</v>
      </c>
      <c r="L136" s="53">
        <v>406.87249999999995</v>
      </c>
      <c r="M136" s="5" t="str">
        <f>IF(Faturamento!$S157&lt;&gt;"","Não emitido",IF(Faturamento!$I157="NÃO","Pendente Fatura", IF(Faturamento!$R157&lt;&gt;"","Aprovado",IF(Faturamento!$O157&lt;&gt;0,"Pendente Emissão","Processo de Calculo"))))</f>
        <v>Aprovado</v>
      </c>
      <c r="N136" s="3">
        <v>410.95000000000005</v>
      </c>
      <c r="O136" s="3">
        <v>308.20999999999998</v>
      </c>
      <c r="P136" s="4"/>
      <c r="Q136" s="4"/>
      <c r="R136" s="3">
        <v>308.20999999999998</v>
      </c>
      <c r="S136"/>
      <c r="T136" s="51" t="s">
        <v>718</v>
      </c>
      <c r="U136" s="51"/>
      <c r="V136" t="s">
        <v>568</v>
      </c>
      <c r="W136" s="3">
        <v>308.20999999999998</v>
      </c>
      <c r="X136" s="123">
        <f>IF(Faturamento!$V729="Pago",IFERROR(W136-R136,0),0)</f>
        <v>0</v>
      </c>
      <c r="Y136" s="4"/>
      <c r="Z136" s="4"/>
      <c r="AA136" s="5"/>
      <c r="AB136" s="5"/>
      <c r="AI136"/>
    </row>
    <row r="137" spans="1:35" hidden="1" x14ac:dyDescent="0.3">
      <c r="A137" s="5" t="str">
        <f>VLOOKUP(B137,base!A:M,11,FALSE)</f>
        <v>TRIFÁSICO</v>
      </c>
      <c r="B137" s="37" t="s">
        <v>189</v>
      </c>
      <c r="C137" s="56">
        <v>0</v>
      </c>
      <c r="D137" s="59">
        <v>62955505461210</v>
      </c>
      <c r="E137" s="37" t="s">
        <v>433</v>
      </c>
      <c r="F137" s="37" t="s">
        <v>434</v>
      </c>
      <c r="G137" s="52">
        <v>45901</v>
      </c>
      <c r="H137" s="52" t="str">
        <f>Faturamento!$B808&amp;Faturamento!$G808</f>
        <v>10/3030784-745627</v>
      </c>
      <c r="I137" s="37" t="s">
        <v>435</v>
      </c>
      <c r="J137">
        <v>348</v>
      </c>
      <c r="K137" s="3">
        <v>798.1615384615385</v>
      </c>
      <c r="L137" s="3">
        <v>685.24504781558664</v>
      </c>
      <c r="M137" s="5" t="s">
        <v>1489</v>
      </c>
      <c r="N137" s="53">
        <v>420.42153846153849</v>
      </c>
      <c r="O137" s="53">
        <v>307.51</v>
      </c>
      <c r="P137" s="52">
        <v>45933</v>
      </c>
      <c r="Q137" s="52">
        <v>45943</v>
      </c>
      <c r="R137" s="53">
        <f>O137</f>
        <v>307.51</v>
      </c>
      <c r="S137" s="37"/>
      <c r="T137" s="51" t="s">
        <v>1500</v>
      </c>
      <c r="U137" s="51" t="s">
        <v>1501</v>
      </c>
      <c r="V137" s="37" t="s">
        <v>568</v>
      </c>
      <c r="W137" s="53">
        <f>O137</f>
        <v>307.51</v>
      </c>
      <c r="X137" s="123">
        <f>IF(Faturamento!$V728="Pago",IFERROR(W137-R137,0),0)</f>
        <v>0</v>
      </c>
      <c r="Y137" s="52"/>
      <c r="Z137" s="52"/>
      <c r="AA137" s="5"/>
      <c r="AB137" s="5"/>
      <c r="AI137"/>
    </row>
    <row r="138" spans="1:35" hidden="1" x14ac:dyDescent="0.3">
      <c r="A138" s="5" t="str">
        <f>VLOOKUP(B138,base!A:M,11,FALSE)</f>
        <v>TRIFÁSICO</v>
      </c>
      <c r="B138" t="s">
        <v>266</v>
      </c>
      <c r="C138" s="1">
        <v>67991060202</v>
      </c>
      <c r="D138" s="60">
        <v>62955505213233</v>
      </c>
      <c r="E138" s="63" t="s">
        <v>433</v>
      </c>
      <c r="F138" t="s">
        <v>434</v>
      </c>
      <c r="G138" s="4">
        <v>45658</v>
      </c>
      <c r="H138" s="4" t="str">
        <f>Faturamento!$B115&amp;Faturamento!$G115</f>
        <v>10/3092868-345778</v>
      </c>
      <c r="I138" t="s">
        <v>435</v>
      </c>
      <c r="J138">
        <v>409</v>
      </c>
      <c r="K138" s="3">
        <v>638.5</v>
      </c>
      <c r="L138" s="3">
        <v>536.08500000000004</v>
      </c>
      <c r="M138" s="5" t="str">
        <f>IF(Faturamento!$S115&lt;&gt;"","Não emitido",IF(Faturamento!$I115="NÃO","Pendente Fatura", IF(Faturamento!$R115&lt;&gt;"","Aprovado",IF(Faturamento!$O115&lt;&gt;0,"Pendente Emissão","Processo de Calculo"))))</f>
        <v>Aprovado</v>
      </c>
      <c r="N138" s="3">
        <v>409.66</v>
      </c>
      <c r="O138" s="3">
        <v>307.25</v>
      </c>
      <c r="P138" s="4"/>
      <c r="Q138" s="4"/>
      <c r="R138" s="3">
        <v>307.25</v>
      </c>
      <c r="S138"/>
      <c r="T138" s="51" t="s">
        <v>673</v>
      </c>
      <c r="U138" s="51"/>
      <c r="V138" t="s">
        <v>568</v>
      </c>
      <c r="W138" s="3">
        <v>307.25</v>
      </c>
      <c r="X138" s="123">
        <f>IF(Faturamento!$V727="Pago",IFERROR(W138-R138,0),0)</f>
        <v>0</v>
      </c>
      <c r="Y138" s="4"/>
      <c r="Z138" s="4"/>
      <c r="AA138" s="5"/>
      <c r="AB138" s="5"/>
      <c r="AI138"/>
    </row>
    <row r="139" spans="1:35" hidden="1" x14ac:dyDescent="0.3">
      <c r="A139" s="5" t="str">
        <f>VLOOKUP(B139,base!A:M,11,FALSE)</f>
        <v>TRIFÁSICO</v>
      </c>
      <c r="B139" s="37" t="s">
        <v>213</v>
      </c>
      <c r="C139" s="56">
        <v>67992637973</v>
      </c>
      <c r="D139" s="59">
        <v>62955505274020</v>
      </c>
      <c r="E139" s="37" t="s">
        <v>433</v>
      </c>
      <c r="F139" s="37" t="s">
        <v>434</v>
      </c>
      <c r="G139" s="52">
        <v>45658</v>
      </c>
      <c r="H139" s="52" t="str">
        <f>Faturamento!$B104&amp;Faturamento!$G104</f>
        <v>10/8777-545658</v>
      </c>
      <c r="I139" s="37" t="s">
        <v>435</v>
      </c>
      <c r="J139">
        <v>410</v>
      </c>
      <c r="K139" s="3">
        <v>536.88</v>
      </c>
      <c r="L139" s="3">
        <v>434.68999999999994</v>
      </c>
      <c r="M139" s="5" t="str">
        <f>IF(Faturamento!$S104&lt;&gt;"","Não emitido",IF(Faturamento!$I104="NÃO","Pendente Fatura", IF(Faturamento!$R104&lt;&gt;"","Aprovado",IF(Faturamento!$O104&lt;&gt;0,"Pendente Emissão","Processo de Calculo"))))</f>
        <v>Aprovado</v>
      </c>
      <c r="N139" s="53">
        <v>408.75999999999993</v>
      </c>
      <c r="O139" s="53">
        <v>306.57</v>
      </c>
      <c r="P139" s="52"/>
      <c r="Q139" s="52"/>
      <c r="R139" s="53">
        <v>306.57</v>
      </c>
      <c r="S139" s="37"/>
      <c r="T139" s="51" t="s">
        <v>662</v>
      </c>
      <c r="U139" s="51"/>
      <c r="V139" s="37" t="s">
        <v>568</v>
      </c>
      <c r="W139" s="53">
        <v>306.57</v>
      </c>
      <c r="X139" s="123">
        <f>IF(Faturamento!$V726="Pago",IFERROR(W139-R139,0),0)</f>
        <v>0</v>
      </c>
      <c r="Y139" s="52"/>
      <c r="Z139" s="52"/>
      <c r="AA139" s="5"/>
      <c r="AB139" s="5"/>
      <c r="AI139"/>
    </row>
    <row r="140" spans="1:35" hidden="1" x14ac:dyDescent="0.3">
      <c r="A140" s="5" t="str">
        <f>VLOOKUP(B140,base!A:M,11,FALSE)</f>
        <v>TRIFÁSICO</v>
      </c>
      <c r="B140" s="37" t="s">
        <v>171</v>
      </c>
      <c r="C140" s="56">
        <v>67996266684</v>
      </c>
      <c r="D140" s="59">
        <v>62955505312487</v>
      </c>
      <c r="E140" s="37" t="s">
        <v>433</v>
      </c>
      <c r="F140" s="37" t="s">
        <v>434</v>
      </c>
      <c r="G140" s="52">
        <v>45658</v>
      </c>
      <c r="H140" s="52" t="str">
        <f>Faturamento!$B98&amp;Faturamento!$G98</f>
        <v>10/8777-545870</v>
      </c>
      <c r="I140" s="37" t="s">
        <v>435</v>
      </c>
      <c r="J140">
        <v>409</v>
      </c>
      <c r="K140" s="3">
        <v>544.73</v>
      </c>
      <c r="L140" s="3">
        <v>442.61999999999995</v>
      </c>
      <c r="M140" s="5" t="str">
        <f>IF(Faturamento!$S98&lt;&gt;"","Não emitido",IF(Faturamento!$I98="NÃO","Pendente Fatura", IF(Faturamento!$R98&lt;&gt;"","Aprovado",IF(Faturamento!$O98&lt;&gt;0,"Pendente Emissão","Processo de Calculo"))))</f>
        <v>Aprovado</v>
      </c>
      <c r="N140" s="53">
        <v>408.44000000000005</v>
      </c>
      <c r="O140" s="53">
        <v>306.33</v>
      </c>
      <c r="P140" s="52"/>
      <c r="Q140" s="52"/>
      <c r="R140" s="53">
        <v>306.33</v>
      </c>
      <c r="S140" s="37"/>
      <c r="T140" s="51" t="s">
        <v>655</v>
      </c>
      <c r="U140" s="51"/>
      <c r="V140" s="37" t="s">
        <v>568</v>
      </c>
      <c r="W140" s="53">
        <v>306.33</v>
      </c>
      <c r="X140" s="123">
        <f>IF(Faturamento!$V725="Pago",IFERROR(W140-R140,0),0)</f>
        <v>0</v>
      </c>
      <c r="Y140" s="52"/>
      <c r="Z140" s="52"/>
      <c r="AA140" s="5"/>
      <c r="AB140" s="5"/>
      <c r="AI140"/>
    </row>
    <row r="141" spans="1:35" hidden="1" x14ac:dyDescent="0.3">
      <c r="A141" s="5" t="str">
        <f>VLOOKUP(B141,base!A:M,11,FALSE)</f>
        <v>TRIFÁSICO</v>
      </c>
      <c r="B141" s="37" t="s">
        <v>200</v>
      </c>
      <c r="C141" s="56">
        <v>67992637973</v>
      </c>
      <c r="D141" s="59">
        <v>62955505016403</v>
      </c>
      <c r="E141" s="37" t="s">
        <v>433</v>
      </c>
      <c r="F141" s="37" t="s">
        <v>434</v>
      </c>
      <c r="G141" s="52">
        <v>45839</v>
      </c>
      <c r="H141" s="52" t="str">
        <f>Faturamento!$B622&amp;Faturamento!$G622</f>
        <v>10/226667-445931</v>
      </c>
      <c r="I141" s="37" t="s">
        <v>435</v>
      </c>
      <c r="J141" s="37">
        <v>340</v>
      </c>
      <c r="K141" s="53">
        <v>616.63199999999995</v>
      </c>
      <c r="L141" s="53">
        <v>525.9130171999999</v>
      </c>
      <c r="M141" s="5" t="str">
        <f>IF(Faturamento!$S622&lt;&gt;"","Não emitido",IF(Faturamento!$I622="NÃO","Pendente Fatura", IF(Faturamento!$R622&lt;&gt;"","Aprovado",IF(Faturamento!$O622&lt;&gt;0,"Pendente Emissão","Processo de Calculo"))))</f>
        <v>Aprovado</v>
      </c>
      <c r="N141" s="53">
        <v>396.71200000000005</v>
      </c>
      <c r="O141" s="53">
        <v>305.99</v>
      </c>
      <c r="P141" s="52">
        <v>45910</v>
      </c>
      <c r="Q141" s="52">
        <v>45920</v>
      </c>
      <c r="R141" s="53">
        <v>305.99</v>
      </c>
      <c r="S141" s="37"/>
      <c r="T141" s="51" t="s">
        <v>1159</v>
      </c>
      <c r="U141" s="51" t="s">
        <v>1160</v>
      </c>
      <c r="V141" s="37" t="s">
        <v>568</v>
      </c>
      <c r="W141" s="53">
        <v>305.99</v>
      </c>
      <c r="X141" s="123">
        <f>IF(Faturamento!$V724="Pago",IFERROR(W141-R141,0),0)</f>
        <v>0</v>
      </c>
      <c r="Y141" s="52"/>
      <c r="Z141" s="52"/>
      <c r="AA141" s="5"/>
      <c r="AB141" s="5"/>
      <c r="AI141"/>
    </row>
    <row r="142" spans="1:35" hidden="1" x14ac:dyDescent="0.3">
      <c r="A142" s="5" t="str">
        <f>VLOOKUP(B142,base!A:M,11,FALSE)</f>
        <v>BIFÁSICO</v>
      </c>
      <c r="B142" t="s">
        <v>161</v>
      </c>
      <c r="C142" s="1">
        <v>67992899434</v>
      </c>
      <c r="D142" s="60">
        <v>62955505113875</v>
      </c>
      <c r="E142" s="63" t="s">
        <v>433</v>
      </c>
      <c r="F142" t="s">
        <v>434</v>
      </c>
      <c r="G142" s="4">
        <v>45658</v>
      </c>
      <c r="H142" s="4" t="str">
        <f>Faturamento!$B97&amp;Faturamento!$G97</f>
        <v>10/1035655-845658</v>
      </c>
      <c r="I142" t="s">
        <v>435</v>
      </c>
      <c r="J142">
        <v>409</v>
      </c>
      <c r="K142" s="3">
        <v>868.66</v>
      </c>
      <c r="L142" s="3">
        <v>766.71749999999997</v>
      </c>
      <c r="M142" s="5" t="str">
        <f>IF(Faturamento!$S97&lt;&gt;"","Não emitido",IF(Faturamento!$I97="NÃO","Pendente Fatura", IF(Faturamento!$R97&lt;&gt;"","Aprovado",IF(Faturamento!$O97&lt;&gt;0,"Pendente Emissão","Processo de Calculo"))))</f>
        <v>Aprovado</v>
      </c>
      <c r="N142" s="3">
        <v>407.77</v>
      </c>
      <c r="O142" s="3">
        <v>305.83</v>
      </c>
      <c r="P142" s="4"/>
      <c r="Q142" s="4"/>
      <c r="R142" s="3">
        <v>305.83</v>
      </c>
      <c r="S142"/>
      <c r="T142" s="51" t="s">
        <v>654</v>
      </c>
      <c r="U142" s="51"/>
      <c r="V142" t="s">
        <v>568</v>
      </c>
      <c r="W142" s="3">
        <v>305.83</v>
      </c>
      <c r="X142" s="123">
        <f>IF(Faturamento!$V723="Pago",IFERROR(W142-R142,0),0)</f>
        <v>0</v>
      </c>
      <c r="Y142" s="4"/>
      <c r="Z142" s="4"/>
      <c r="AA142" s="5"/>
      <c r="AB142" s="5"/>
      <c r="AI142"/>
    </row>
    <row r="143" spans="1:35" hidden="1" x14ac:dyDescent="0.3">
      <c r="A143" s="5" t="str">
        <f>VLOOKUP(B143,base!A:M,11,FALSE)</f>
        <v>TRIFÁSICO</v>
      </c>
      <c r="B143" s="37" t="s">
        <v>148</v>
      </c>
      <c r="C143" s="56">
        <v>0</v>
      </c>
      <c r="D143" s="59">
        <v>62955505331198</v>
      </c>
      <c r="E143" s="37" t="s">
        <v>433</v>
      </c>
      <c r="F143" s="37" t="s">
        <v>434</v>
      </c>
      <c r="G143" s="52">
        <v>45901</v>
      </c>
      <c r="H143" s="52" t="str">
        <f>Faturamento!$B852&amp;Faturamento!$G852</f>
        <v>10/399338-345689</v>
      </c>
      <c r="I143" s="37" t="s">
        <v>435</v>
      </c>
      <c r="J143">
        <v>397</v>
      </c>
      <c r="K143" s="3">
        <v>608.34657142857145</v>
      </c>
      <c r="L143" s="3">
        <v>496.23446670490239</v>
      </c>
      <c r="M143" s="5" t="s">
        <v>1489</v>
      </c>
      <c r="N143" s="53">
        <v>417.42657142857138</v>
      </c>
      <c r="O143" s="53">
        <v>305.31</v>
      </c>
      <c r="P143" s="52">
        <v>45933</v>
      </c>
      <c r="Q143" s="52">
        <v>45943</v>
      </c>
      <c r="R143" s="53">
        <f>O143</f>
        <v>305.31</v>
      </c>
      <c r="S143" s="37"/>
      <c r="T143" s="51" t="s">
        <v>1583</v>
      </c>
      <c r="U143" s="51" t="s">
        <v>1584</v>
      </c>
      <c r="V143" s="37" t="s">
        <v>568</v>
      </c>
      <c r="W143" s="53">
        <f>R143</f>
        <v>305.31</v>
      </c>
      <c r="X143" s="123">
        <f>IF(Faturamento!$V722="Pago",IFERROR(W143-R143,0),0)</f>
        <v>0</v>
      </c>
      <c r="Y143" s="52"/>
      <c r="Z143" s="52"/>
      <c r="AA143" s="5"/>
      <c r="AB143" s="5"/>
      <c r="AI143"/>
    </row>
    <row r="144" spans="1:35" hidden="1" x14ac:dyDescent="0.3">
      <c r="A144" s="5" t="str">
        <f>VLOOKUP(B144,base!A:M,11,FALSE)</f>
        <v>BIFÁSICO</v>
      </c>
      <c r="B144" t="s">
        <v>318</v>
      </c>
      <c r="C144" s="1">
        <v>67999998719</v>
      </c>
      <c r="D144" s="60">
        <v>62955505015431</v>
      </c>
      <c r="E144" s="63" t="s">
        <v>433</v>
      </c>
      <c r="F144" t="s">
        <v>434</v>
      </c>
      <c r="G144" s="4">
        <v>45658</v>
      </c>
      <c r="H144" s="4" t="str">
        <f>Faturamento!$B127&amp;Faturamento!$G127</f>
        <v>10/162736-345717</v>
      </c>
      <c r="I144" t="s">
        <v>435</v>
      </c>
      <c r="J144">
        <v>409</v>
      </c>
      <c r="K144" s="3">
        <v>1407.45</v>
      </c>
      <c r="L144" s="3">
        <v>1306.1300000000001</v>
      </c>
      <c r="M144" s="5" t="str">
        <f>IF(Faturamento!$S127&lt;&gt;"","Não emitido",IF(Faturamento!$I127="NÃO","Pendente Fatura", IF(Faturamento!$R127&lt;&gt;"","Aprovado",IF(Faturamento!$O127&lt;&gt;0,"Pendente Emissão","Processo de Calculo"))))</f>
        <v>Aprovado</v>
      </c>
      <c r="N144" s="3">
        <v>405.28000000000003</v>
      </c>
      <c r="O144" s="3">
        <v>303.95999999999998</v>
      </c>
      <c r="P144" s="4"/>
      <c r="Q144" s="4"/>
      <c r="R144" s="3">
        <v>303.95999999999998</v>
      </c>
      <c r="S144"/>
      <c r="T144" s="51" t="s">
        <v>685</v>
      </c>
      <c r="U144" s="51"/>
      <c r="V144" t="s">
        <v>568</v>
      </c>
      <c r="W144" s="3">
        <v>303.95999999999998</v>
      </c>
      <c r="X144" s="123">
        <f>IF(Faturamento!$V721="Pago",IFERROR(W144-R144,0),0)</f>
        <v>0</v>
      </c>
      <c r="Y144" s="4"/>
      <c r="Z144" s="4"/>
      <c r="AA144" s="5"/>
      <c r="AB144" s="5"/>
      <c r="AI144"/>
    </row>
    <row r="145" spans="1:35" hidden="1" x14ac:dyDescent="0.3">
      <c r="A145" s="5" t="str">
        <f>VLOOKUP(B145,base!A:M,11,FALSE)</f>
        <v>BIFÁSICO</v>
      </c>
      <c r="B145" s="37" t="s">
        <v>318</v>
      </c>
      <c r="C145" s="56">
        <v>0</v>
      </c>
      <c r="D145" s="59">
        <v>62955505015431</v>
      </c>
      <c r="E145" s="37" t="s">
        <v>433</v>
      </c>
      <c r="F145" s="37" t="s">
        <v>434</v>
      </c>
      <c r="G145" s="52">
        <v>45870</v>
      </c>
      <c r="H145" s="52" t="str">
        <f>Faturamento!$B754&amp;Faturamento!$G754</f>
        <v>10/10232-745839</v>
      </c>
      <c r="I145" s="37" t="s">
        <v>435</v>
      </c>
      <c r="J145">
        <v>416</v>
      </c>
      <c r="K145" s="3">
        <v>542.23</v>
      </c>
      <c r="L145" s="3">
        <v>453.61712130628996</v>
      </c>
      <c r="M145" s="5" t="str">
        <f>IF(Faturamento!$S754&lt;&gt;"","Não emitido",IF(Faturamento!$I754="NÃO","Pendente Fatura", IF(Faturamento!$R754&lt;&gt;"","Aprovado",IF(Faturamento!$O754&lt;&gt;0,"Pendente Emissão","Processo de Calculo"))))</f>
        <v>Aprovado</v>
      </c>
      <c r="N145" s="53">
        <v>392.16</v>
      </c>
      <c r="O145" s="53">
        <v>303.55</v>
      </c>
      <c r="P145" s="52">
        <v>45910</v>
      </c>
      <c r="Q145" s="52">
        <v>45920</v>
      </c>
      <c r="R145" s="53">
        <v>303.55</v>
      </c>
      <c r="S145" s="37"/>
      <c r="T145" s="51" t="s">
        <v>1404</v>
      </c>
      <c r="U145" s="51" t="s">
        <v>1405</v>
      </c>
      <c r="V145" s="37" t="s">
        <v>568</v>
      </c>
      <c r="W145" s="53">
        <v>303.55</v>
      </c>
      <c r="X145" s="123">
        <f>IF(Faturamento!$V720="Pago",IFERROR(W145-R145,0),0)</f>
        <v>0</v>
      </c>
      <c r="Y145" s="52"/>
      <c r="Z145" s="52"/>
      <c r="AA145" s="5"/>
      <c r="AB145" s="5"/>
      <c r="AI145"/>
    </row>
    <row r="146" spans="1:35" hidden="1" x14ac:dyDescent="0.3">
      <c r="A146" s="5" t="str">
        <f>VLOOKUP(B146,base!A:M,11,FALSE)</f>
        <v>TRIFÁSICO</v>
      </c>
      <c r="B146" t="s">
        <v>189</v>
      </c>
      <c r="C146" s="1">
        <v>67991767866</v>
      </c>
      <c r="D146" s="60">
        <v>62955505461210</v>
      </c>
      <c r="E146" s="63" t="s">
        <v>433</v>
      </c>
      <c r="F146" t="s">
        <v>434</v>
      </c>
      <c r="G146" s="4">
        <v>45689</v>
      </c>
      <c r="H146" s="4" t="str">
        <f>Faturamento!$B153&amp;Faturamento!$G153</f>
        <v>10/2794432-145931</v>
      </c>
      <c r="I146" t="s">
        <v>435</v>
      </c>
      <c r="J146" s="37">
        <v>375</v>
      </c>
      <c r="K146" s="53">
        <v>1174.8999999999999</v>
      </c>
      <c r="L146" s="53">
        <v>1073.7349999999999</v>
      </c>
      <c r="M146" s="5" t="str">
        <f>IF(Faturamento!$S153&lt;&gt;"","Não emitido",IF(Faturamento!$I153="NÃO","Pendente Fatura", IF(Faturamento!$R153&lt;&gt;"","Aprovado",IF(Faturamento!$O153&lt;&gt;0,"Pendente Emissão","Processo de Calculo"))))</f>
        <v>Aprovado</v>
      </c>
      <c r="N146" s="3">
        <v>404.65999999999997</v>
      </c>
      <c r="O146" s="3">
        <v>303.5</v>
      </c>
      <c r="P146" s="4"/>
      <c r="Q146" s="4"/>
      <c r="R146" s="3">
        <v>303.5</v>
      </c>
      <c r="S146"/>
      <c r="T146" s="51" t="s">
        <v>714</v>
      </c>
      <c r="U146" s="51"/>
      <c r="V146" t="s">
        <v>568</v>
      </c>
      <c r="W146" s="3">
        <v>303.5</v>
      </c>
      <c r="X146" s="123">
        <f>IF(Faturamento!$V719="Pago",IFERROR(W146-R146,0),0)</f>
        <v>0</v>
      </c>
      <c r="Y146" s="4"/>
      <c r="Z146" s="4"/>
      <c r="AA146" s="5"/>
      <c r="AB146" s="5"/>
      <c r="AI146"/>
    </row>
    <row r="147" spans="1:35" hidden="1" x14ac:dyDescent="0.3">
      <c r="A147" s="5" t="str">
        <f>VLOOKUP(B147,base!A:M,11,FALSE)</f>
        <v>TRIFÁSICO</v>
      </c>
      <c r="B147" t="s">
        <v>228</v>
      </c>
      <c r="C147" s="1">
        <v>0</v>
      </c>
      <c r="D147" s="60">
        <v>62955505015199</v>
      </c>
      <c r="E147" s="63" t="s">
        <v>433</v>
      </c>
      <c r="F147" t="s">
        <v>434</v>
      </c>
      <c r="G147" s="4">
        <v>45901</v>
      </c>
      <c r="H147" s="4" t="str">
        <f>Faturamento!$B815&amp;Faturamento!$G815</f>
        <v>10/510330-445627</v>
      </c>
      <c r="I147" t="s">
        <v>435</v>
      </c>
      <c r="J147">
        <v>342</v>
      </c>
      <c r="K147" s="3">
        <v>571.65</v>
      </c>
      <c r="L147" s="3">
        <v>460.68380772070168</v>
      </c>
      <c r="M147" s="5" t="s">
        <v>1489</v>
      </c>
      <c r="N147" s="3">
        <v>413.16</v>
      </c>
      <c r="O147" s="3">
        <v>302.19</v>
      </c>
      <c r="P147" s="4">
        <v>45933</v>
      </c>
      <c r="Q147" s="4">
        <v>45943</v>
      </c>
      <c r="R147" s="3">
        <f>O147</f>
        <v>302.19</v>
      </c>
      <c r="S147"/>
      <c r="T147" s="51" t="s">
        <v>1514</v>
      </c>
      <c r="U147" s="51" t="s">
        <v>1515</v>
      </c>
      <c r="V147" t="s">
        <v>568</v>
      </c>
      <c r="W147" s="3">
        <f>R147</f>
        <v>302.19</v>
      </c>
      <c r="X147" s="123">
        <f>IF(Faturamento!$V718="Pago",IFERROR(W147-R147,0),0)</f>
        <v>0</v>
      </c>
      <c r="Y147" s="4"/>
      <c r="Z147" s="4"/>
      <c r="AA147" s="5"/>
      <c r="AB147" s="5"/>
      <c r="AI147"/>
    </row>
    <row r="148" spans="1:35" hidden="1" x14ac:dyDescent="0.3">
      <c r="A148" s="5" t="str">
        <f>VLOOKUP(B148,base!A:M,11,FALSE)</f>
        <v>TRIFÁSICO</v>
      </c>
      <c r="B148" t="s">
        <v>184</v>
      </c>
      <c r="C148" s="1">
        <v>67992637973</v>
      </c>
      <c r="D148" s="60">
        <v>62955505017213</v>
      </c>
      <c r="E148" s="63" t="s">
        <v>433</v>
      </c>
      <c r="F148" t="s">
        <v>434</v>
      </c>
      <c r="G148" s="4">
        <v>45778</v>
      </c>
      <c r="H148" s="4" t="str">
        <f>Faturamento!$B435&amp;Faturamento!$G435</f>
        <v>10/13786-945839</v>
      </c>
      <c r="I148" t="s">
        <v>435</v>
      </c>
      <c r="J148">
        <v>356</v>
      </c>
      <c r="K148" s="3">
        <v>571.48439999999994</v>
      </c>
      <c r="L148" s="3">
        <v>470.78079999999994</v>
      </c>
      <c r="M148" s="5" t="str">
        <f>IF(Faturamento!$S435&lt;&gt;"","Não emitido",IF(Faturamento!$I435="NÃO","Pendente Fatura", IF(Faturamento!$R435&lt;&gt;"","Aprovado",IF(Faturamento!$O435&lt;&gt;0,"Pendente Emissão","Processo de Calculo"))))</f>
        <v>Aprovado</v>
      </c>
      <c r="N148" s="3">
        <v>402.81440000000003</v>
      </c>
      <c r="O148" s="3">
        <v>302.11</v>
      </c>
      <c r="P148" s="4"/>
      <c r="Q148" s="4"/>
      <c r="R148" s="3">
        <v>302.11</v>
      </c>
      <c r="S148"/>
      <c r="T148" s="51" t="s">
        <v>930</v>
      </c>
      <c r="U148" s="51"/>
      <c r="V148" t="s">
        <v>568</v>
      </c>
      <c r="W148" s="3">
        <v>302.11</v>
      </c>
      <c r="X148" s="123">
        <f>IF(Faturamento!$V717="Pago",IFERROR(W148-R148,0),0)</f>
        <v>0</v>
      </c>
      <c r="Y148" s="4"/>
      <c r="Z148" s="4"/>
      <c r="AA148" s="5"/>
      <c r="AB148" s="5"/>
      <c r="AI148"/>
    </row>
    <row r="149" spans="1:35" hidden="1" x14ac:dyDescent="0.3">
      <c r="A149" s="5" t="str">
        <f>VLOOKUP(B149,base!A:M,11,FALSE)</f>
        <v>TRIFÁSICO</v>
      </c>
      <c r="B149" t="s">
        <v>146</v>
      </c>
      <c r="C149" s="56">
        <v>67991306665</v>
      </c>
      <c r="D149">
        <v>62955505379395</v>
      </c>
      <c r="E149" s="37" t="s">
        <v>433</v>
      </c>
      <c r="F149" t="s">
        <v>108</v>
      </c>
      <c r="G149" s="4">
        <v>45931</v>
      </c>
      <c r="H149" s="52" t="str">
        <f>Faturamento!$B918&amp;Faturamento!$G918</f>
        <v>10/505854-045748</v>
      </c>
      <c r="I149" s="37" t="s">
        <v>435</v>
      </c>
      <c r="J149">
        <v>396</v>
      </c>
      <c r="K149" s="3">
        <v>520.75470588235294</v>
      </c>
      <c r="L149" s="3">
        <v>404.00409123399686</v>
      </c>
      <c r="M149" s="5" t="s">
        <v>1489</v>
      </c>
      <c r="N149" s="53">
        <v>417.44470588235288</v>
      </c>
      <c r="O149" s="53">
        <v>300.69</v>
      </c>
      <c r="P149" s="52">
        <v>45967</v>
      </c>
      <c r="Q149" s="52">
        <v>45974</v>
      </c>
      <c r="R149" s="53">
        <v>300.69</v>
      </c>
      <c r="S149" s="37"/>
      <c r="T149" s="3" t="str">
        <f>D149&amp;R149</f>
        <v>62955505379395300,69</v>
      </c>
      <c r="U149" s="3" t="s">
        <v>1730</v>
      </c>
      <c r="V149" s="37" t="s">
        <v>568</v>
      </c>
      <c r="W149" s="13">
        <f>R149</f>
        <v>300.69</v>
      </c>
      <c r="X149" s="124">
        <f>IF(Faturamento!$V920="Pago",IFERROR(W149-R149,0),0)</f>
        <v>0</v>
      </c>
    </row>
    <row r="150" spans="1:35" hidden="1" x14ac:dyDescent="0.3">
      <c r="A150" s="5" t="str">
        <f>VLOOKUP(B150,base!A:M,11,FALSE)</f>
        <v>BIFÁSICO</v>
      </c>
      <c r="B150" t="s">
        <v>127</v>
      </c>
      <c r="C150" s="1">
        <v>0</v>
      </c>
      <c r="D150" s="60">
        <v>62955505016918</v>
      </c>
      <c r="E150" s="63" t="s">
        <v>433</v>
      </c>
      <c r="F150" t="s">
        <v>434</v>
      </c>
      <c r="G150" s="4">
        <v>45870</v>
      </c>
      <c r="H150" s="4" t="str">
        <f>Faturamento!$B755&amp;Faturamento!$G755</f>
        <v>10/283183-245870</v>
      </c>
      <c r="I150" t="s">
        <v>435</v>
      </c>
      <c r="J150">
        <v>412</v>
      </c>
      <c r="K150" s="3">
        <v>503.83</v>
      </c>
      <c r="L150" s="3">
        <v>416.0689944006271</v>
      </c>
      <c r="M150" s="5" t="str">
        <f>IF(Faturamento!$S755&lt;&gt;"","Não emitido",IF(Faturamento!$I755="NÃO","Pendente Fatura", IF(Faturamento!$R755&lt;&gt;"","Aprovado",IF(Faturamento!$O755&lt;&gt;0,"Pendente Emissão","Processo de Calculo"))))</f>
        <v>Aprovado</v>
      </c>
      <c r="N150" s="3">
        <v>388.39000000000004</v>
      </c>
      <c r="O150" s="3">
        <v>300.63</v>
      </c>
      <c r="P150" s="4">
        <v>45910</v>
      </c>
      <c r="Q150" s="4">
        <v>45920</v>
      </c>
      <c r="R150" s="3">
        <v>300.63</v>
      </c>
      <c r="S150"/>
      <c r="T150" s="51" t="s">
        <v>1406</v>
      </c>
      <c r="U150" s="51" t="s">
        <v>1407</v>
      </c>
      <c r="V150" t="s">
        <v>568</v>
      </c>
      <c r="W150" s="3">
        <v>300.63</v>
      </c>
      <c r="X150" s="123">
        <f>IF(Faturamento!$V715="Pago",IFERROR(W150-R150,0),0)</f>
        <v>0</v>
      </c>
      <c r="Y150" s="4">
        <v>45929</v>
      </c>
      <c r="Z150" s="4"/>
      <c r="AA150" s="5"/>
      <c r="AB150" s="5"/>
      <c r="AI150"/>
    </row>
    <row r="151" spans="1:35" hidden="1" x14ac:dyDescent="0.3">
      <c r="A151" s="5" t="str">
        <f>VLOOKUP(B151,base!A:M,11,FALSE)</f>
        <v>TRIFÁSICO</v>
      </c>
      <c r="B151" s="37" t="s">
        <v>274</v>
      </c>
      <c r="C151" s="56">
        <v>67992021114</v>
      </c>
      <c r="D151" s="59">
        <v>62955505357405</v>
      </c>
      <c r="E151" s="37" t="s">
        <v>433</v>
      </c>
      <c r="F151" s="37" t="s">
        <v>434</v>
      </c>
      <c r="G151" s="52">
        <v>45658</v>
      </c>
      <c r="H151" s="52" t="str">
        <f>Faturamento!$B118&amp;Faturamento!$G118</f>
        <v>10/1081489-545658</v>
      </c>
      <c r="I151" s="37" t="s">
        <v>435</v>
      </c>
      <c r="J151">
        <v>400</v>
      </c>
      <c r="K151" s="3">
        <v>500.08</v>
      </c>
      <c r="L151" s="3">
        <v>399.92250000000001</v>
      </c>
      <c r="M151" s="5" t="str">
        <f>IF(Faturamento!$S118&lt;&gt;"","Não emitido",IF(Faturamento!$I118="NÃO","Pendente Fatura", IF(Faturamento!$R118&lt;&gt;"","Aprovado",IF(Faturamento!$O118&lt;&gt;0,"Pendente Emissão","Processo de Calculo"))))</f>
        <v>Aprovado</v>
      </c>
      <c r="N151" s="53">
        <v>400.63000000000005</v>
      </c>
      <c r="O151" s="53">
        <v>300.47000000000003</v>
      </c>
      <c r="P151" s="52"/>
      <c r="Q151" s="52"/>
      <c r="R151" s="53">
        <v>300.47000000000003</v>
      </c>
      <c r="S151" s="37"/>
      <c r="T151" s="51" t="s">
        <v>676</v>
      </c>
      <c r="U151" s="51"/>
      <c r="V151" s="37" t="s">
        <v>568</v>
      </c>
      <c r="W151" s="53">
        <v>300.47000000000003</v>
      </c>
      <c r="X151" s="123">
        <f>IF(Faturamento!$V714="Pago",IFERROR(W151-R151,0),0)</f>
        <v>0</v>
      </c>
      <c r="Y151" s="52"/>
      <c r="Z151" s="52"/>
      <c r="AA151" s="5"/>
      <c r="AB151" s="5"/>
      <c r="AI151"/>
    </row>
    <row r="152" spans="1:35" hidden="1" x14ac:dyDescent="0.3">
      <c r="A152" s="5" t="str">
        <f>VLOOKUP(B152,base!A:M,11,FALSE)</f>
        <v>TRIFÁSICO</v>
      </c>
      <c r="B152" t="s">
        <v>224</v>
      </c>
      <c r="C152" s="1" t="s">
        <v>226</v>
      </c>
      <c r="D152" s="60">
        <v>62955505177504</v>
      </c>
      <c r="E152" s="63" t="s">
        <v>433</v>
      </c>
      <c r="F152" t="s">
        <v>434</v>
      </c>
      <c r="G152" s="4">
        <v>45689</v>
      </c>
      <c r="H152" s="4" t="str">
        <f>Faturamento!$B165&amp;Faturamento!$G165</f>
        <v>10/435964-245901</v>
      </c>
      <c r="I152" t="s">
        <v>435</v>
      </c>
      <c r="J152" s="37">
        <v>385</v>
      </c>
      <c r="K152" s="53">
        <v>580.44000000000005</v>
      </c>
      <c r="L152" s="53">
        <v>480.28999999999996</v>
      </c>
      <c r="M152" s="5" t="str">
        <f>IF(Faturamento!$S165&lt;&gt;"","Não emitido",IF(Faturamento!$I165="NÃO","Pendente Fatura", IF(Faturamento!$R165&lt;&gt;"","Aprovado",IF(Faturamento!$O165&lt;&gt;0,"Pendente Emissão","Processo de Calculo"))))</f>
        <v>Aprovado</v>
      </c>
      <c r="N152" s="3">
        <v>400.6</v>
      </c>
      <c r="O152" s="3">
        <v>300.45</v>
      </c>
      <c r="P152" s="4"/>
      <c r="Q152" s="4"/>
      <c r="R152" s="3">
        <v>300.45</v>
      </c>
      <c r="S152"/>
      <c r="T152" s="51" t="s">
        <v>726</v>
      </c>
      <c r="U152" s="51"/>
      <c r="V152" t="s">
        <v>568</v>
      </c>
      <c r="W152" s="3">
        <v>300.45</v>
      </c>
      <c r="X152" s="123">
        <f>IF(Faturamento!$V713="Pago",IFERROR(W152-R152,0),0)</f>
        <v>0</v>
      </c>
      <c r="Y152" s="4"/>
      <c r="Z152" s="4"/>
      <c r="AA152" s="5"/>
      <c r="AB152" s="5"/>
      <c r="AI152"/>
    </row>
    <row r="153" spans="1:35" hidden="1" x14ac:dyDescent="0.3">
      <c r="A153" s="5" t="str">
        <f>VLOOKUP(B153,base!A:M,11,FALSE)</f>
        <v>TRIFÁSICO</v>
      </c>
      <c r="B153" t="s">
        <v>228</v>
      </c>
      <c r="C153" s="56">
        <v>67991162146</v>
      </c>
      <c r="D153">
        <v>62955505015199</v>
      </c>
      <c r="E153" s="37" t="s">
        <v>433</v>
      </c>
      <c r="F153" t="s">
        <v>108</v>
      </c>
      <c r="G153" s="4">
        <v>45931</v>
      </c>
      <c r="H153" s="52" t="str">
        <f>Faturamento!$B946&amp;Faturamento!$G946</f>
        <v>10/8777-545809</v>
      </c>
      <c r="I153" s="37" t="s">
        <v>435</v>
      </c>
      <c r="J153">
        <v>344</v>
      </c>
      <c r="K153" s="3">
        <v>538.71760000000006</v>
      </c>
      <c r="L153" s="3">
        <v>422.68774834501488</v>
      </c>
      <c r="M153" s="5" t="s">
        <v>1489</v>
      </c>
      <c r="N153" s="53">
        <v>414.86759999999998</v>
      </c>
      <c r="O153" s="53">
        <v>298.83999999999997</v>
      </c>
      <c r="P153" s="52">
        <v>45967</v>
      </c>
      <c r="Q153" s="52">
        <v>45974</v>
      </c>
      <c r="R153" s="53">
        <v>298.83999999999997</v>
      </c>
      <c r="S153" s="37"/>
      <c r="T153" s="3" t="str">
        <f>D153&amp;R153</f>
        <v>62955505015199298,84</v>
      </c>
      <c r="U153" s="3" t="s">
        <v>1758</v>
      </c>
      <c r="V153" s="37" t="s">
        <v>568</v>
      </c>
      <c r="W153" s="13">
        <f>R153</f>
        <v>298.83999999999997</v>
      </c>
      <c r="X153" s="124">
        <f>IF(Faturamento!$V948="Pago",IFERROR(W153-R153,0),0)</f>
        <v>0</v>
      </c>
    </row>
    <row r="154" spans="1:35" hidden="1" x14ac:dyDescent="0.3">
      <c r="A154" s="5" t="str">
        <f>VLOOKUP(B154,base!A:M,11,FALSE)</f>
        <v>TRIFÁSICO</v>
      </c>
      <c r="B154" t="s">
        <v>222</v>
      </c>
      <c r="C154" s="1">
        <v>67996150274</v>
      </c>
      <c r="D154" s="60">
        <v>62955505000167</v>
      </c>
      <c r="E154" s="63" t="s">
        <v>433</v>
      </c>
      <c r="F154" t="s">
        <v>434</v>
      </c>
      <c r="G154" s="4">
        <v>45689</v>
      </c>
      <c r="H154" s="4" t="str">
        <f>Faturamento!$B237&amp;Faturamento!$G237</f>
        <v>10/127464-645658</v>
      </c>
      <c r="I154" t="s">
        <v>435</v>
      </c>
      <c r="J154" s="37">
        <v>402</v>
      </c>
      <c r="K154" s="53">
        <v>582.76</v>
      </c>
      <c r="L154" s="53">
        <v>484.86749999999995</v>
      </c>
      <c r="M154" s="5" t="str">
        <f>IF(Faturamento!$S237&lt;&gt;"","Não emitido",IF(Faturamento!$I237="NÃO","Pendente Fatura", IF(Faturamento!$R237&lt;&gt;"","Aprovado",IF(Faturamento!$O237&lt;&gt;0,"Pendente Emissão","Processo de Calculo"))))</f>
        <v>Aprovado</v>
      </c>
      <c r="N154" s="3">
        <v>391.57000000000005</v>
      </c>
      <c r="O154" s="3">
        <v>293.68</v>
      </c>
      <c r="P154" s="4"/>
      <c r="Q154" s="4"/>
      <c r="R154" s="3">
        <v>293.68</v>
      </c>
      <c r="S154"/>
      <c r="T154" s="51" t="s">
        <v>778</v>
      </c>
      <c r="U154" s="51"/>
      <c r="V154" t="s">
        <v>568</v>
      </c>
      <c r="W154" s="3">
        <v>293.68</v>
      </c>
      <c r="X154" s="123">
        <f>IF(Faturamento!$V711="Pago",IFERROR(W154-R154,0),0)</f>
        <v>0</v>
      </c>
      <c r="Y154" s="4"/>
      <c r="Z154" s="4"/>
      <c r="AA154" s="5"/>
      <c r="AB154" s="5"/>
      <c r="AI154" t="str">
        <f>VLOOKUP(B154,'[2]Conciliação - 022025'!$A:$L,12,FALSE)</f>
        <v>DEPÓSITO ÚNICO ITAU 30/05/2025</v>
      </c>
    </row>
    <row r="155" spans="1:35" hidden="1" x14ac:dyDescent="0.3">
      <c r="A155" s="5" t="str">
        <f>VLOOKUP(B155,base!A:M,11,FALSE)</f>
        <v>TRIFÁSICO</v>
      </c>
      <c r="B155" t="s">
        <v>324</v>
      </c>
      <c r="C155" s="56">
        <v>67996071169</v>
      </c>
      <c r="D155">
        <v>62955505136492</v>
      </c>
      <c r="E155" s="37" t="s">
        <v>433</v>
      </c>
      <c r="F155" t="s">
        <v>108</v>
      </c>
      <c r="G155" s="4">
        <v>45931</v>
      </c>
      <c r="H155" s="52" t="str">
        <f>Faturamento!$B933&amp;Faturamento!$G933</f>
        <v>10/512142-145778</v>
      </c>
      <c r="I155" s="37" t="s">
        <v>435</v>
      </c>
      <c r="J155">
        <v>381</v>
      </c>
      <c r="K155" s="3">
        <v>582.62351351351356</v>
      </c>
      <c r="L155" s="3">
        <v>469.025217288026</v>
      </c>
      <c r="M155" s="5" t="s">
        <v>1489</v>
      </c>
      <c r="N155" s="53">
        <v>406.17351351351351</v>
      </c>
      <c r="O155" s="53">
        <v>292.58</v>
      </c>
      <c r="P155" s="52">
        <v>45967</v>
      </c>
      <c r="Q155" s="52">
        <v>45974</v>
      </c>
      <c r="R155" s="53">
        <v>292.58</v>
      </c>
      <c r="S155" s="37"/>
      <c r="T155" s="3" t="str">
        <f>D155&amp;R155</f>
        <v>62955505136492292,58</v>
      </c>
      <c r="U155" s="3" t="s">
        <v>1745</v>
      </c>
      <c r="V155" s="37" t="s">
        <v>568</v>
      </c>
      <c r="W155" s="13">
        <f>R155</f>
        <v>292.58</v>
      </c>
      <c r="X155" s="124">
        <f>IF(Faturamento!$V935="Pago",IFERROR(W155-R155,0),0)</f>
        <v>0</v>
      </c>
    </row>
    <row r="156" spans="1:35" hidden="1" x14ac:dyDescent="0.3">
      <c r="A156" s="5" t="e">
        <f>VLOOKUP(B156,base!A:M,11,FALSE)</f>
        <v>#N/A</v>
      </c>
      <c r="B156" t="s">
        <v>658</v>
      </c>
      <c r="C156" s="1" t="e">
        <v>#N/A</v>
      </c>
      <c r="D156" s="60">
        <v>62955505015199</v>
      </c>
      <c r="E156" s="63" t="s">
        <v>433</v>
      </c>
      <c r="F156" t="s">
        <v>434</v>
      </c>
      <c r="G156" s="4">
        <v>45717</v>
      </c>
      <c r="H156" s="4" t="str">
        <f>Faturamento!$B283&amp;Faturamento!$G283</f>
        <v>10/504844-245658</v>
      </c>
      <c r="I156" t="s">
        <v>435</v>
      </c>
      <c r="J156">
        <v>377</v>
      </c>
      <c r="K156" s="3">
        <v>1220.1699999999998</v>
      </c>
      <c r="L156" s="3">
        <v>1122.7942668136714</v>
      </c>
      <c r="M156" s="5" t="str">
        <f>IF(Faturamento!$S283&lt;&gt;"","Não emitido",IF(Faturamento!$I283="NÃO","Pendente Fatura", IF(Faturamento!$R283&lt;&gt;"","Aprovado",IF(Faturamento!$O283&lt;&gt;0,"Pendente Emissão","Processo de Calculo"))))</f>
        <v>Aprovado</v>
      </c>
      <c r="N156" s="3">
        <v>389.5029327453143</v>
      </c>
      <c r="O156" s="3">
        <v>292.13</v>
      </c>
      <c r="P156" s="4"/>
      <c r="Q156" s="4"/>
      <c r="R156" s="3">
        <v>292.13</v>
      </c>
      <c r="S156"/>
      <c r="T156" s="51" t="s">
        <v>823</v>
      </c>
      <c r="U156" s="51"/>
      <c r="V156" t="s">
        <v>369</v>
      </c>
      <c r="W156" s="3"/>
      <c r="X156" s="123">
        <f>IF(Faturamento!$V834="Pago",IFERROR(W156-R156,0),0)</f>
        <v>0</v>
      </c>
      <c r="Y156" s="4"/>
      <c r="Z156" s="196" t="s">
        <v>1795</v>
      </c>
      <c r="AA156" s="5"/>
      <c r="AB156" s="5"/>
      <c r="AI156" t="str">
        <f>VLOOKUP(B156,'[1]Conciliação - 032025'!$A:$L,12,FALSE)</f>
        <v>VALOR DEVIDO - Cancelamento via email dia 23/04, tenho tudo formalizado por whatsapp com Danilo Silva</v>
      </c>
    </row>
    <row r="157" spans="1:35" hidden="1" x14ac:dyDescent="0.3">
      <c r="A157" s="5" t="str">
        <f>VLOOKUP(B157,base!A:M,11,FALSE)</f>
        <v>BIFÁSICO</v>
      </c>
      <c r="B157" t="s">
        <v>318</v>
      </c>
      <c r="C157" s="1">
        <v>67999998719</v>
      </c>
      <c r="D157" s="60">
        <v>62955505015431</v>
      </c>
      <c r="E157" s="63" t="s">
        <v>433</v>
      </c>
      <c r="F157" t="s">
        <v>434</v>
      </c>
      <c r="G157" s="4">
        <v>45778</v>
      </c>
      <c r="H157" s="4" t="str">
        <f>Faturamento!$B493&amp;Faturamento!$G493</f>
        <v>10/109074-545658</v>
      </c>
      <c r="I157" t="s">
        <v>435</v>
      </c>
      <c r="J157">
        <v>396</v>
      </c>
      <c r="K157" s="3">
        <v>663.87884955752224</v>
      </c>
      <c r="L157" s="3">
        <v>566.61913716814161</v>
      </c>
      <c r="M157" s="5" t="str">
        <f>IF(Faturamento!$S493&lt;&gt;"","Não emitido",IF(Faturamento!$I493="NÃO","Pendente Fatura", IF(Faturamento!$R493&lt;&gt;"","Aprovado",IF(Faturamento!$O493&lt;&gt;0,"Pendente Emissão","Processo de Calculo"))))</f>
        <v>Aprovado</v>
      </c>
      <c r="N157" s="3">
        <v>389.03884955752221</v>
      </c>
      <c r="O157" s="3">
        <v>291.77999999999997</v>
      </c>
      <c r="P157" s="4"/>
      <c r="Q157" s="4"/>
      <c r="R157" s="3">
        <v>291.77999999999997</v>
      </c>
      <c r="S157"/>
      <c r="T157" s="51" t="s">
        <v>981</v>
      </c>
      <c r="U157" s="51"/>
      <c r="V157" t="s">
        <v>568</v>
      </c>
      <c r="W157" s="3">
        <v>291.77999999999997</v>
      </c>
      <c r="X157" s="123">
        <f>IF(Faturamento!$V710="Pago",IFERROR(W157-R157,0),0)</f>
        <v>0</v>
      </c>
      <c r="Y157" s="4"/>
      <c r="Z157" s="4"/>
      <c r="AA157" s="5"/>
      <c r="AB157" s="5"/>
      <c r="AI157"/>
    </row>
    <row r="158" spans="1:35" hidden="1" x14ac:dyDescent="0.3">
      <c r="A158" s="5" t="str">
        <f>VLOOKUP(B158,base!A:M,11,FALSE)</f>
        <v>TRIFÁSICO</v>
      </c>
      <c r="B158" t="s">
        <v>255</v>
      </c>
      <c r="C158" s="56">
        <v>67999361728</v>
      </c>
      <c r="D158">
        <v>62955505182257</v>
      </c>
      <c r="E158" s="37" t="s">
        <v>433</v>
      </c>
      <c r="F158" t="s">
        <v>108</v>
      </c>
      <c r="G158" s="4">
        <v>45931</v>
      </c>
      <c r="H158" s="52" t="str">
        <f>Faturamento!$B896&amp;Faturamento!$G896</f>
        <v>10/40190-145717</v>
      </c>
      <c r="I158" s="37" t="s">
        <v>435</v>
      </c>
      <c r="J158">
        <v>375</v>
      </c>
      <c r="K158" s="3">
        <v>585.88076923076926</v>
      </c>
      <c r="L158" s="3">
        <v>472.69716578719351</v>
      </c>
      <c r="M158" s="5" t="s">
        <v>1489</v>
      </c>
      <c r="N158" s="53">
        <v>404.69076923076932</v>
      </c>
      <c r="O158" s="53">
        <v>291.51</v>
      </c>
      <c r="P158" s="52">
        <v>45967</v>
      </c>
      <c r="Q158" s="52">
        <v>45974</v>
      </c>
      <c r="R158" s="53">
        <v>291.51</v>
      </c>
      <c r="S158" s="37"/>
      <c r="T158" s="3" t="str">
        <f>D158&amp;R158</f>
        <v>62955505182257291,51</v>
      </c>
      <c r="U158" s="3" t="s">
        <v>1708</v>
      </c>
      <c r="V158" s="37" t="s">
        <v>568</v>
      </c>
      <c r="W158" s="13">
        <f>R158</f>
        <v>291.51</v>
      </c>
      <c r="X158" s="124">
        <f>IF(Faturamento!$V898="Pago",IFERROR(W158-R158,0),0)</f>
        <v>0</v>
      </c>
    </row>
    <row r="159" spans="1:35" hidden="1" x14ac:dyDescent="0.3">
      <c r="A159" s="5" t="str">
        <f>VLOOKUP(B159,base!A:M,11,FALSE)</f>
        <v>TRIFÁSICO</v>
      </c>
      <c r="B159" s="37" t="s">
        <v>196</v>
      </c>
      <c r="C159" s="56" t="s">
        <v>175</v>
      </c>
      <c r="D159" s="59">
        <v>62955505215791</v>
      </c>
      <c r="E159" s="37" t="s">
        <v>433</v>
      </c>
      <c r="F159" s="37" t="s">
        <v>434</v>
      </c>
      <c r="G159" s="52">
        <v>45809</v>
      </c>
      <c r="H159" s="52" t="str">
        <f>Faturamento!$B534&amp;Faturamento!$G534</f>
        <v>10/129490-945658</v>
      </c>
      <c r="I159" s="37" t="s">
        <v>435</v>
      </c>
      <c r="J159" s="37">
        <v>329</v>
      </c>
      <c r="K159" s="53">
        <v>598.44410000000005</v>
      </c>
      <c r="L159" s="53">
        <v>506.39084841625976</v>
      </c>
      <c r="M159" s="5" t="str">
        <f>IF(Faturamento!$S534&lt;&gt;"","Não emitido",IF(Faturamento!$I534="NÃO","Pendente Fatura", IF(Faturamento!$R534&lt;&gt;"","Aprovado",IF(Faturamento!$O534&lt;&gt;0,"Pendente Emissão","Processo de Calculo"))))</f>
        <v>Aprovado</v>
      </c>
      <c r="N159" s="53">
        <v>387.99409999999995</v>
      </c>
      <c r="O159" s="53">
        <v>291</v>
      </c>
      <c r="P159" s="52">
        <v>45860</v>
      </c>
      <c r="Q159" s="52">
        <v>45871</v>
      </c>
      <c r="R159" s="53">
        <v>291</v>
      </c>
      <c r="S159" s="37"/>
      <c r="T159" s="51" t="s">
        <v>1023</v>
      </c>
      <c r="U159" s="51" t="s">
        <v>1024</v>
      </c>
      <c r="V159" s="37" t="s">
        <v>568</v>
      </c>
      <c r="W159" s="53">
        <v>291</v>
      </c>
      <c r="X159" s="123">
        <f>IF(Faturamento!$V709="Pago",IFERROR(W159-R159,0),0)</f>
        <v>0</v>
      </c>
      <c r="Y159" s="52" t="s">
        <v>1018</v>
      </c>
      <c r="Z159" s="52"/>
      <c r="AA159" s="5"/>
      <c r="AB159" s="5"/>
      <c r="AI159"/>
    </row>
    <row r="160" spans="1:35" hidden="1" x14ac:dyDescent="0.3">
      <c r="A160" s="5" t="str">
        <f>VLOOKUP(B160,base!A:M,11,FALSE)</f>
        <v>TRIFÁSICO</v>
      </c>
      <c r="B160" t="s">
        <v>326</v>
      </c>
      <c r="C160" s="56" t="s">
        <v>328</v>
      </c>
      <c r="D160">
        <v>62955505058599</v>
      </c>
      <c r="E160" s="37" t="s">
        <v>433</v>
      </c>
      <c r="F160" t="s">
        <v>108</v>
      </c>
      <c r="G160" s="4">
        <v>45931</v>
      </c>
      <c r="H160" s="52" t="str">
        <f>Faturamento!$B916&amp;Faturamento!$G916</f>
        <v>10/3170252-545748</v>
      </c>
      <c r="I160" s="37" t="s">
        <v>435</v>
      </c>
      <c r="J160">
        <v>375</v>
      </c>
      <c r="K160" s="3">
        <v>580.14657894736843</v>
      </c>
      <c r="L160" s="3">
        <v>467.93743116560086</v>
      </c>
      <c r="M160" s="5" t="s">
        <v>1489</v>
      </c>
      <c r="N160" s="53">
        <v>401.20657894736831</v>
      </c>
      <c r="O160" s="53">
        <v>289</v>
      </c>
      <c r="P160" s="52">
        <v>45967</v>
      </c>
      <c r="Q160" s="52">
        <v>45974</v>
      </c>
      <c r="R160" s="53">
        <v>289</v>
      </c>
      <c r="S160" s="37"/>
      <c r="T160" s="3" t="str">
        <f>D160&amp;R160</f>
        <v>62955505058599289</v>
      </c>
      <c r="U160" s="3" t="s">
        <v>1728</v>
      </c>
      <c r="V160" s="37" t="s">
        <v>568</v>
      </c>
      <c r="W160" s="13">
        <f>R160</f>
        <v>289</v>
      </c>
      <c r="X160" s="124">
        <f>IF(Faturamento!$V918="Pago",IFERROR(W160-R160,0),0)</f>
        <v>0</v>
      </c>
    </row>
    <row r="161" spans="1:35" hidden="1" x14ac:dyDescent="0.3">
      <c r="A161" s="5" t="str">
        <f>VLOOKUP(B161,base!A:M,11,FALSE)</f>
        <v>TRIFÁSICO</v>
      </c>
      <c r="B161" t="s">
        <v>118</v>
      </c>
      <c r="C161" s="1">
        <v>67996135721</v>
      </c>
      <c r="D161" s="60">
        <v>62955505182257</v>
      </c>
      <c r="E161" s="63" t="s">
        <v>433</v>
      </c>
      <c r="F161" t="s">
        <v>434</v>
      </c>
      <c r="G161" s="4">
        <v>45689</v>
      </c>
      <c r="H161" s="4" t="str">
        <f>Faturamento!$B143&amp;Faturamento!$G143</f>
        <v>10/127464-645901</v>
      </c>
      <c r="I161" t="s">
        <v>435</v>
      </c>
      <c r="J161" s="37">
        <v>381</v>
      </c>
      <c r="K161" s="53">
        <v>557.14</v>
      </c>
      <c r="L161" s="53">
        <v>461.3075</v>
      </c>
      <c r="M161" s="5" t="str">
        <f>IF(Faturamento!$S143&lt;&gt;"","Não emitido",IF(Faturamento!$I143="NÃO","Pendente Fatura", IF(Faturamento!$R143&lt;&gt;"","Aprovado",IF(Faturamento!$O143&lt;&gt;0,"Pendente Emissão","Processo de Calculo"))))</f>
        <v>Aprovado</v>
      </c>
      <c r="N161" s="3">
        <v>383.33000000000004</v>
      </c>
      <c r="O161" s="3">
        <v>287.5</v>
      </c>
      <c r="P161" s="4"/>
      <c r="Q161" s="4"/>
      <c r="R161" s="3">
        <v>287.5</v>
      </c>
      <c r="S161"/>
      <c r="T161" s="51" t="s">
        <v>704</v>
      </c>
      <c r="U161" s="51"/>
      <c r="V161" t="s">
        <v>568</v>
      </c>
      <c r="W161" s="3">
        <v>287.5</v>
      </c>
      <c r="X161" s="123">
        <f>IF(Faturamento!$V708="Pago",IFERROR(W161-R161,0),0)</f>
        <v>0</v>
      </c>
      <c r="Y161" s="4"/>
      <c r="Z161" s="4"/>
      <c r="AA161" s="5"/>
      <c r="AB161" s="5"/>
      <c r="AI161"/>
    </row>
    <row r="162" spans="1:35" hidden="1" x14ac:dyDescent="0.3">
      <c r="A162" s="5" t="str">
        <f>VLOOKUP(B162,base!A:M,11,FALSE)</f>
        <v>TRIFÁSICO</v>
      </c>
      <c r="B162" t="s">
        <v>315</v>
      </c>
      <c r="C162" s="1">
        <v>67996446178</v>
      </c>
      <c r="D162" s="60">
        <v>62955505359360</v>
      </c>
      <c r="E162" s="63" t="s">
        <v>433</v>
      </c>
      <c r="F162" t="s">
        <v>434</v>
      </c>
      <c r="G162" s="4">
        <v>45658</v>
      </c>
      <c r="H162" s="4" t="str">
        <f>Faturamento!$B83&amp;Faturamento!$G83</f>
        <v>10/510330-445717</v>
      </c>
      <c r="I162" t="s">
        <v>435</v>
      </c>
      <c r="J162">
        <v>375</v>
      </c>
      <c r="K162" s="3">
        <v>588.63000000000011</v>
      </c>
      <c r="L162" s="3">
        <v>492.82499999999999</v>
      </c>
      <c r="M162" s="5" t="str">
        <f>IF(Faturamento!$S83&lt;&gt;"","Não emitido",IF(Faturamento!$I83="NÃO","Pendente Fatura", IF(Faturamento!$R83&lt;&gt;"","Aprovado",IF(Faturamento!$O83&lt;&gt;0,"Pendente Emissão","Processo de Calculo"))))</f>
        <v>Aprovado</v>
      </c>
      <c r="N162" s="3">
        <v>383.22000000000008</v>
      </c>
      <c r="O162" s="3">
        <v>287.42</v>
      </c>
      <c r="P162" s="4"/>
      <c r="Q162" s="4"/>
      <c r="R162" s="3">
        <v>287.42</v>
      </c>
      <c r="S162"/>
      <c r="T162" s="51" t="s">
        <v>642</v>
      </c>
      <c r="U162" s="51"/>
      <c r="V162" t="s">
        <v>568</v>
      </c>
      <c r="W162" s="3">
        <v>287.42</v>
      </c>
      <c r="X162" s="123">
        <f>IF(Faturamento!$V707="Pago",IFERROR(W162-R162,0),0)</f>
        <v>0</v>
      </c>
      <c r="Y162" s="4"/>
      <c r="Z162" s="4"/>
      <c r="AA162" s="5"/>
      <c r="AB162" s="5"/>
      <c r="AI162"/>
    </row>
    <row r="163" spans="1:35" hidden="1" x14ac:dyDescent="0.3">
      <c r="A163" s="5" t="str">
        <f>VLOOKUP(B163,base!A:M,11,FALSE)</f>
        <v>TRIFÁSICO</v>
      </c>
      <c r="B163" t="s">
        <v>196</v>
      </c>
      <c r="C163" s="1" t="s">
        <v>175</v>
      </c>
      <c r="D163" s="60">
        <v>62955505215791</v>
      </c>
      <c r="E163" s="63" t="s">
        <v>433</v>
      </c>
      <c r="F163" t="s">
        <v>434</v>
      </c>
      <c r="G163" s="4">
        <v>45839</v>
      </c>
      <c r="H163" s="4" t="str">
        <f>Faturamento!$B623&amp;Faturamento!$G623</f>
        <v>10/1117293-945717</v>
      </c>
      <c r="I163" t="s">
        <v>435</v>
      </c>
      <c r="J163" s="37">
        <v>314</v>
      </c>
      <c r="K163" s="53">
        <v>574.04820000000007</v>
      </c>
      <c r="L163" s="53">
        <v>490.26485092000001</v>
      </c>
      <c r="M163" s="5" t="str">
        <f>IF(Faturamento!$S623&lt;&gt;"","Não emitido",IF(Faturamento!$I623="NÃO","Pendente Fatura", IF(Faturamento!$R623&lt;&gt;"","Aprovado",IF(Faturamento!$O623&lt;&gt;0,"Pendente Emissão","Processo de Calculo"))))</f>
        <v>Aprovado</v>
      </c>
      <c r="N163" s="3">
        <v>370.16820000000001</v>
      </c>
      <c r="O163" s="3">
        <v>286.38</v>
      </c>
      <c r="P163" s="4">
        <v>45910</v>
      </c>
      <c r="Q163" s="4">
        <v>45920</v>
      </c>
      <c r="R163" s="3">
        <v>286.38</v>
      </c>
      <c r="S163"/>
      <c r="T163" s="51" t="s">
        <v>1161</v>
      </c>
      <c r="U163" s="51" t="s">
        <v>1162</v>
      </c>
      <c r="V163" t="s">
        <v>568</v>
      </c>
      <c r="W163" s="3">
        <v>286.38</v>
      </c>
      <c r="X163" s="123">
        <f>IF(Faturamento!$V706="Pago",IFERROR(W163-R163,0),0)</f>
        <v>0</v>
      </c>
      <c r="Y163" s="4"/>
      <c r="Z163" s="4"/>
      <c r="AA163" s="5"/>
      <c r="AB163" s="5"/>
      <c r="AI163"/>
    </row>
    <row r="164" spans="1:35" hidden="1" x14ac:dyDescent="0.3">
      <c r="A164" s="5" t="str">
        <f>VLOOKUP(B164,base!A:M,11,FALSE)</f>
        <v>TRIFÁSICO</v>
      </c>
      <c r="B164" s="37" t="s">
        <v>266</v>
      </c>
      <c r="C164" s="56">
        <v>67991060202</v>
      </c>
      <c r="D164" s="59">
        <v>62955505213233</v>
      </c>
      <c r="E164" s="37" t="s">
        <v>433</v>
      </c>
      <c r="F164" s="37" t="s">
        <v>434</v>
      </c>
      <c r="G164" s="52">
        <v>45778</v>
      </c>
      <c r="H164" s="52" t="str">
        <f>Faturamento!$B492&amp;Faturamento!$G492</f>
        <v>10/1184751-445839</v>
      </c>
      <c r="I164" s="37" t="s">
        <v>435</v>
      </c>
      <c r="J164">
        <v>391</v>
      </c>
      <c r="K164" s="3">
        <v>477.94838709677418</v>
      </c>
      <c r="L164" s="3">
        <v>382.57379032258063</v>
      </c>
      <c r="M164" s="5" t="str">
        <f>IF(Faturamento!$S492&lt;&gt;"","Não emitido",IF(Faturamento!$I492="NÃO","Pendente Fatura", IF(Faturamento!$R492&lt;&gt;"","Aprovado",IF(Faturamento!$O492&lt;&gt;0,"Pendente Emissão","Processo de Calculo"))))</f>
        <v>Aprovado</v>
      </c>
      <c r="N164" s="53">
        <v>381.4983870967742</v>
      </c>
      <c r="O164" s="53">
        <v>286.12</v>
      </c>
      <c r="P164" s="52"/>
      <c r="Q164" s="52"/>
      <c r="R164" s="53">
        <v>286.12</v>
      </c>
      <c r="S164" s="37"/>
      <c r="T164" s="51" t="s">
        <v>980</v>
      </c>
      <c r="U164" s="51"/>
      <c r="V164" s="37" t="s">
        <v>568</v>
      </c>
      <c r="W164" s="53">
        <v>286.12</v>
      </c>
      <c r="X164" s="123">
        <f>IF(Faturamento!$V705="Pago",IFERROR(W164-R164,0),0)</f>
        <v>0</v>
      </c>
      <c r="Y164" s="52"/>
      <c r="Z164" s="52"/>
      <c r="AA164" s="5"/>
      <c r="AB164" s="5"/>
      <c r="AI164"/>
    </row>
    <row r="165" spans="1:35" hidden="1" x14ac:dyDescent="0.3">
      <c r="A165" s="5" t="str">
        <f>VLOOKUP(B165,base!A:M,11,FALSE)</f>
        <v>TRIFÁSICO</v>
      </c>
      <c r="B165" t="s">
        <v>274</v>
      </c>
      <c r="C165" s="1">
        <v>0</v>
      </c>
      <c r="D165" s="60">
        <v>62955505357405</v>
      </c>
      <c r="E165" s="63" t="s">
        <v>433</v>
      </c>
      <c r="F165" t="s">
        <v>434</v>
      </c>
      <c r="G165" s="4">
        <v>45901</v>
      </c>
      <c r="H165" s="4" t="str">
        <f>Faturamento!$B863&amp;Faturamento!$G863</f>
        <v>10/63920-345689</v>
      </c>
      <c r="I165" t="s">
        <v>435</v>
      </c>
      <c r="J165">
        <v>372</v>
      </c>
      <c r="K165" s="3">
        <v>496.64461538461529</v>
      </c>
      <c r="L165" s="3">
        <v>391.59129802625188</v>
      </c>
      <c r="M165" s="5" t="s">
        <v>1489</v>
      </c>
      <c r="N165" s="3">
        <v>391.14461538461535</v>
      </c>
      <c r="O165" s="3">
        <v>286.08999999999997</v>
      </c>
      <c r="P165" s="4">
        <v>45933</v>
      </c>
      <c r="Q165" s="4">
        <v>45943</v>
      </c>
      <c r="R165" s="3">
        <f>O165</f>
        <v>286.08999999999997</v>
      </c>
      <c r="S165"/>
      <c r="T165" s="51" t="s">
        <v>1605</v>
      </c>
      <c r="U165" s="51" t="s">
        <v>1606</v>
      </c>
      <c r="V165" t="s">
        <v>568</v>
      </c>
      <c r="W165" s="3">
        <f>O165</f>
        <v>286.08999999999997</v>
      </c>
      <c r="X165" s="123">
        <f>IF(Faturamento!$V704="Pago",IFERROR(W165-R165,0),0)</f>
        <v>0</v>
      </c>
      <c r="Y165" s="4"/>
      <c r="Z165" s="4"/>
      <c r="AA165" s="5"/>
      <c r="AB165" s="5"/>
      <c r="AI165"/>
    </row>
    <row r="166" spans="1:35" hidden="1" x14ac:dyDescent="0.3">
      <c r="A166" s="5" t="str">
        <f>VLOOKUP(B166,base!A:M,11,FALSE)</f>
        <v>TRIFÁSICO</v>
      </c>
      <c r="B166" s="37" t="s">
        <v>238</v>
      </c>
      <c r="C166" s="56">
        <v>67996266684</v>
      </c>
      <c r="D166" s="59">
        <v>62955505016080</v>
      </c>
      <c r="E166" s="37" t="s">
        <v>433</v>
      </c>
      <c r="F166" s="37" t="s">
        <v>434</v>
      </c>
      <c r="G166" s="52">
        <v>45748</v>
      </c>
      <c r="H166" s="52" t="str">
        <f>Faturamento!$B344&amp;Faturamento!$G344</f>
        <v>10/341308-545748</v>
      </c>
      <c r="I166" s="37" t="s">
        <v>435</v>
      </c>
      <c r="J166" s="37">
        <v>356</v>
      </c>
      <c r="K166" s="53">
        <v>565.29</v>
      </c>
      <c r="L166" s="53">
        <v>470.06749999999994</v>
      </c>
      <c r="M166" s="5" t="str">
        <f>IF(Faturamento!$S344&lt;&gt;"","Não emitido",IF(Faturamento!$I344="NÃO","Pendente Fatura", IF(Faturamento!$R344&lt;&gt;"","Aprovado",IF(Faturamento!$O344&lt;&gt;0,"Pendente Emissão","Processo de Calculo"))))</f>
        <v>Aprovado</v>
      </c>
      <c r="N166" s="53">
        <v>380.89</v>
      </c>
      <c r="O166" s="53">
        <v>285.67</v>
      </c>
      <c r="P166" s="52"/>
      <c r="Q166" s="52"/>
      <c r="R166" s="53">
        <v>285.67</v>
      </c>
      <c r="S166" s="37"/>
      <c r="T166" s="51" t="s">
        <v>846</v>
      </c>
      <c r="U166" s="51"/>
      <c r="V166" s="37" t="s">
        <v>568</v>
      </c>
      <c r="W166" s="53">
        <v>285.67</v>
      </c>
      <c r="X166" s="123">
        <f>IF(Faturamento!$V703="Pago",IFERROR(W166-R166,0),0)</f>
        <v>0</v>
      </c>
      <c r="Y166" s="52"/>
      <c r="Z166" s="52"/>
      <c r="AA166" s="5"/>
      <c r="AB166" s="5"/>
      <c r="AI166"/>
    </row>
    <row r="167" spans="1:35" x14ac:dyDescent="0.3">
      <c r="A167" s="5" t="str">
        <f>VLOOKUP(B167,base!A:M,11,FALSE)</f>
        <v>TRIFÁSICO</v>
      </c>
      <c r="B167" t="s">
        <v>244</v>
      </c>
      <c r="C167" s="1" t="s">
        <v>166</v>
      </c>
      <c r="D167" s="60">
        <v>62955505419443</v>
      </c>
      <c r="E167" s="63" t="s">
        <v>433</v>
      </c>
      <c r="F167" t="s">
        <v>434</v>
      </c>
      <c r="G167" s="4">
        <v>45689</v>
      </c>
      <c r="H167" s="4" t="str">
        <f>Faturamento!$B169&amp;Faturamento!$G169</f>
        <v>10/1939035-045658</v>
      </c>
      <c r="I167" t="s">
        <v>435</v>
      </c>
      <c r="J167" s="37">
        <v>366</v>
      </c>
      <c r="K167" s="53">
        <v>484.45</v>
      </c>
      <c r="L167" s="53">
        <v>389.38749999999999</v>
      </c>
      <c r="M167" s="5" t="str">
        <f>IF(Faturamento!$S169&lt;&gt;"","Não emitido",IF(Faturamento!$I169="NÃO","Pendente Fatura", IF(Faturamento!$R169&lt;&gt;"","Aprovado",IF(Faturamento!$O169&lt;&gt;0,"Pendente Emissão","Processo de Calculo"))))</f>
        <v>Aprovado</v>
      </c>
      <c r="N167" s="3">
        <v>380.25</v>
      </c>
      <c r="O167" s="3">
        <v>285.19</v>
      </c>
      <c r="P167" s="4"/>
      <c r="Q167" s="4"/>
      <c r="R167" s="3">
        <v>285.19</v>
      </c>
      <c r="S167"/>
      <c r="T167" s="51" t="s">
        <v>729</v>
      </c>
      <c r="U167" s="51"/>
      <c r="V167" t="s">
        <v>568</v>
      </c>
      <c r="W167" s="3">
        <v>285.19</v>
      </c>
      <c r="X167" s="123">
        <f>IF(Faturamento!$V702="Pago",IFERROR(W167-R167,0),0)</f>
        <v>0</v>
      </c>
      <c r="Y167" s="4"/>
      <c r="Z167" s="4"/>
      <c r="AA167" s="5"/>
      <c r="AB167" s="5"/>
      <c r="AI167"/>
    </row>
    <row r="168" spans="1:35" x14ac:dyDescent="0.3">
      <c r="A168" s="5" t="str">
        <f>VLOOKUP(B168,base!A:M,11,FALSE)</f>
        <v>TRIFÁSICO</v>
      </c>
      <c r="B168" t="s">
        <v>244</v>
      </c>
      <c r="C168" s="1" t="s">
        <v>166</v>
      </c>
      <c r="D168" s="60">
        <v>62955505419443</v>
      </c>
      <c r="E168" s="63" t="s">
        <v>433</v>
      </c>
      <c r="F168" t="s">
        <v>434</v>
      </c>
      <c r="G168" s="4">
        <v>45748</v>
      </c>
      <c r="H168" s="4" t="str">
        <f>Faturamento!$B345&amp;Faturamento!$G345</f>
        <v>10/435964-245748</v>
      </c>
      <c r="I168" t="s">
        <v>435</v>
      </c>
      <c r="J168" s="37">
        <v>351</v>
      </c>
      <c r="K168" s="53">
        <v>483.58999999999992</v>
      </c>
      <c r="L168" s="53">
        <v>389.54500015249988</v>
      </c>
      <c r="M168" s="5" t="str">
        <f>IF(Faturamento!$S345&lt;&gt;"","Não emitido",IF(Faturamento!$I345="NÃO","Pendente Fatura", IF(Faturamento!$R345&lt;&gt;"","Aprovado",IF(Faturamento!$O345&lt;&gt;0,"Pendente Emissão","Processo de Calculo"))))</f>
        <v>Aprovado</v>
      </c>
      <c r="N168" s="3">
        <v>376.17999939000003</v>
      </c>
      <c r="O168" s="3">
        <v>282.13</v>
      </c>
      <c r="P168" s="4"/>
      <c r="Q168" s="4"/>
      <c r="R168" s="3">
        <v>282.13</v>
      </c>
      <c r="S168"/>
      <c r="T168" s="51" t="s">
        <v>847</v>
      </c>
      <c r="U168" s="51"/>
      <c r="V168" t="s">
        <v>568</v>
      </c>
      <c r="W168" s="3">
        <v>282.13</v>
      </c>
      <c r="X168" s="123">
        <f>IF(Faturamento!$V700="Pago",IFERROR(W168-R168,0),0)</f>
        <v>0</v>
      </c>
      <c r="Y168" s="4"/>
      <c r="Z168" s="4"/>
      <c r="AA168" s="5"/>
      <c r="AB168" s="5"/>
      <c r="AI168"/>
    </row>
    <row r="169" spans="1:35" hidden="1" x14ac:dyDescent="0.3">
      <c r="A169" s="5" t="str">
        <f>VLOOKUP(B169,base!A:M,11,FALSE)</f>
        <v>BIFÁSICO</v>
      </c>
      <c r="B169" s="37" t="s">
        <v>198</v>
      </c>
      <c r="C169" s="56" t="s">
        <v>166</v>
      </c>
      <c r="D169" s="59">
        <v>62955505419443</v>
      </c>
      <c r="E169" s="37" t="s">
        <v>433</v>
      </c>
      <c r="F169" s="37" t="s">
        <v>434</v>
      </c>
      <c r="G169" s="52">
        <v>45658</v>
      </c>
      <c r="H169" s="52" t="str">
        <f>Faturamento!$B60&amp;Faturamento!$G60</f>
        <v>10/191945-545689</v>
      </c>
      <c r="I169" s="37" t="s">
        <v>435</v>
      </c>
      <c r="J169">
        <v>336</v>
      </c>
      <c r="K169" s="3">
        <v>426.94</v>
      </c>
      <c r="L169" s="3">
        <v>333.17750000000001</v>
      </c>
      <c r="M169" s="5" t="str">
        <f>IF(Faturamento!$S60&lt;&gt;"","Não emitido",IF(Faturamento!$I60="NÃO","Pendente Fatura", IF(Faturamento!$R60&lt;&gt;"","Aprovado",IF(Faturamento!$O60&lt;&gt;0,"Pendente Emissão","Processo de Calculo"))))</f>
        <v>Aprovado</v>
      </c>
      <c r="N169" s="53">
        <v>375.04999999999995</v>
      </c>
      <c r="O169" s="53">
        <v>281.29000000000002</v>
      </c>
      <c r="P169" s="52"/>
      <c r="Q169" s="52"/>
      <c r="R169" s="53">
        <v>281.29000000000002</v>
      </c>
      <c r="S169" s="37"/>
      <c r="T169" s="51" t="s">
        <v>609</v>
      </c>
      <c r="U169" s="51"/>
      <c r="V169" s="37" t="s">
        <v>568</v>
      </c>
      <c r="W169" s="53">
        <v>281.29000000000002</v>
      </c>
      <c r="X169" s="123">
        <f>IF(Faturamento!$V699="Pago",IFERROR(W169-R169,0),0)</f>
        <v>0</v>
      </c>
      <c r="Y169" s="52"/>
      <c r="Z169" s="52"/>
      <c r="AA169" s="5">
        <v>283032</v>
      </c>
      <c r="AB169" s="5">
        <v>502</v>
      </c>
      <c r="AC169" s="5" t="s">
        <v>434</v>
      </c>
      <c r="AD169" s="5" t="s">
        <v>610</v>
      </c>
      <c r="AE169" s="5">
        <v>119.09</v>
      </c>
      <c r="AG169" s="5" t="s">
        <v>611</v>
      </c>
      <c r="AH169" s="5" t="s">
        <v>500</v>
      </c>
      <c r="AI169"/>
    </row>
    <row r="170" spans="1:35" hidden="1" x14ac:dyDescent="0.3">
      <c r="A170" s="5" t="str">
        <f>VLOOKUP(B170,base!A:M,11,FALSE)</f>
        <v>BIFÁSICO</v>
      </c>
      <c r="B170" t="s">
        <v>127</v>
      </c>
      <c r="C170" s="1">
        <v>67996446178</v>
      </c>
      <c r="D170" s="60">
        <v>62955505016918</v>
      </c>
      <c r="E170" s="63" t="s">
        <v>433</v>
      </c>
      <c r="F170" t="s">
        <v>434</v>
      </c>
      <c r="G170" s="4">
        <v>45839</v>
      </c>
      <c r="H170" s="4" t="str">
        <f>Faturamento!$B649&amp;Faturamento!$G649</f>
        <v>10/78338-145839</v>
      </c>
      <c r="I170" t="s">
        <v>435</v>
      </c>
      <c r="J170" s="37">
        <v>379</v>
      </c>
      <c r="K170" s="53">
        <v>465.8</v>
      </c>
      <c r="L170" s="53">
        <v>383.20911799999999</v>
      </c>
      <c r="M170" s="5" t="str">
        <f>IF(Faturamento!$S649&lt;&gt;"","Não emitido",IF(Faturamento!$I649="NÃO","Pendente Fatura", IF(Faturamento!$R649&lt;&gt;"","Aprovado",IF(Faturamento!$O649&lt;&gt;0,"Pendente Emissão","Processo de Calculo"))))</f>
        <v>Aprovado</v>
      </c>
      <c r="N170" s="3">
        <v>363.05</v>
      </c>
      <c r="O170" s="3">
        <v>280.45999999999998</v>
      </c>
      <c r="P170" s="4">
        <v>45910</v>
      </c>
      <c r="Q170" s="4">
        <v>45920</v>
      </c>
      <c r="R170" s="3">
        <v>280.45999999999998</v>
      </c>
      <c r="S170"/>
      <c r="T170" s="51" t="s">
        <v>1211</v>
      </c>
      <c r="U170" s="51" t="s">
        <v>1212</v>
      </c>
      <c r="V170" t="s">
        <v>568</v>
      </c>
      <c r="W170" s="3">
        <v>280.45999999999998</v>
      </c>
      <c r="X170" s="123">
        <f>IF(Faturamento!$V698="Pago",IFERROR(W170-R170,0),0)</f>
        <v>0</v>
      </c>
      <c r="Y170" s="4"/>
      <c r="Z170" s="4"/>
      <c r="AA170" s="5"/>
      <c r="AB170" s="5"/>
      <c r="AI170"/>
    </row>
    <row r="171" spans="1:35" hidden="1" x14ac:dyDescent="0.3">
      <c r="A171" s="5" t="str">
        <f>VLOOKUP(B171,base!A:M,11,FALSE)</f>
        <v>TRIFÁSICO</v>
      </c>
      <c r="B171" s="37" t="s">
        <v>294</v>
      </c>
      <c r="C171" s="56">
        <v>67992637973</v>
      </c>
      <c r="D171" s="59">
        <v>62955505367117</v>
      </c>
      <c r="E171" s="37" t="s">
        <v>433</v>
      </c>
      <c r="F171" s="37" t="s">
        <v>434</v>
      </c>
      <c r="G171" s="52">
        <v>45778</v>
      </c>
      <c r="H171" s="52" t="str">
        <f>Faturamento!$B440&amp;Faturamento!$G440</f>
        <v>10/532081-745748</v>
      </c>
      <c r="I171" s="37" t="s">
        <v>435</v>
      </c>
      <c r="J171">
        <v>326</v>
      </c>
      <c r="K171" s="3">
        <v>564.66419999999994</v>
      </c>
      <c r="L171" s="3">
        <v>472.30065000000002</v>
      </c>
      <c r="M171" s="5" t="str">
        <f>IF(Faturamento!$S440&lt;&gt;"","Não emitido",IF(Faturamento!$I440="NÃO","Pendente Fatura", IF(Faturamento!$R440&lt;&gt;"","Aprovado",IF(Faturamento!$O440&lt;&gt;0,"Pendente Emissão","Processo de Calculo"))))</f>
        <v>Aprovado</v>
      </c>
      <c r="N171" s="53">
        <v>369.45420000000001</v>
      </c>
      <c r="O171" s="53">
        <v>277.08999999999997</v>
      </c>
      <c r="P171" s="52"/>
      <c r="Q171" s="52"/>
      <c r="R171" s="53">
        <v>277.08999999999997</v>
      </c>
      <c r="S171" s="37"/>
      <c r="T171" s="51" t="s">
        <v>935</v>
      </c>
      <c r="U171" s="51"/>
      <c r="V171" s="37" t="s">
        <v>568</v>
      </c>
      <c r="W171" s="53">
        <v>277.08999999999997</v>
      </c>
      <c r="X171" s="123">
        <f>IF(Faturamento!$V697="Pago",IFERROR(W171-R171,0),0)</f>
        <v>0</v>
      </c>
      <c r="Y171" s="52"/>
      <c r="Z171" s="52"/>
      <c r="AA171" s="5"/>
      <c r="AB171" s="5"/>
      <c r="AI171"/>
    </row>
    <row r="172" spans="1:35" hidden="1" x14ac:dyDescent="0.3">
      <c r="A172" s="5" t="str">
        <f>VLOOKUP(B172,base!A:M,11,FALSE)</f>
        <v>TRIFÁSICO</v>
      </c>
      <c r="B172" t="s">
        <v>290</v>
      </c>
      <c r="C172" s="1">
        <v>0</v>
      </c>
      <c r="D172" s="60">
        <v>62955505354481</v>
      </c>
      <c r="E172" s="63" t="s">
        <v>433</v>
      </c>
      <c r="F172" t="s">
        <v>434</v>
      </c>
      <c r="G172" s="4">
        <v>45901</v>
      </c>
      <c r="H172" s="4" t="str">
        <f>Faturamento!$B855&amp;Faturamento!$G855</f>
        <v>10/81222-245689</v>
      </c>
      <c r="I172" t="s">
        <v>435</v>
      </c>
      <c r="J172">
        <v>360</v>
      </c>
      <c r="K172" s="3">
        <v>527.53658536585374</v>
      </c>
      <c r="L172" s="3">
        <v>425.91518139700668</v>
      </c>
      <c r="M172" s="5" t="s">
        <v>1489</v>
      </c>
      <c r="N172" s="3">
        <v>378.36658536585367</v>
      </c>
      <c r="O172" s="3">
        <v>276.75</v>
      </c>
      <c r="P172" s="4">
        <v>45933</v>
      </c>
      <c r="Q172" s="4">
        <v>45943</v>
      </c>
      <c r="R172" s="3">
        <f>O172</f>
        <v>276.75</v>
      </c>
      <c r="S172"/>
      <c r="T172" s="51" t="s">
        <v>1589</v>
      </c>
      <c r="U172" s="51" t="s">
        <v>1590</v>
      </c>
      <c r="V172" t="s">
        <v>568</v>
      </c>
      <c r="W172" s="3">
        <f>R172</f>
        <v>276.75</v>
      </c>
      <c r="X172" s="123">
        <f>IF(Faturamento!$V696="Pago",IFERROR(W172-R172,0),0)</f>
        <v>0</v>
      </c>
      <c r="Y172" s="4"/>
      <c r="Z172" s="4"/>
      <c r="AA172" s="5"/>
      <c r="AB172" s="5"/>
      <c r="AI172"/>
    </row>
    <row r="173" spans="1:35" hidden="1" x14ac:dyDescent="0.3">
      <c r="A173" s="5" t="str">
        <f>VLOOKUP(B173,base!A:M,11,FALSE)</f>
        <v>TRIFÁSICO</v>
      </c>
      <c r="B173" s="37" t="s">
        <v>222</v>
      </c>
      <c r="C173" s="56">
        <v>67996150274</v>
      </c>
      <c r="D173" s="59">
        <v>62955505000167</v>
      </c>
      <c r="E173" s="37" t="s">
        <v>433</v>
      </c>
      <c r="F173" s="37" t="s">
        <v>434</v>
      </c>
      <c r="G173" s="52">
        <v>45839</v>
      </c>
      <c r="H173" s="52" t="str">
        <f>Faturamento!$B670&amp;Faturamento!$G670</f>
        <v>10/3054052-045717</v>
      </c>
      <c r="I173" s="37" t="s">
        <v>435</v>
      </c>
      <c r="J173" s="37">
        <v>356</v>
      </c>
      <c r="K173" s="53">
        <v>765.80719211822657</v>
      </c>
      <c r="L173" s="53">
        <v>683.63446224630547</v>
      </c>
      <c r="M173" s="5" t="str">
        <f>IF(Faturamento!$S670&lt;&gt;"","Não emitido",IF(Faturamento!$I670="NÃO","Pendente Fatura", IF(Faturamento!$R670&lt;&gt;"","Aprovado",IF(Faturamento!$O670&lt;&gt;0,"Pendente Emissão","Processo de Calculo"))))</f>
        <v>Aprovado</v>
      </c>
      <c r="N173" s="53">
        <v>358.20719211822643</v>
      </c>
      <c r="O173" s="53">
        <v>276.02999999999997</v>
      </c>
      <c r="P173" s="52">
        <v>45910</v>
      </c>
      <c r="Q173" s="52">
        <v>45920</v>
      </c>
      <c r="R173" s="53">
        <v>276.02999999999997</v>
      </c>
      <c r="S173" s="37"/>
      <c r="T173" s="51" t="s">
        <v>1253</v>
      </c>
      <c r="U173" s="51" t="s">
        <v>1254</v>
      </c>
      <c r="V173" s="37" t="s">
        <v>568</v>
      </c>
      <c r="W173" s="53">
        <v>276.02999999999997</v>
      </c>
      <c r="X173" s="123">
        <f>IF(Faturamento!$V694="Pago",IFERROR(W173-R173,0),0)</f>
        <v>0</v>
      </c>
      <c r="Y173" s="52"/>
      <c r="Z173" s="52"/>
      <c r="AA173" s="5"/>
      <c r="AB173" s="5"/>
      <c r="AI173"/>
    </row>
    <row r="174" spans="1:35" hidden="1" x14ac:dyDescent="0.3">
      <c r="A174" s="5" t="str">
        <f>VLOOKUP(B174,base!A:M,11,FALSE)</f>
        <v>TRIFÁSICO</v>
      </c>
      <c r="B174" s="37" t="s">
        <v>189</v>
      </c>
      <c r="C174" s="56">
        <v>67991767866</v>
      </c>
      <c r="D174" s="59">
        <v>62955505461210</v>
      </c>
      <c r="E174" s="37" t="s">
        <v>433</v>
      </c>
      <c r="F174" s="37" t="s">
        <v>434</v>
      </c>
      <c r="G174" s="52">
        <v>45717</v>
      </c>
      <c r="H174" s="52" t="str">
        <f>Faturamento!$B262&amp;Faturamento!$G262</f>
        <v>10/142353-245870</v>
      </c>
      <c r="I174" s="37" t="s">
        <v>435</v>
      </c>
      <c r="J174">
        <v>339</v>
      </c>
      <c r="K174" s="3">
        <v>1111.72</v>
      </c>
      <c r="L174" s="3">
        <v>1020.175</v>
      </c>
      <c r="M174" s="5" t="str">
        <f>IF(Faturamento!$S262&lt;&gt;"","Não emitido",IF(Faturamento!$I262="NÃO","Pendente Fatura", IF(Faturamento!$R262&lt;&gt;"","Aprovado",IF(Faturamento!$O262&lt;&gt;0,"Pendente Emissão","Processo de Calculo"))))</f>
        <v>Aprovado</v>
      </c>
      <c r="N174" s="53">
        <v>366.18000000000006</v>
      </c>
      <c r="O174" s="53">
        <v>274.64</v>
      </c>
      <c r="P174" s="52"/>
      <c r="Q174" s="52"/>
      <c r="R174" s="53">
        <v>274.64</v>
      </c>
      <c r="S174" s="37"/>
      <c r="T174" s="51" t="s">
        <v>802</v>
      </c>
      <c r="U174" s="51"/>
      <c r="V174" s="37" t="s">
        <v>568</v>
      </c>
      <c r="W174" s="53">
        <v>274.64</v>
      </c>
      <c r="X174" s="123">
        <f>IF(Faturamento!$V693="Pago",IFERROR(W174-R174,0),0)</f>
        <v>0</v>
      </c>
      <c r="Y174" s="52"/>
      <c r="Z174" s="52"/>
      <c r="AA174" s="5"/>
      <c r="AB174" s="5"/>
      <c r="AI174"/>
    </row>
    <row r="175" spans="1:35" hidden="1" x14ac:dyDescent="0.3">
      <c r="A175" s="5" t="str">
        <f>VLOOKUP(B175,base!A:M,11,FALSE)</f>
        <v>BIFÁSICO</v>
      </c>
      <c r="B175" s="37" t="s">
        <v>318</v>
      </c>
      <c r="C175" s="56">
        <v>67999998719</v>
      </c>
      <c r="D175" s="59">
        <v>62955505015431</v>
      </c>
      <c r="E175" s="37" t="s">
        <v>433</v>
      </c>
      <c r="F175" s="37" t="s">
        <v>434</v>
      </c>
      <c r="G175" s="52">
        <v>45839</v>
      </c>
      <c r="H175" s="52" t="str">
        <f>Faturamento!$B626&amp;Faturamento!$G626</f>
        <v>10/952579-145748</v>
      </c>
      <c r="I175" s="37" t="s">
        <v>435</v>
      </c>
      <c r="J175" s="37">
        <v>375</v>
      </c>
      <c r="K175" s="53">
        <v>474.57</v>
      </c>
      <c r="L175" s="53">
        <v>392.85083799999995</v>
      </c>
      <c r="M175" s="5" t="str">
        <f>IF(Faturamento!$S626&lt;&gt;"","Não emitido",IF(Faturamento!$I626="NÃO","Pendente Fatura", IF(Faturamento!$R626&lt;&gt;"","Aprovado",IF(Faturamento!$O626&lt;&gt;0,"Pendente Emissão","Processo de Calculo"))))</f>
        <v>Aprovado</v>
      </c>
      <c r="N175" s="53">
        <v>356.23</v>
      </c>
      <c r="O175" s="53">
        <v>274.51</v>
      </c>
      <c r="P175" s="52">
        <v>45910</v>
      </c>
      <c r="Q175" s="52">
        <v>45920</v>
      </c>
      <c r="R175" s="53">
        <v>274.51</v>
      </c>
      <c r="S175" s="37"/>
      <c r="T175" s="51" t="s">
        <v>1167</v>
      </c>
      <c r="U175" s="51" t="s">
        <v>1168</v>
      </c>
      <c r="V175" s="37" t="s">
        <v>568</v>
      </c>
      <c r="W175" s="53">
        <v>356.23</v>
      </c>
      <c r="X175" s="123">
        <f>IF(Faturamento!$V759="Pago",IFERROR(W175-R175,0),0)</f>
        <v>81.720000000000027</v>
      </c>
      <c r="Y175" s="52">
        <v>45925</v>
      </c>
      <c r="Z175" s="52"/>
      <c r="AA175" s="5"/>
      <c r="AB175" s="5"/>
      <c r="AI175"/>
    </row>
    <row r="176" spans="1:35" hidden="1" x14ac:dyDescent="0.3">
      <c r="A176" s="5" t="str">
        <f>VLOOKUP(B176,base!A:M,11,FALSE)</f>
        <v>TRIFÁSICO</v>
      </c>
      <c r="B176" s="37" t="s">
        <v>247</v>
      </c>
      <c r="C176" s="126">
        <f>VLOOKUP(B176,Base_Clientes[[INSTALAÇÃO]:[TELEFONE]],10,0)</f>
        <v>67999050448</v>
      </c>
      <c r="D176" s="59">
        <v>62955505375721</v>
      </c>
      <c r="E176" s="37" t="s">
        <v>433</v>
      </c>
      <c r="F176" s="37" t="s">
        <v>434</v>
      </c>
      <c r="G176" s="52">
        <v>45901</v>
      </c>
      <c r="H176" s="52" t="str">
        <f>Faturamento!$B864&amp;Faturamento!$G864</f>
        <v>10/3123706-845689</v>
      </c>
      <c r="I176" s="37" t="s">
        <v>435</v>
      </c>
      <c r="J176">
        <v>333</v>
      </c>
      <c r="K176" s="3">
        <v>514.93521739130438</v>
      </c>
      <c r="L176" s="3">
        <v>420.91228708522294</v>
      </c>
      <c r="M176" s="5" t="s">
        <v>1489</v>
      </c>
      <c r="N176" s="53">
        <v>350.07521739130436</v>
      </c>
      <c r="O176" s="53">
        <v>256.05</v>
      </c>
      <c r="P176" s="52">
        <v>45933</v>
      </c>
      <c r="Q176" s="52">
        <v>45943</v>
      </c>
      <c r="R176" s="53">
        <f>O176</f>
        <v>256.05</v>
      </c>
      <c r="S176" s="37"/>
      <c r="T176" s="51" t="s">
        <v>1607</v>
      </c>
      <c r="U176" s="51" t="s">
        <v>1608</v>
      </c>
      <c r="V176" s="37" t="s">
        <v>369</v>
      </c>
      <c r="W176" s="53"/>
      <c r="X176" s="123">
        <f>IF(Faturamento!$V884="Pago",IFERROR(W176-R176,0),0)</f>
        <v>0</v>
      </c>
      <c r="Y176" s="52"/>
      <c r="Z176" s="196" t="s">
        <v>1795</v>
      </c>
      <c r="AA176" s="5"/>
      <c r="AB176" s="5"/>
      <c r="AI176"/>
    </row>
    <row r="177" spans="1:35" x14ac:dyDescent="0.3">
      <c r="A177" s="5" t="str">
        <f>VLOOKUP(B177,base!A:M,11,FALSE)</f>
        <v>TRIFÁSICO</v>
      </c>
      <c r="B177" t="s">
        <v>244</v>
      </c>
      <c r="C177" s="56" t="s">
        <v>245</v>
      </c>
      <c r="D177">
        <v>62955505419443</v>
      </c>
      <c r="E177" s="37" t="s">
        <v>433</v>
      </c>
      <c r="F177" t="s">
        <v>108</v>
      </c>
      <c r="G177" s="4">
        <v>45931</v>
      </c>
      <c r="H177" s="52" t="str">
        <f>Faturamento!$B950&amp;Faturamento!$G950</f>
        <v>10/952579-145809</v>
      </c>
      <c r="I177" s="37" t="s">
        <v>435</v>
      </c>
      <c r="J177">
        <v>312</v>
      </c>
      <c r="K177" s="3">
        <v>500.21199999999999</v>
      </c>
      <c r="L177" s="3">
        <v>394.26894764640161</v>
      </c>
      <c r="M177" s="5" t="s">
        <v>1489</v>
      </c>
      <c r="N177" s="53">
        <v>378.80200000000008</v>
      </c>
      <c r="O177" s="53">
        <v>272.86</v>
      </c>
      <c r="P177" s="52">
        <v>45967</v>
      </c>
      <c r="Q177" s="52">
        <v>45974</v>
      </c>
      <c r="R177" s="53">
        <v>272.86</v>
      </c>
      <c r="S177" s="37"/>
      <c r="T177" s="3" t="str">
        <f>D177&amp;R177</f>
        <v>62955505419443272,86</v>
      </c>
      <c r="U177" s="3" t="s">
        <v>1762</v>
      </c>
      <c r="V177" s="37" t="s">
        <v>568</v>
      </c>
      <c r="W177" s="13">
        <f>R177</f>
        <v>272.86</v>
      </c>
      <c r="X177" s="124">
        <f>IF(Faturamento!$V952="Pago",IFERROR(W177-R177,0),0)</f>
        <v>0</v>
      </c>
    </row>
    <row r="178" spans="1:35" hidden="1" x14ac:dyDescent="0.3">
      <c r="A178" s="5" t="str">
        <f>VLOOKUP(B178,base!A:M,11,FALSE)</f>
        <v>TRIFÁSICO</v>
      </c>
      <c r="B178" t="s">
        <v>222</v>
      </c>
      <c r="C178" s="1">
        <v>67996150274</v>
      </c>
      <c r="D178" s="60">
        <v>62955505000167</v>
      </c>
      <c r="E178" s="63" t="s">
        <v>433</v>
      </c>
      <c r="F178" t="s">
        <v>434</v>
      </c>
      <c r="G178" s="4">
        <v>45748</v>
      </c>
      <c r="H178" s="4" t="str">
        <f>Faturamento!$B431&amp;Faturamento!$G431</f>
        <v>10/395471-645901</v>
      </c>
      <c r="I178" t="s">
        <v>435</v>
      </c>
      <c r="J178" s="37">
        <v>373</v>
      </c>
      <c r="K178" s="53">
        <v>628.79999999999995</v>
      </c>
      <c r="L178" s="53">
        <v>538.04500632499992</v>
      </c>
      <c r="M178" s="5" t="str">
        <f>IF(Faturamento!$S431&lt;&gt;"","Não emitido",IF(Faturamento!$I431="NÃO","Pendente Fatura", IF(Faturamento!$R431&lt;&gt;"","Aprovado",IF(Faturamento!$O431&lt;&gt;0,"Pendente Emissão","Processo de Calculo"))))</f>
        <v>Aprovado</v>
      </c>
      <c r="N178" s="3">
        <v>729.75997470000004</v>
      </c>
      <c r="O178" s="3">
        <v>272.26</v>
      </c>
      <c r="P178" s="4"/>
      <c r="Q178" s="4"/>
      <c r="R178" s="3">
        <v>272.26</v>
      </c>
      <c r="S178"/>
      <c r="T178" s="51" t="s">
        <v>926</v>
      </c>
      <c r="U178" s="51"/>
      <c r="V178" t="s">
        <v>568</v>
      </c>
      <c r="W178" s="3">
        <v>272.26</v>
      </c>
      <c r="X178" s="123">
        <f>IF(Faturamento!$V692="Pago",IFERROR(W178-R178,0),0)</f>
        <v>0</v>
      </c>
      <c r="Y178" s="4"/>
      <c r="Z178" s="4"/>
      <c r="AA178" s="5"/>
      <c r="AB178" s="5"/>
      <c r="AI178"/>
    </row>
    <row r="179" spans="1:35" hidden="1" x14ac:dyDescent="0.3">
      <c r="A179" s="5" t="str">
        <f>VLOOKUP(B179,base!A:M,11,FALSE)</f>
        <v>TRIFÁSICO</v>
      </c>
      <c r="B179" s="37" t="s">
        <v>266</v>
      </c>
      <c r="C179" s="56">
        <v>0</v>
      </c>
      <c r="D179" s="59">
        <v>62955505213233</v>
      </c>
      <c r="E179" s="37" t="s">
        <v>433</v>
      </c>
      <c r="F179" s="37" t="s">
        <v>434</v>
      </c>
      <c r="G179" s="52">
        <v>45901</v>
      </c>
      <c r="H179" s="52" t="str">
        <f>Faturamento!$B848&amp;Faturamento!$G848</f>
        <v>10/280638-845689</v>
      </c>
      <c r="I179" s="37" t="s">
        <v>435</v>
      </c>
      <c r="J179">
        <v>350</v>
      </c>
      <c r="K179" s="3">
        <v>477.1672093023256</v>
      </c>
      <c r="L179" s="3">
        <v>378.34423327349157</v>
      </c>
      <c r="M179" s="5" t="s">
        <v>1489</v>
      </c>
      <c r="N179" s="53">
        <v>367.94720930232552</v>
      </c>
      <c r="O179" s="53">
        <v>269.12</v>
      </c>
      <c r="P179" s="52">
        <v>45933</v>
      </c>
      <c r="Q179" s="52">
        <v>45943</v>
      </c>
      <c r="R179" s="53">
        <f>O179</f>
        <v>269.12</v>
      </c>
      <c r="S179" s="37"/>
      <c r="T179" s="51" t="s">
        <v>1575</v>
      </c>
      <c r="U179" s="51" t="s">
        <v>1576</v>
      </c>
      <c r="V179" s="37" t="s">
        <v>568</v>
      </c>
      <c r="W179" s="53">
        <f>R179</f>
        <v>269.12</v>
      </c>
      <c r="X179" s="123">
        <f>IF(Faturamento!$V690="Pago",IFERROR(W179-R179,0),0)</f>
        <v>0</v>
      </c>
      <c r="Y179" s="52"/>
      <c r="Z179" s="52"/>
      <c r="AA179" s="5"/>
      <c r="AB179" s="5"/>
      <c r="AI179"/>
    </row>
    <row r="180" spans="1:35" hidden="1" x14ac:dyDescent="0.3">
      <c r="A180" s="5" t="str">
        <f>VLOOKUP(B180,base!A:M,11,FALSE)</f>
        <v>TRIFÁSICO</v>
      </c>
      <c r="B180" s="37" t="s">
        <v>315</v>
      </c>
      <c r="C180" s="126">
        <f>VLOOKUP(B180,Base_Clientes[[INSTALAÇÃO]:[TELEFONE]],10,0)</f>
        <v>67996446178</v>
      </c>
      <c r="D180" s="59">
        <v>62955505359360</v>
      </c>
      <c r="E180" s="37" t="s">
        <v>433</v>
      </c>
      <c r="F180" s="37" t="s">
        <v>434</v>
      </c>
      <c r="G180" s="52">
        <v>45901</v>
      </c>
      <c r="H180" s="52" t="str">
        <f>Faturamento!$B818&amp;Faturamento!$G818</f>
        <v>10/5202-745627</v>
      </c>
      <c r="I180" s="37" t="s">
        <v>435</v>
      </c>
      <c r="J180">
        <v>289</v>
      </c>
      <c r="K180" s="3">
        <v>541.48439999999994</v>
      </c>
      <c r="L180" s="3">
        <v>447.87261544129956</v>
      </c>
      <c r="M180" s="5" t="s">
        <v>1489</v>
      </c>
      <c r="N180" s="53">
        <v>348.5444</v>
      </c>
      <c r="O180" s="53">
        <v>254.93</v>
      </c>
      <c r="P180" s="52">
        <v>45933</v>
      </c>
      <c r="Q180" s="52">
        <v>45943</v>
      </c>
      <c r="R180" s="53">
        <f>O180</f>
        <v>254.93</v>
      </c>
      <c r="S180" s="37"/>
      <c r="T180" s="51" t="s">
        <v>1520</v>
      </c>
      <c r="U180" s="51" t="s">
        <v>1521</v>
      </c>
      <c r="V180" s="37" t="s">
        <v>369</v>
      </c>
      <c r="W180" s="53"/>
      <c r="X180" s="123">
        <f>IF(Faturamento!$V874="Pago",IFERROR(W180-R180,0),0)</f>
        <v>0</v>
      </c>
      <c r="Y180" s="52"/>
      <c r="Z180" s="196" t="s">
        <v>1795</v>
      </c>
      <c r="AA180" s="5"/>
      <c r="AB180" s="5"/>
      <c r="AI180"/>
    </row>
    <row r="181" spans="1:35" hidden="1" x14ac:dyDescent="0.3">
      <c r="A181" s="5" t="str">
        <f>VLOOKUP(B181,base!A:M,11,FALSE)</f>
        <v>TRIFÁSICO</v>
      </c>
      <c r="B181" t="s">
        <v>274</v>
      </c>
      <c r="C181" s="56">
        <v>67992021114</v>
      </c>
      <c r="D181">
        <v>62955505357405</v>
      </c>
      <c r="E181" s="37" t="s">
        <v>433</v>
      </c>
      <c r="F181" t="s">
        <v>108</v>
      </c>
      <c r="G181" s="4">
        <v>45931</v>
      </c>
      <c r="H181" s="52" t="str">
        <f>Faturamento!$B910&amp;Faturamento!$G910</f>
        <v>10/3125732-245717</v>
      </c>
      <c r="I181" s="37" t="s">
        <v>435</v>
      </c>
      <c r="J181">
        <v>351</v>
      </c>
      <c r="K181" s="3">
        <v>527.76682926829278</v>
      </c>
      <c r="L181" s="3">
        <v>423.52007920550278</v>
      </c>
      <c r="M181" s="5" t="s">
        <v>1489</v>
      </c>
      <c r="N181" s="53">
        <v>372.73682926829275</v>
      </c>
      <c r="O181" s="53">
        <v>268.49</v>
      </c>
      <c r="P181" s="52">
        <v>45967</v>
      </c>
      <c r="Q181" s="52">
        <v>45974</v>
      </c>
      <c r="R181" s="53">
        <v>268.49</v>
      </c>
      <c r="S181" s="37"/>
      <c r="T181" s="3" t="str">
        <f>D181&amp;R181</f>
        <v>62955505357405268,49</v>
      </c>
      <c r="U181" s="3" t="s">
        <v>1722</v>
      </c>
      <c r="V181" s="37" t="s">
        <v>568</v>
      </c>
      <c r="W181" s="13">
        <f>R181</f>
        <v>268.49</v>
      </c>
      <c r="X181" s="124">
        <f>IF(Faturamento!$V912="Pago",IFERROR(W181-R181,0),0)</f>
        <v>0</v>
      </c>
    </row>
    <row r="182" spans="1:35" hidden="1" x14ac:dyDescent="0.3">
      <c r="A182" s="5" t="str">
        <f>VLOOKUP(B182,base!A:M,11,FALSE)</f>
        <v>TRIFÁSICO</v>
      </c>
      <c r="B182" t="s">
        <v>224</v>
      </c>
      <c r="C182" s="1">
        <v>0</v>
      </c>
      <c r="D182" s="60">
        <v>62955505088404</v>
      </c>
      <c r="E182" s="63" t="s">
        <v>433</v>
      </c>
      <c r="F182" t="s">
        <v>434</v>
      </c>
      <c r="G182" s="4">
        <v>45901</v>
      </c>
      <c r="H182" s="4" t="str">
        <f>Faturamento!$B843&amp;Faturamento!$G843</f>
        <v>10/1081489-545689</v>
      </c>
      <c r="I182" t="s">
        <v>435</v>
      </c>
      <c r="J182">
        <v>309</v>
      </c>
      <c r="K182" s="3">
        <v>561.00425531914891</v>
      </c>
      <c r="L182" s="3">
        <v>462.45602347753061</v>
      </c>
      <c r="M182" s="5" t="s">
        <v>1489</v>
      </c>
      <c r="N182" s="3">
        <v>366.92425531914893</v>
      </c>
      <c r="O182" s="3">
        <v>268.38</v>
      </c>
      <c r="P182" s="4">
        <v>45933</v>
      </c>
      <c r="Q182" s="4">
        <v>45943</v>
      </c>
      <c r="R182" s="3">
        <f>O182</f>
        <v>268.38</v>
      </c>
      <c r="S182"/>
      <c r="T182" s="51" t="s">
        <v>1566</v>
      </c>
      <c r="U182" s="51" t="s">
        <v>1567</v>
      </c>
      <c r="V182" t="s">
        <v>568</v>
      </c>
      <c r="W182" s="3">
        <f>O182</f>
        <v>268.38</v>
      </c>
      <c r="X182" s="123">
        <f>IF(Faturamento!$V689="Pago",IFERROR(W182-R182,0),0)</f>
        <v>0</v>
      </c>
      <c r="Y182" s="4"/>
      <c r="Z182" s="4"/>
      <c r="AA182" s="5"/>
      <c r="AB182" s="5"/>
      <c r="AI182"/>
    </row>
    <row r="183" spans="1:35" hidden="1" x14ac:dyDescent="0.3">
      <c r="A183" s="5" t="str">
        <f>VLOOKUP(B183,base!A:M,11,FALSE)</f>
        <v>BIFÁSICO</v>
      </c>
      <c r="B183" t="s">
        <v>198</v>
      </c>
      <c r="C183" s="1" t="s">
        <v>166</v>
      </c>
      <c r="D183" s="60">
        <v>62955505419443</v>
      </c>
      <c r="E183" s="63" t="s">
        <v>433</v>
      </c>
      <c r="F183" t="s">
        <v>434</v>
      </c>
      <c r="G183" s="4">
        <v>45748</v>
      </c>
      <c r="H183" s="4" t="str">
        <f>Faturamento!$B375&amp;Faturamento!$G375</f>
        <v>10/1939035-045870</v>
      </c>
      <c r="I183" t="s">
        <v>435</v>
      </c>
      <c r="J183" s="37">
        <v>343</v>
      </c>
      <c r="K183" s="53">
        <v>444.58000000000004</v>
      </c>
      <c r="L183" s="53">
        <v>355.32250772500004</v>
      </c>
      <c r="M183" s="5" t="str">
        <f>IF(Faturamento!$S375&lt;&gt;"","Não emitido",IF(Faturamento!$I375="NÃO","Pendente Fatura", IF(Faturamento!$R375&lt;&gt;"","Aprovado",IF(Faturamento!$O375&lt;&gt;0,"Pendente Emissão","Processo de Calculo"))))</f>
        <v>Aprovado</v>
      </c>
      <c r="N183" s="3">
        <v>357.02996910000002</v>
      </c>
      <c r="O183" s="3">
        <v>267.77</v>
      </c>
      <c r="P183" s="4"/>
      <c r="Q183" s="4"/>
      <c r="R183" s="3">
        <v>267.77</v>
      </c>
      <c r="S183"/>
      <c r="T183" s="51" t="s">
        <v>875</v>
      </c>
      <c r="U183" s="51"/>
      <c r="V183" t="s">
        <v>568</v>
      </c>
      <c r="W183" s="3">
        <v>267.77</v>
      </c>
      <c r="X183" s="123">
        <f>IF(Faturamento!$V688="Pago",IFERROR(W183-R183,0),0)</f>
        <v>0</v>
      </c>
      <c r="Y183" s="4"/>
      <c r="Z183" s="4"/>
      <c r="AA183" s="5"/>
      <c r="AB183" s="5"/>
      <c r="AI183"/>
    </row>
    <row r="184" spans="1:35" hidden="1" x14ac:dyDescent="0.3">
      <c r="A184" s="5" t="str">
        <f>VLOOKUP(B184,base!A:M,11,FALSE)</f>
        <v>TRIFÁSICO</v>
      </c>
      <c r="B184" t="s">
        <v>255</v>
      </c>
      <c r="C184" s="1">
        <v>0</v>
      </c>
      <c r="D184" s="60">
        <v>62955505182257</v>
      </c>
      <c r="E184" s="63" t="s">
        <v>433</v>
      </c>
      <c r="F184" t="s">
        <v>434</v>
      </c>
      <c r="G184" s="4">
        <v>45870</v>
      </c>
      <c r="H184" s="4" t="str">
        <f>Faturamento!$B765&amp;Faturamento!$G765</f>
        <v>10/987178-145658</v>
      </c>
      <c r="I184" t="s">
        <v>435</v>
      </c>
      <c r="J184">
        <v>344</v>
      </c>
      <c r="K184" s="3">
        <v>514.45142857142855</v>
      </c>
      <c r="L184" s="3">
        <v>436.4019053680903</v>
      </c>
      <c r="M184" s="5" t="str">
        <f>IF(Faturamento!$S765&lt;&gt;"","Não emitido",IF(Faturamento!$I765="NÃO","Pendente Fatura", IF(Faturamento!$R765&lt;&gt;"","Aprovado",IF(Faturamento!$O765&lt;&gt;0,"Pendente Emissão","Processo de Calculo"))))</f>
        <v>Aprovado</v>
      </c>
      <c r="N184" s="3">
        <v>345.41142857142859</v>
      </c>
      <c r="O184" s="3">
        <v>267.36</v>
      </c>
      <c r="P184" s="4">
        <v>45910</v>
      </c>
      <c r="Q184" s="4">
        <v>45920</v>
      </c>
      <c r="R184" s="3">
        <v>267.36</v>
      </c>
      <c r="S184"/>
      <c r="T184" s="51" t="s">
        <v>1426</v>
      </c>
      <c r="U184" s="51" t="s">
        <v>1427</v>
      </c>
      <c r="V184" t="s">
        <v>568</v>
      </c>
      <c r="W184" s="3">
        <v>345.41</v>
      </c>
      <c r="X184" s="123">
        <f>IF(Faturamento!$V749="Pago",IFERROR(W184-R184,0),0)</f>
        <v>78.050000000000011</v>
      </c>
      <c r="Y184" s="4">
        <v>45932</v>
      </c>
      <c r="Z184" s="4"/>
      <c r="AA184" s="5"/>
      <c r="AB184" s="5"/>
      <c r="AI184"/>
    </row>
    <row r="185" spans="1:35" hidden="1" x14ac:dyDescent="0.3">
      <c r="A185" s="5" t="str">
        <f>VLOOKUP(B185,base!A:M,11,FALSE)</f>
        <v>TRIFÁSICO</v>
      </c>
      <c r="B185" t="s">
        <v>315</v>
      </c>
      <c r="C185" s="1">
        <v>67996446178</v>
      </c>
      <c r="D185" s="60">
        <v>62955505359360</v>
      </c>
      <c r="E185" s="63" t="s">
        <v>433</v>
      </c>
      <c r="F185" t="s">
        <v>434</v>
      </c>
      <c r="G185" s="4">
        <v>45689</v>
      </c>
      <c r="H185" s="4" t="str">
        <f>Faturamento!$B179&amp;Faturamento!$G179</f>
        <v>10/399338-345901</v>
      </c>
      <c r="I185" t="s">
        <v>435</v>
      </c>
      <c r="J185" s="37">
        <v>350</v>
      </c>
      <c r="K185" s="53">
        <v>553.09</v>
      </c>
      <c r="L185" s="53">
        <v>464.05500000000006</v>
      </c>
      <c r="M185" s="5" t="str">
        <f>IF(Faturamento!$S179&lt;&gt;"","Não emitido",IF(Faturamento!$I179="NÃO","Pendente Fatura", IF(Faturamento!$R179&lt;&gt;"","Aprovado",IF(Faturamento!$O179&lt;&gt;0,"Pendente Emissão","Processo de Calculo"))))</f>
        <v>Aprovado</v>
      </c>
      <c r="N185" s="3">
        <v>356.14</v>
      </c>
      <c r="O185" s="3">
        <v>267.11</v>
      </c>
      <c r="P185" s="4"/>
      <c r="Q185" s="4"/>
      <c r="R185" s="3">
        <v>267.11</v>
      </c>
      <c r="S185"/>
      <c r="T185" s="51" t="s">
        <v>739</v>
      </c>
      <c r="U185" s="51"/>
      <c r="V185" t="s">
        <v>568</v>
      </c>
      <c r="W185" s="3">
        <v>267.11</v>
      </c>
      <c r="X185" s="123">
        <f>IF(Faturamento!$V687="Pago",IFERROR(W185-R185,0),0)</f>
        <v>0</v>
      </c>
      <c r="Y185" s="4"/>
      <c r="Z185" s="4"/>
      <c r="AA185" s="5"/>
      <c r="AB185" s="5"/>
      <c r="AI185"/>
    </row>
    <row r="186" spans="1:35" hidden="1" x14ac:dyDescent="0.3">
      <c r="A186" s="5" t="str">
        <f>VLOOKUP(B186,base!A:M,11,FALSE)</f>
        <v>TRIFÁSICO</v>
      </c>
      <c r="B186" t="s">
        <v>338</v>
      </c>
      <c r="C186" s="1" t="s">
        <v>341</v>
      </c>
      <c r="D186" s="60">
        <v>62955505122432</v>
      </c>
      <c r="E186" s="63" t="s">
        <v>433</v>
      </c>
      <c r="F186" t="s">
        <v>434</v>
      </c>
      <c r="G186" s="4">
        <v>45778</v>
      </c>
      <c r="H186" s="4" t="str">
        <f>Faturamento!$B485&amp;Faturamento!$G485</f>
        <v>10/3040565-845778</v>
      </c>
      <c r="I186" t="s">
        <v>435</v>
      </c>
      <c r="J186">
        <v>364</v>
      </c>
      <c r="K186" s="3">
        <v>628.42403508771929</v>
      </c>
      <c r="L186" s="3">
        <v>539.50302631578938</v>
      </c>
      <c r="M186" s="5" t="str">
        <f>IF(Faturamento!$S485&lt;&gt;"","Não emitido",IF(Faturamento!$I485="NÃO","Pendente Fatura", IF(Faturamento!$R485&lt;&gt;"","Aprovado",IF(Faturamento!$O485&lt;&gt;0,"Pendente Emissão","Processo de Calculo"))))</f>
        <v>Aprovado</v>
      </c>
      <c r="N186" s="3">
        <v>355.68403508771928</v>
      </c>
      <c r="O186" s="3">
        <v>266.76</v>
      </c>
      <c r="P186" s="4"/>
      <c r="Q186" s="4"/>
      <c r="R186" s="3">
        <v>266.76</v>
      </c>
      <c r="S186"/>
      <c r="T186" s="51" t="s">
        <v>973</v>
      </c>
      <c r="U186" s="51"/>
      <c r="V186" t="s">
        <v>568</v>
      </c>
      <c r="W186" s="3">
        <v>355.68</v>
      </c>
      <c r="X186" s="123">
        <f>IF(Faturamento!$V758="Pago",IFERROR(W186-R186,0),0)</f>
        <v>88.920000000000016</v>
      </c>
      <c r="Y186" s="4">
        <v>45926</v>
      </c>
      <c r="Z186" s="4"/>
      <c r="AA186" s="5"/>
      <c r="AB186" s="5"/>
      <c r="AI186"/>
    </row>
    <row r="187" spans="1:35" hidden="1" x14ac:dyDescent="0.3">
      <c r="A187" s="5" t="str">
        <f>VLOOKUP(B187,base!A:M,11,FALSE)</f>
        <v>TRIFÁSICO</v>
      </c>
      <c r="B187" s="37" t="s">
        <v>345</v>
      </c>
      <c r="C187" s="56" t="s">
        <v>346</v>
      </c>
      <c r="D187" s="59">
        <v>62955505402710</v>
      </c>
      <c r="E187" s="37" t="s">
        <v>433</v>
      </c>
      <c r="F187" s="37" t="s">
        <v>434</v>
      </c>
      <c r="G187" s="52">
        <v>45717</v>
      </c>
      <c r="H187" s="52" t="str">
        <f>Faturamento!$B256&amp;Faturamento!$G256</f>
        <v>10/3040565-845839</v>
      </c>
      <c r="I187" s="37" t="s">
        <v>435</v>
      </c>
      <c r="J187">
        <v>342</v>
      </c>
      <c r="K187" s="3">
        <v>554.96</v>
      </c>
      <c r="L187" s="3">
        <v>466.09750000000003</v>
      </c>
      <c r="M187" s="5" t="str">
        <f>IF(Faturamento!$S256&lt;&gt;"","Não emitido",IF(Faturamento!$I256="NÃO","Pendente Fatura", IF(Faturamento!$R256&lt;&gt;"","Aprovado",IF(Faturamento!$O256&lt;&gt;0,"Pendente Emissão","Processo de Calculo"))))</f>
        <v>Aprovado</v>
      </c>
      <c r="N187" s="53">
        <v>355.45</v>
      </c>
      <c r="O187" s="53">
        <v>266.58999999999997</v>
      </c>
      <c r="P187" s="52"/>
      <c r="Q187" s="52"/>
      <c r="R187" s="53">
        <v>266.58999999999997</v>
      </c>
      <c r="S187" s="37"/>
      <c r="T187" s="51" t="s">
        <v>796</v>
      </c>
      <c r="U187" s="51"/>
      <c r="V187" s="37" t="s">
        <v>568</v>
      </c>
      <c r="W187" s="53">
        <v>266.58999999999997</v>
      </c>
      <c r="X187" s="123">
        <f>IF(Faturamento!$V686="Pago",IFERROR(W187-R187,0),0)</f>
        <v>0</v>
      </c>
      <c r="Y187" s="52"/>
      <c r="Z187" s="52"/>
      <c r="AA187" s="5"/>
      <c r="AB187" s="5"/>
      <c r="AI187"/>
    </row>
    <row r="188" spans="1:35" hidden="1" x14ac:dyDescent="0.3">
      <c r="A188" s="5" t="str">
        <f>VLOOKUP(B188,base!A:M,11,FALSE)</f>
        <v>TRIFÁSICO</v>
      </c>
      <c r="B188" t="s">
        <v>290</v>
      </c>
      <c r="C188" s="1">
        <v>67992637973</v>
      </c>
      <c r="D188" s="60">
        <v>62955505354481</v>
      </c>
      <c r="E188" s="63" t="s">
        <v>433</v>
      </c>
      <c r="F188" t="s">
        <v>434</v>
      </c>
      <c r="G188" s="4">
        <v>45778</v>
      </c>
      <c r="H188" s="4" t="str">
        <f>Faturamento!$B487&amp;Faturamento!$G487</f>
        <v>10/280638-845778</v>
      </c>
      <c r="I188" t="s">
        <v>435</v>
      </c>
      <c r="J188">
        <v>364</v>
      </c>
      <c r="K188" s="3">
        <v>596.80471698113217</v>
      </c>
      <c r="L188" s="3">
        <v>508.0385377358491</v>
      </c>
      <c r="M188" s="5" t="str">
        <f>IF(Faturamento!$S487&lt;&gt;"","Não emitido",IF(Faturamento!$I487="NÃO","Pendente Fatura", IF(Faturamento!$R487&lt;&gt;"","Aprovado",IF(Faturamento!$O487&lt;&gt;0,"Pendente Emissão","Processo de Calculo"))))</f>
        <v>Aprovado</v>
      </c>
      <c r="N188" s="3">
        <v>355.06471698113211</v>
      </c>
      <c r="O188" s="3">
        <v>266.3</v>
      </c>
      <c r="P188" s="4"/>
      <c r="Q188" s="4"/>
      <c r="R188" s="3">
        <v>266.3</v>
      </c>
      <c r="S188"/>
      <c r="T188" s="51" t="s">
        <v>975</v>
      </c>
      <c r="U188" s="51"/>
      <c r="V188" t="s">
        <v>568</v>
      </c>
      <c r="W188" s="3">
        <v>266.3</v>
      </c>
      <c r="X188" s="123">
        <f>IF(Faturamento!$V685="Pago",IFERROR(W188-R188,0),0)</f>
        <v>0</v>
      </c>
      <c r="Y188" s="4"/>
      <c r="Z188" s="4"/>
      <c r="AA188" s="5"/>
      <c r="AB188" s="5"/>
      <c r="AI188"/>
    </row>
    <row r="189" spans="1:35" hidden="1" x14ac:dyDescent="0.3">
      <c r="A189" s="5" t="str">
        <f>VLOOKUP(B189,base!A:M,11,FALSE)</f>
        <v>TRIFÁSICO</v>
      </c>
      <c r="B189" s="37" t="s">
        <v>222</v>
      </c>
      <c r="C189" s="56">
        <v>67996150274</v>
      </c>
      <c r="D189" s="59">
        <v>62955505000167</v>
      </c>
      <c r="E189" s="37" t="s">
        <v>433</v>
      </c>
      <c r="F189" s="37" t="s">
        <v>434</v>
      </c>
      <c r="G189" s="52">
        <v>45778</v>
      </c>
      <c r="H189" s="52" t="str">
        <f>Faturamento!$B528&amp;Faturamento!$G528</f>
        <v>10/72605-945658</v>
      </c>
      <c r="I189" s="37" t="s">
        <v>435</v>
      </c>
      <c r="J189">
        <v>364</v>
      </c>
      <c r="K189" s="3">
        <v>607.70000000000005</v>
      </c>
      <c r="L189" s="3">
        <v>518.94250000000011</v>
      </c>
      <c r="M189" s="5" t="str">
        <f>IF(Faturamento!$S528&lt;&gt;"","Não emitido",IF(Faturamento!$I528="NÃO","Pendente Fatura", IF(Faturamento!$R528&lt;&gt;"","Aprovado",IF(Faturamento!$O528&lt;&gt;0,"Pendente Emissão","Processo de Calculo"))))</f>
        <v>Aprovado</v>
      </c>
      <c r="N189" s="53">
        <v>355.03</v>
      </c>
      <c r="O189" s="53">
        <v>266.27</v>
      </c>
      <c r="P189" s="52"/>
      <c r="Q189" s="52"/>
      <c r="R189" s="53">
        <v>266.27</v>
      </c>
      <c r="S189" s="37"/>
      <c r="T189" s="51" t="s">
        <v>1011</v>
      </c>
      <c r="U189" s="51"/>
      <c r="V189" s="37" t="s">
        <v>568</v>
      </c>
      <c r="W189" s="53">
        <v>355.03</v>
      </c>
      <c r="X189" s="123">
        <f>IF(Faturamento!$V757="Pago",IFERROR(W189-R189,0),0)</f>
        <v>88.759999999999991</v>
      </c>
      <c r="Y189" s="52">
        <v>45925</v>
      </c>
      <c r="Z189" s="52"/>
      <c r="AA189" s="5"/>
      <c r="AB189" s="5"/>
      <c r="AI189"/>
    </row>
    <row r="190" spans="1:35" hidden="1" x14ac:dyDescent="0.3">
      <c r="A190" s="5" t="str">
        <f>VLOOKUP(B190,base!A:M,11,FALSE)</f>
        <v>TRIFÁSICO</v>
      </c>
      <c r="B190" s="37" t="s">
        <v>146</v>
      </c>
      <c r="C190" s="56">
        <v>67991306665</v>
      </c>
      <c r="D190" s="59">
        <v>62955505379395</v>
      </c>
      <c r="E190" s="37" t="s">
        <v>433</v>
      </c>
      <c r="F190" s="37" t="s">
        <v>434</v>
      </c>
      <c r="G190" s="52">
        <v>45717</v>
      </c>
      <c r="H190" s="52" t="str">
        <f>Faturamento!$B306&amp;Faturamento!$G306</f>
        <v>10/1698130-045717</v>
      </c>
      <c r="I190" s="37" t="s">
        <v>435</v>
      </c>
      <c r="J190">
        <v>361</v>
      </c>
      <c r="K190" s="3">
        <v>513.48</v>
      </c>
      <c r="L190" s="3">
        <v>425.57</v>
      </c>
      <c r="M190" s="5" t="str">
        <f>IF(Faturamento!$S306&lt;&gt;"","Não emitido",IF(Faturamento!$I306="NÃO","Pendente Fatura", IF(Faturamento!$R306&lt;&gt;"","Aprovado",IF(Faturamento!$O306&lt;&gt;0,"Pendente Emissão","Processo de Calculo"))))</f>
        <v>Aprovado</v>
      </c>
      <c r="N190" s="53">
        <v>351.64000000000004</v>
      </c>
      <c r="O190" s="53">
        <v>263.73</v>
      </c>
      <c r="P190" s="52"/>
      <c r="Q190" s="52"/>
      <c r="R190" s="53">
        <v>263.73</v>
      </c>
      <c r="S190" s="37"/>
      <c r="T190" s="51" t="s">
        <v>829</v>
      </c>
      <c r="U190" s="51"/>
      <c r="V190" s="37" t="s">
        <v>568</v>
      </c>
      <c r="W190" s="53">
        <v>263.73</v>
      </c>
      <c r="X190" s="123">
        <f>IF(Faturamento!$V683="Pago",IFERROR(W190-R190,0),0)</f>
        <v>0</v>
      </c>
      <c r="Y190" s="52"/>
      <c r="Z190" s="52"/>
      <c r="AA190" s="5"/>
      <c r="AB190" s="5"/>
      <c r="AI190"/>
    </row>
    <row r="191" spans="1:35" hidden="1" x14ac:dyDescent="0.3">
      <c r="A191" s="5" t="str">
        <f>VLOOKUP(B191,base!A:M,11,FALSE)</f>
        <v>TRIFÁSICO</v>
      </c>
      <c r="B191" t="s">
        <v>285</v>
      </c>
      <c r="C191" s="1">
        <v>67996266684</v>
      </c>
      <c r="D191" s="60">
        <v>62955505016080</v>
      </c>
      <c r="E191" s="63" t="s">
        <v>433</v>
      </c>
      <c r="F191" t="s">
        <v>434</v>
      </c>
      <c r="G191" s="4">
        <v>45748</v>
      </c>
      <c r="H191" s="4" t="str">
        <f>Faturamento!$B389&amp;Faturamento!$G389</f>
        <v>10/3030784-745809</v>
      </c>
      <c r="I191" t="s">
        <v>435</v>
      </c>
      <c r="J191" s="37">
        <v>361</v>
      </c>
      <c r="K191" s="53">
        <v>598.17999999999995</v>
      </c>
      <c r="L191" s="53">
        <v>510.27</v>
      </c>
      <c r="M191" s="5" t="str">
        <f>IF(Faturamento!$S389&lt;&gt;"","Não emitido",IF(Faturamento!$I389="NÃO","Pendente Fatura", IF(Faturamento!$R389&lt;&gt;"","Aprovado",IF(Faturamento!$O389&lt;&gt;0,"Pendente Emissão","Processo de Calculo"))))</f>
        <v>Aprovado</v>
      </c>
      <c r="N191" s="3">
        <v>351.64000000000004</v>
      </c>
      <c r="O191" s="3">
        <v>263.73</v>
      </c>
      <c r="P191" s="4"/>
      <c r="Q191" s="4"/>
      <c r="R191" s="3">
        <v>263.73</v>
      </c>
      <c r="S191"/>
      <c r="T191" s="51" t="s">
        <v>887</v>
      </c>
      <c r="U191" s="51"/>
      <c r="V191" t="s">
        <v>568</v>
      </c>
      <c r="W191" s="3">
        <v>263.73</v>
      </c>
      <c r="X191" s="123">
        <f>IF(Faturamento!$V684="Pago",IFERROR(W191-R191,0),0)</f>
        <v>0</v>
      </c>
      <c r="Y191" s="4"/>
      <c r="Z191" s="4"/>
      <c r="AA191" s="5"/>
      <c r="AB191" s="5"/>
      <c r="AI191"/>
    </row>
    <row r="192" spans="1:35" hidden="1" x14ac:dyDescent="0.3">
      <c r="A192" s="5" t="str">
        <f>VLOOKUP(B192,base!A:M,11,FALSE)</f>
        <v>BIFÁSICO</v>
      </c>
      <c r="B192" s="37" t="s">
        <v>127</v>
      </c>
      <c r="C192" s="56">
        <v>67996446178</v>
      </c>
      <c r="D192" s="59">
        <v>62955505016918</v>
      </c>
      <c r="E192" s="37" t="s">
        <v>433</v>
      </c>
      <c r="F192" s="37" t="s">
        <v>434</v>
      </c>
      <c r="G192" s="52">
        <v>45748</v>
      </c>
      <c r="H192" s="52" t="str">
        <f>Faturamento!$B386&amp;Faturamento!$G386</f>
        <v>10/952579-145901</v>
      </c>
      <c r="I192" s="37" t="s">
        <v>435</v>
      </c>
      <c r="J192" s="37">
        <v>361</v>
      </c>
      <c r="K192" s="53">
        <v>604.81999999999994</v>
      </c>
      <c r="L192" s="53">
        <v>516.91</v>
      </c>
      <c r="M192" s="5" t="str">
        <f>IF(Faturamento!$S386&lt;&gt;"","Não emitido",IF(Faturamento!$I386="NÃO","Pendente Fatura", IF(Faturamento!$R386&lt;&gt;"","Aprovado",IF(Faturamento!$O386&lt;&gt;0,"Pendente Emissão","Processo de Calculo"))))</f>
        <v>Aprovado</v>
      </c>
      <c r="N192" s="53">
        <v>351.64000000000004</v>
      </c>
      <c r="O192" s="53">
        <v>263.73</v>
      </c>
      <c r="P192" s="52"/>
      <c r="Q192" s="52"/>
      <c r="R192" s="53">
        <v>263.73</v>
      </c>
      <c r="S192" s="37"/>
      <c r="T192" s="51" t="s">
        <v>884</v>
      </c>
      <c r="U192" s="51" t="e">
        <v>#N/A</v>
      </c>
      <c r="V192" s="37" t="s">
        <v>568</v>
      </c>
      <c r="W192" s="53">
        <v>351.64</v>
      </c>
      <c r="X192" s="123">
        <f>IF(Faturamento!$V753="Pago",IFERROR(W192-R192,0),0)</f>
        <v>87.909999999999968</v>
      </c>
      <c r="Y192" s="4">
        <v>45929</v>
      </c>
      <c r="Z192" s="4"/>
      <c r="AA192" s="5"/>
      <c r="AB192" s="5"/>
      <c r="AI192"/>
    </row>
    <row r="193" spans="1:35" hidden="1" x14ac:dyDescent="0.3">
      <c r="A193" s="5" t="str">
        <f>VLOOKUP(B193,base!A:M,11,FALSE)</f>
        <v>TRIFÁSICO</v>
      </c>
      <c r="B193" s="37" t="s">
        <v>255</v>
      </c>
      <c r="C193" s="56">
        <v>67999361728</v>
      </c>
      <c r="D193" s="59">
        <v>62955505182257</v>
      </c>
      <c r="E193" s="37" t="s">
        <v>433</v>
      </c>
      <c r="F193" s="37" t="s">
        <v>434</v>
      </c>
      <c r="G193" s="52">
        <v>45748</v>
      </c>
      <c r="H193" s="52" t="str">
        <f>Faturamento!$B394&amp;Faturamento!$G394</f>
        <v>10/1939035-045778</v>
      </c>
      <c r="I193" s="37" t="s">
        <v>435</v>
      </c>
      <c r="J193" s="37">
        <v>361</v>
      </c>
      <c r="K193" s="53">
        <v>652.91</v>
      </c>
      <c r="L193" s="53">
        <v>565.00000019499998</v>
      </c>
      <c r="M193" s="5" t="str">
        <f>IF(Faturamento!$S394&lt;&gt;"","Não emitido",IF(Faturamento!$I394="NÃO","Pendente Fatura", IF(Faturamento!$R394&lt;&gt;"","Aprovado",IF(Faturamento!$O394&lt;&gt;0,"Pendente Emissão","Processo de Calculo"))))</f>
        <v>Aprovado</v>
      </c>
      <c r="N193" s="53">
        <v>351.63999921999999</v>
      </c>
      <c r="O193" s="53">
        <v>263.73</v>
      </c>
      <c r="P193" s="52"/>
      <c r="Q193" s="52"/>
      <c r="R193" s="53">
        <v>263.73</v>
      </c>
      <c r="S193" s="37"/>
      <c r="T193" s="51" t="s">
        <v>892</v>
      </c>
      <c r="U193" s="51" t="e">
        <v>#N/A</v>
      </c>
      <c r="V193" s="37" t="s">
        <v>568</v>
      </c>
      <c r="W193" s="53">
        <v>351.64</v>
      </c>
      <c r="X193" s="123">
        <f>IF(Faturamento!$V754="Pago",IFERROR(W193-R193,0),0)</f>
        <v>87.909999999999968</v>
      </c>
      <c r="Y193" s="52">
        <v>45932</v>
      </c>
      <c r="Z193" s="52"/>
      <c r="AA193" s="5"/>
      <c r="AB193" s="5"/>
      <c r="AI193"/>
    </row>
    <row r="194" spans="1:35" hidden="1" x14ac:dyDescent="0.3">
      <c r="A194" s="5" t="str">
        <f>VLOOKUP(B194,base!A:M,11,FALSE)</f>
        <v>BIFÁSICO</v>
      </c>
      <c r="B194" s="37" t="s">
        <v>161</v>
      </c>
      <c r="C194" s="56">
        <v>67992899434</v>
      </c>
      <c r="D194" s="59">
        <v>62955505113875</v>
      </c>
      <c r="E194" s="37" t="s">
        <v>433</v>
      </c>
      <c r="F194" s="37" t="s">
        <v>434</v>
      </c>
      <c r="G194" s="52">
        <v>45748</v>
      </c>
      <c r="H194" s="52" t="str">
        <f>Faturamento!$B384&amp;Faturamento!$G384</f>
        <v>10/1117293-945658</v>
      </c>
      <c r="I194" s="37" t="s">
        <v>435</v>
      </c>
      <c r="J194" s="37">
        <v>361</v>
      </c>
      <c r="K194" s="53">
        <v>582.72</v>
      </c>
      <c r="L194" s="53">
        <v>494.93249999999995</v>
      </c>
      <c r="M194" s="5" t="str">
        <f>IF(Faturamento!$S384&lt;&gt;"","Não emitido",IF(Faturamento!$I384="NÃO","Pendente Fatura", IF(Faturamento!$R384&lt;&gt;"","Aprovado",IF(Faturamento!$O384&lt;&gt;0,"Pendente Emissão","Processo de Calculo"))))</f>
        <v>Aprovado</v>
      </c>
      <c r="N194" s="53">
        <v>351.15000000000003</v>
      </c>
      <c r="O194" s="53">
        <v>263.36</v>
      </c>
      <c r="P194" s="52"/>
      <c r="Q194" s="52"/>
      <c r="R194" s="53">
        <v>263.36</v>
      </c>
      <c r="S194" s="37"/>
      <c r="T194" s="51" t="s">
        <v>882</v>
      </c>
      <c r="U194" s="51" t="e">
        <v>#N/A</v>
      </c>
      <c r="V194" s="37" t="s">
        <v>568</v>
      </c>
      <c r="W194" s="53">
        <v>351.15</v>
      </c>
      <c r="X194" s="123">
        <f>IF(Faturamento!$V752="Pago",IFERROR(W194-R194,0),0)</f>
        <v>87.789999999999964</v>
      </c>
      <c r="Y194" s="52">
        <v>45933</v>
      </c>
      <c r="Z194" s="52"/>
      <c r="AA194" s="5"/>
      <c r="AB194" s="5"/>
      <c r="AI194"/>
    </row>
    <row r="195" spans="1:35" hidden="1" x14ac:dyDescent="0.3">
      <c r="A195" s="5" t="str">
        <f>VLOOKUP(B195,base!A:M,11,FALSE)</f>
        <v>BIFÁSICO</v>
      </c>
      <c r="B195" t="s">
        <v>353</v>
      </c>
      <c r="C195" s="56">
        <v>0</v>
      </c>
      <c r="D195">
        <v>62955505016403</v>
      </c>
      <c r="E195" s="37" t="s">
        <v>433</v>
      </c>
      <c r="F195" t="s">
        <v>108</v>
      </c>
      <c r="G195" s="4">
        <v>45931</v>
      </c>
      <c r="H195" s="52" t="str">
        <f>Faturamento!$B901&amp;Faturamento!$G901</f>
        <v>10/2338577-645717</v>
      </c>
      <c r="I195" s="37" t="s">
        <v>435</v>
      </c>
      <c r="J195">
        <v>367</v>
      </c>
      <c r="K195" s="3">
        <v>417.69</v>
      </c>
      <c r="L195" s="3">
        <v>316.97471184667899</v>
      </c>
      <c r="M195" s="5" t="s">
        <v>1489</v>
      </c>
      <c r="N195" s="53">
        <v>360.11</v>
      </c>
      <c r="O195" s="53">
        <v>259.39</v>
      </c>
      <c r="P195" s="52">
        <v>45967</v>
      </c>
      <c r="Q195" s="52">
        <v>45974</v>
      </c>
      <c r="R195" s="53">
        <v>259.39</v>
      </c>
      <c r="S195" s="37"/>
      <c r="T195" s="3" t="str">
        <f>D195&amp;R195</f>
        <v>62955505016403259,39</v>
      </c>
      <c r="U195" s="3" t="s">
        <v>1713</v>
      </c>
      <c r="V195" s="37" t="s">
        <v>568</v>
      </c>
      <c r="W195" s="13">
        <f>R195</f>
        <v>259.39</v>
      </c>
      <c r="X195" s="124">
        <f>IF(Faturamento!$V903="Pago",IFERROR(W195-R195,0),0)</f>
        <v>0</v>
      </c>
    </row>
    <row r="196" spans="1:35" hidden="1" x14ac:dyDescent="0.3">
      <c r="A196" s="5" t="str">
        <f>VLOOKUP(B196,base!A:M,11,FALSE)</f>
        <v>TRIFÁSICO</v>
      </c>
      <c r="B196" t="s">
        <v>247</v>
      </c>
      <c r="C196" s="56">
        <v>67999050448</v>
      </c>
      <c r="D196">
        <v>62955505375721</v>
      </c>
      <c r="E196" s="37" t="s">
        <v>433</v>
      </c>
      <c r="F196" t="s">
        <v>108</v>
      </c>
      <c r="G196" s="4">
        <v>45931</v>
      </c>
      <c r="H196" s="52" t="str">
        <f>Faturamento!$B905&amp;Faturamento!$G905</f>
        <v>10/512142-145717</v>
      </c>
      <c r="I196" s="37" t="s">
        <v>435</v>
      </c>
      <c r="J196">
        <v>342</v>
      </c>
      <c r="K196" s="3">
        <v>520.62372093023248</v>
      </c>
      <c r="L196" s="3">
        <v>420.2513975650819</v>
      </c>
      <c r="M196" s="5" t="s">
        <v>1489</v>
      </c>
      <c r="N196" s="53">
        <v>358.88372093023258</v>
      </c>
      <c r="O196" s="53">
        <v>258.51</v>
      </c>
      <c r="P196" s="52">
        <v>45967</v>
      </c>
      <c r="Q196" s="52">
        <v>45974</v>
      </c>
      <c r="R196" s="53">
        <v>258.51</v>
      </c>
      <c r="S196" s="37"/>
      <c r="T196" s="3" t="str">
        <f>D196&amp;R196</f>
        <v>62955505375721258,51</v>
      </c>
      <c r="U196" s="3" t="s">
        <v>1717</v>
      </c>
      <c r="V196" s="37" t="s">
        <v>568</v>
      </c>
      <c r="W196">
        <v>258.51</v>
      </c>
      <c r="X196" s="124">
        <f>IF(Faturamento!$V907="Pago",IFERROR(W196-R196,0),0)</f>
        <v>0</v>
      </c>
      <c r="Y196" s="175">
        <v>45975</v>
      </c>
      <c r="Z196" s="175"/>
    </row>
    <row r="197" spans="1:35" hidden="1" x14ac:dyDescent="0.3">
      <c r="A197" s="5" t="str">
        <f>VLOOKUP(B197,base!A:M,11,FALSE)</f>
        <v>BIFÁSICO</v>
      </c>
      <c r="B197" s="37" t="s">
        <v>107</v>
      </c>
      <c r="C197" s="126">
        <f>VLOOKUP(B197,Base_Clientes[[INSTALAÇÃO]:[TELEFONE]],10,0)</f>
        <v>6792157907</v>
      </c>
      <c r="D197" s="59">
        <v>62955505878987</v>
      </c>
      <c r="E197" s="37" t="s">
        <v>433</v>
      </c>
      <c r="F197" s="37" t="s">
        <v>434</v>
      </c>
      <c r="G197" s="52">
        <v>45901</v>
      </c>
      <c r="H197" s="52" t="str">
        <f>Faturamento!$B816&amp;Faturamento!$G816</f>
        <v>10/511753-645627</v>
      </c>
      <c r="I197" s="37" t="s">
        <v>435</v>
      </c>
      <c r="J197">
        <v>145</v>
      </c>
      <c r="K197" s="3">
        <v>302.64299999999997</v>
      </c>
      <c r="L197" s="3">
        <v>255.59785734771339</v>
      </c>
      <c r="M197" s="5" t="s">
        <v>1489</v>
      </c>
      <c r="N197" s="53">
        <v>175.16300000000001</v>
      </c>
      <c r="O197" s="53">
        <v>128.12</v>
      </c>
      <c r="P197" s="52">
        <v>45933</v>
      </c>
      <c r="Q197" s="52">
        <v>45943</v>
      </c>
      <c r="R197" s="53">
        <f>O197</f>
        <v>128.12</v>
      </c>
      <c r="S197" s="37"/>
      <c r="T197" s="51" t="s">
        <v>1516</v>
      </c>
      <c r="U197" s="51" t="s">
        <v>1517</v>
      </c>
      <c r="V197" s="37" t="s">
        <v>369</v>
      </c>
      <c r="W197" s="53"/>
      <c r="X197" s="123">
        <f>IF(Faturamento!$V873="Pago",IFERROR(W197-R197,0),0)</f>
        <v>0</v>
      </c>
      <c r="Y197" s="52"/>
      <c r="Z197" s="196" t="s">
        <v>1795</v>
      </c>
      <c r="AA197" s="5"/>
      <c r="AB197" s="5"/>
      <c r="AI197"/>
    </row>
    <row r="198" spans="1:35" hidden="1" x14ac:dyDescent="0.3">
      <c r="A198" s="5" t="str">
        <f>VLOOKUP(B198,base!A:M,11,FALSE)</f>
        <v>BIFÁSICO</v>
      </c>
      <c r="B198" s="37" t="s">
        <v>130</v>
      </c>
      <c r="C198" s="126" t="str">
        <f>VLOOKUP(B198,Base_Clientes[[INSTALAÇÃO]:[TELEFONE]],10,0)</f>
        <v>67 91751433</v>
      </c>
      <c r="D198" s="59">
        <v>62955505000167</v>
      </c>
      <c r="E198" s="37" t="s">
        <v>433</v>
      </c>
      <c r="F198" s="37" t="s">
        <v>434</v>
      </c>
      <c r="G198" s="52">
        <v>45901</v>
      </c>
      <c r="H198" s="52" t="str">
        <f>Faturamento!$B866&amp;Faturamento!$G866</f>
        <v>10/2338577-645689</v>
      </c>
      <c r="I198" s="37" t="s">
        <v>435</v>
      </c>
      <c r="J198">
        <v>140</v>
      </c>
      <c r="K198" s="3">
        <v>462.6951028806584</v>
      </c>
      <c r="L198" s="3">
        <v>423.16961371651411</v>
      </c>
      <c r="M198" s="5" t="s">
        <v>1489</v>
      </c>
      <c r="N198" s="53">
        <v>147.16510288065842</v>
      </c>
      <c r="O198" s="53">
        <v>107.64</v>
      </c>
      <c r="P198" s="52">
        <v>45933</v>
      </c>
      <c r="Q198" s="52">
        <v>45943</v>
      </c>
      <c r="R198" s="53">
        <f>O198</f>
        <v>107.64</v>
      </c>
      <c r="S198" s="37"/>
      <c r="T198" s="51" t="s">
        <v>1611</v>
      </c>
      <c r="U198" s="51" t="s">
        <v>1612</v>
      </c>
      <c r="V198" s="37" t="s">
        <v>369</v>
      </c>
      <c r="W198" s="53"/>
      <c r="X198" s="123">
        <f>IF(Faturamento!$V885="Pago",IFERROR(W198-R198,0),0)</f>
        <v>0</v>
      </c>
      <c r="Y198" s="52"/>
      <c r="Z198" s="196" t="s">
        <v>1795</v>
      </c>
      <c r="AA198" s="5"/>
      <c r="AB198" s="5"/>
      <c r="AI198"/>
    </row>
    <row r="199" spans="1:35" hidden="1" x14ac:dyDescent="0.3">
      <c r="A199" s="5" t="str">
        <f>VLOOKUP(B199,base!A:M,11,FALSE)</f>
        <v>TRIFÁSICO</v>
      </c>
      <c r="B199" t="s">
        <v>230</v>
      </c>
      <c r="C199" s="56" t="s">
        <v>175</v>
      </c>
      <c r="D199">
        <v>62955505843253</v>
      </c>
      <c r="E199" s="37" t="s">
        <v>433</v>
      </c>
      <c r="F199" t="s">
        <v>108</v>
      </c>
      <c r="G199" s="4">
        <v>45931</v>
      </c>
      <c r="H199" s="52" t="str">
        <f>Faturamento!$B920&amp;Faturamento!$G920</f>
        <v>10/512142-145748</v>
      </c>
      <c r="I199" s="37" t="s">
        <v>435</v>
      </c>
      <c r="J199">
        <v>334</v>
      </c>
      <c r="K199" s="3">
        <v>522.48818181818183</v>
      </c>
      <c r="L199" s="3">
        <v>423.8681996185253</v>
      </c>
      <c r="M199" s="5" t="s">
        <v>1489</v>
      </c>
      <c r="N199" s="53">
        <v>352.61818181818182</v>
      </c>
      <c r="O199" s="53">
        <v>254</v>
      </c>
      <c r="P199" s="52">
        <v>45967</v>
      </c>
      <c r="Q199" s="52">
        <v>45974</v>
      </c>
      <c r="R199" s="53">
        <v>254</v>
      </c>
      <c r="S199" s="37"/>
      <c r="T199" s="3" t="str">
        <f>D199&amp;R199</f>
        <v>62955505843253254</v>
      </c>
      <c r="U199" s="3" t="s">
        <v>1732</v>
      </c>
      <c r="V199" s="37" t="s">
        <v>568</v>
      </c>
      <c r="W199" s="13">
        <f>R199</f>
        <v>254</v>
      </c>
      <c r="X199" s="124">
        <f>IF(Faturamento!$V922="Pago",IFERROR(W199-R199,0),0)</f>
        <v>0</v>
      </c>
    </row>
    <row r="200" spans="1:35" hidden="1" x14ac:dyDescent="0.3">
      <c r="A200" s="5" t="str">
        <f>VLOOKUP(B200,base!A:M,11,FALSE)</f>
        <v>TRIFÁSICO</v>
      </c>
      <c r="B200" t="s">
        <v>118</v>
      </c>
      <c r="C200" s="1">
        <v>0</v>
      </c>
      <c r="D200" s="60">
        <v>62955505182257</v>
      </c>
      <c r="E200" s="63" t="s">
        <v>433</v>
      </c>
      <c r="F200" t="s">
        <v>434</v>
      </c>
      <c r="G200" s="4">
        <v>45901</v>
      </c>
      <c r="H200" s="4" t="str">
        <f>Faturamento!$B817&amp;Faturamento!$G817</f>
        <v>10/513413-545627</v>
      </c>
      <c r="I200" t="s">
        <v>435</v>
      </c>
      <c r="J200">
        <v>286</v>
      </c>
      <c r="K200" s="3">
        <v>540.70839999999998</v>
      </c>
      <c r="L200" s="3">
        <v>447.91470775827781</v>
      </c>
      <c r="M200" s="5" t="s">
        <v>1489</v>
      </c>
      <c r="N200" s="3">
        <v>345.4984</v>
      </c>
      <c r="O200" s="3">
        <v>252.7</v>
      </c>
      <c r="P200" s="4">
        <v>45933</v>
      </c>
      <c r="Q200" s="4">
        <v>45943</v>
      </c>
      <c r="R200" s="3">
        <f>O200</f>
        <v>252.7</v>
      </c>
      <c r="S200"/>
      <c r="T200" s="51" t="s">
        <v>1518</v>
      </c>
      <c r="U200" s="51" t="s">
        <v>1519</v>
      </c>
      <c r="V200" t="s">
        <v>568</v>
      </c>
      <c r="W200" s="3">
        <f>R200</f>
        <v>252.7</v>
      </c>
      <c r="X200" s="123">
        <f>IF(Faturamento!$V682="Pago",IFERROR(W200-R200,0),0)</f>
        <v>0</v>
      </c>
      <c r="Y200" s="4"/>
      <c r="Z200" s="4"/>
      <c r="AA200" s="5"/>
      <c r="AB200" s="5"/>
      <c r="AI200"/>
    </row>
    <row r="201" spans="1:35" hidden="1" x14ac:dyDescent="0.3">
      <c r="A201" s="5" t="str">
        <f>VLOOKUP(B201,base!A:M,11,FALSE)</f>
        <v>TRIFÁSICO</v>
      </c>
      <c r="B201" s="37" t="s">
        <v>345</v>
      </c>
      <c r="C201" s="56" t="s">
        <v>346</v>
      </c>
      <c r="D201" s="59">
        <v>62955505402710</v>
      </c>
      <c r="E201" s="37" t="s">
        <v>433</v>
      </c>
      <c r="F201" s="37" t="s">
        <v>434</v>
      </c>
      <c r="G201" s="52">
        <v>45778</v>
      </c>
      <c r="H201" s="52" t="str">
        <f>Faturamento!$B450&amp;Faturamento!$G450</f>
        <v>10/452884-045658</v>
      </c>
      <c r="I201" s="37" t="s">
        <v>435</v>
      </c>
      <c r="J201">
        <v>306</v>
      </c>
      <c r="K201" s="3">
        <v>517.02093023255816</v>
      </c>
      <c r="L201" s="3">
        <v>433.27069767441861</v>
      </c>
      <c r="M201" s="5" t="str">
        <f>IF(Faturamento!$S450&lt;&gt;"","Não emitido",IF(Faturamento!$I450="NÃO","Pendente Fatura", IF(Faturamento!$R450&lt;&gt;"","Aprovado",IF(Faturamento!$O450&lt;&gt;0,"Pendente Emissão","Processo de Calculo"))))</f>
        <v>Aprovado</v>
      </c>
      <c r="N201" s="53">
        <v>335.00093023255818</v>
      </c>
      <c r="O201" s="53">
        <v>251.25</v>
      </c>
      <c r="P201" s="52"/>
      <c r="Q201" s="52"/>
      <c r="R201" s="53">
        <v>251.25</v>
      </c>
      <c r="S201" s="37"/>
      <c r="T201" s="51" t="s">
        <v>944</v>
      </c>
      <c r="U201" s="51"/>
      <c r="V201" s="37" t="s">
        <v>568</v>
      </c>
      <c r="W201" s="53">
        <v>251.25</v>
      </c>
      <c r="X201" s="123">
        <f>IF(Faturamento!$V681="Pago",IFERROR(W201-R201,0),0)</f>
        <v>0</v>
      </c>
      <c r="Y201" s="52"/>
      <c r="Z201" s="52"/>
      <c r="AA201" s="5"/>
      <c r="AB201" s="5"/>
      <c r="AI201"/>
    </row>
    <row r="202" spans="1:35" hidden="1" x14ac:dyDescent="0.3">
      <c r="A202" s="5" t="str">
        <f>VLOOKUP(B202,base!A:M,11,FALSE)</f>
        <v>TRIFÁSICO</v>
      </c>
      <c r="B202" t="s">
        <v>236</v>
      </c>
      <c r="C202" s="1">
        <v>67996266684</v>
      </c>
      <c r="D202" s="60">
        <v>62955505067660</v>
      </c>
      <c r="E202" s="63" t="s">
        <v>433</v>
      </c>
      <c r="F202" t="s">
        <v>434</v>
      </c>
      <c r="G202" s="4">
        <v>45809</v>
      </c>
      <c r="H202" s="4" t="str">
        <f>Faturamento!$B533&amp;Faturamento!$G533</f>
        <v>10/395471-645870</v>
      </c>
      <c r="I202" t="s">
        <v>435</v>
      </c>
      <c r="J202" s="37">
        <v>288</v>
      </c>
      <c r="K202" s="53">
        <v>451.28960000000001</v>
      </c>
      <c r="L202" s="53">
        <v>371.81426417860303</v>
      </c>
      <c r="M202" s="5" t="str">
        <f>IF(Faturamento!$S533&lt;&gt;"","Não emitido",IF(Faturamento!$I533="NÃO","Pendente Fatura", IF(Faturamento!$R533&lt;&gt;"","Aprovado",IF(Faturamento!$O533&lt;&gt;0,"Pendente Emissão","Processo de Calculo"))))</f>
        <v>Aprovado</v>
      </c>
      <c r="N202" s="3">
        <v>334.9796</v>
      </c>
      <c r="O202" s="3">
        <v>251.23</v>
      </c>
      <c r="P202" s="4">
        <v>45860</v>
      </c>
      <c r="Q202" s="4">
        <v>45871</v>
      </c>
      <c r="R202" s="3">
        <v>251.23</v>
      </c>
      <c r="S202"/>
      <c r="T202" s="51" t="s">
        <v>1021</v>
      </c>
      <c r="U202" s="51" t="s">
        <v>1022</v>
      </c>
      <c r="V202" t="s">
        <v>568</v>
      </c>
      <c r="W202" s="3">
        <v>251.23</v>
      </c>
      <c r="X202" s="123">
        <f>IF(Faturamento!$V680="Pago",IFERROR(W202-R202,0),0)</f>
        <v>0</v>
      </c>
      <c r="Y202" s="4" t="s">
        <v>1018</v>
      </c>
      <c r="Z202" s="4"/>
      <c r="AA202" s="5"/>
      <c r="AB202" s="5"/>
      <c r="AI202"/>
    </row>
    <row r="203" spans="1:35" hidden="1" x14ac:dyDescent="0.3">
      <c r="A203" s="5" t="str">
        <f>VLOOKUP(B203,base!A:M,11,FALSE)</f>
        <v>TRIFÁSICO</v>
      </c>
      <c r="B203" t="s">
        <v>171</v>
      </c>
      <c r="C203" s="1">
        <v>67996266684</v>
      </c>
      <c r="D203" s="60">
        <v>62955505312487</v>
      </c>
      <c r="E203" s="63" t="s">
        <v>433</v>
      </c>
      <c r="F203" t="s">
        <v>434</v>
      </c>
      <c r="G203" s="4">
        <v>45748</v>
      </c>
      <c r="H203" s="4" t="str">
        <f>Faturamento!$B387&amp;Faturamento!$G387</f>
        <v>10/466560-045839</v>
      </c>
      <c r="I203" t="s">
        <v>435</v>
      </c>
      <c r="J203" s="37">
        <v>344</v>
      </c>
      <c r="K203" s="53">
        <v>432.94</v>
      </c>
      <c r="L203" s="53">
        <v>349.26749999999998</v>
      </c>
      <c r="M203" s="5" t="str">
        <f>IF(Faturamento!$S387&lt;&gt;"","Não emitido",IF(Faturamento!$I387="NÃO","Pendente Fatura", IF(Faturamento!$R387&lt;&gt;"","Aprovado",IF(Faturamento!$O387&lt;&gt;0,"Pendente Emissão","Processo de Calculo"))))</f>
        <v>Aprovado</v>
      </c>
      <c r="N203" s="3">
        <v>334.69</v>
      </c>
      <c r="O203" s="3">
        <v>251.02</v>
      </c>
      <c r="P203" s="4"/>
      <c r="Q203" s="4"/>
      <c r="R203" s="3">
        <v>251.02</v>
      </c>
      <c r="S203"/>
      <c r="T203" s="51" t="s">
        <v>885</v>
      </c>
      <c r="U203" s="51"/>
      <c r="V203" t="s">
        <v>568</v>
      </c>
      <c r="W203" s="3">
        <v>251.02</v>
      </c>
      <c r="X203" s="123">
        <f>IF(Faturamento!$V679="Pago",IFERROR(W203-R203,0),0)</f>
        <v>0</v>
      </c>
      <c r="Y203" s="4"/>
      <c r="Z203" s="4"/>
      <c r="AA203" s="5"/>
      <c r="AB203" s="5"/>
      <c r="AI203"/>
    </row>
    <row r="204" spans="1:35" hidden="1" x14ac:dyDescent="0.3">
      <c r="A204" s="5" t="str">
        <f>VLOOKUP(B204,base!A:M,11,FALSE)</f>
        <v>TRIFÁSICO</v>
      </c>
      <c r="B204" s="37" t="s">
        <v>236</v>
      </c>
      <c r="C204" s="56">
        <v>0</v>
      </c>
      <c r="D204" s="59">
        <v>62955505067660</v>
      </c>
      <c r="E204" s="37" t="s">
        <v>433</v>
      </c>
      <c r="F204" s="37" t="s">
        <v>434</v>
      </c>
      <c r="G204" s="52">
        <v>45901</v>
      </c>
      <c r="H204" s="52" t="str">
        <f>Faturamento!$B812&amp;Faturamento!$G812</f>
        <v>10/384823-145627</v>
      </c>
      <c r="I204" s="37" t="s">
        <v>435</v>
      </c>
      <c r="J204">
        <v>284</v>
      </c>
      <c r="K204" s="3">
        <v>466.59960000000001</v>
      </c>
      <c r="L204" s="3">
        <v>374.45554718582446</v>
      </c>
      <c r="M204" s="5" t="s">
        <v>1489</v>
      </c>
      <c r="N204" s="53">
        <v>343.07960000000003</v>
      </c>
      <c r="O204" s="53">
        <v>250.94</v>
      </c>
      <c r="P204" s="52">
        <v>45933</v>
      </c>
      <c r="Q204" s="52">
        <v>45943</v>
      </c>
      <c r="R204" s="53">
        <f>O204</f>
        <v>250.94</v>
      </c>
      <c r="S204" s="37"/>
      <c r="T204" s="51" t="s">
        <v>1508</v>
      </c>
      <c r="U204" s="51" t="s">
        <v>1509</v>
      </c>
      <c r="V204" s="37" t="s">
        <v>568</v>
      </c>
      <c r="W204" s="53">
        <f>O204</f>
        <v>250.94</v>
      </c>
      <c r="X204" s="123">
        <f>IF(Faturamento!$V678="Pago",IFERROR(W204-R204,0),0)</f>
        <v>0</v>
      </c>
      <c r="Y204" s="52"/>
      <c r="Z204" s="52"/>
      <c r="AA204" s="5"/>
      <c r="AB204" s="5"/>
      <c r="AI204"/>
    </row>
    <row r="205" spans="1:35" hidden="1" x14ac:dyDescent="0.3">
      <c r="A205" s="5" t="str">
        <f>VLOOKUP(B205,base!A:M,11,FALSE)</f>
        <v>TRIFÁSICO</v>
      </c>
      <c r="B205" t="s">
        <v>238</v>
      </c>
      <c r="C205" s="1">
        <v>67996266684</v>
      </c>
      <c r="D205" s="60">
        <v>62955505016080</v>
      </c>
      <c r="E205" s="63" t="s">
        <v>433</v>
      </c>
      <c r="F205" t="s">
        <v>434</v>
      </c>
      <c r="G205" s="4">
        <v>45778</v>
      </c>
      <c r="H205" s="4" t="str">
        <f>Faturamento!$B441&amp;Faturamento!$G441</f>
        <v>10/150263-245931</v>
      </c>
      <c r="I205" t="s">
        <v>435</v>
      </c>
      <c r="J205">
        <v>298</v>
      </c>
      <c r="K205" s="3">
        <v>510.517</v>
      </c>
      <c r="L205" s="3">
        <v>427.00025000000005</v>
      </c>
      <c r="M205" s="5" t="str">
        <f>IF(Faturamento!$S441&lt;&gt;"","Não emitido",IF(Faturamento!$I441="NÃO","Pendente Fatura", IF(Faturamento!$R441&lt;&gt;"","Aprovado",IF(Faturamento!$O441&lt;&gt;0,"Pendente Emissão","Processo de Calculo"))))</f>
        <v>Aprovado</v>
      </c>
      <c r="N205" s="3">
        <v>334.06700000000001</v>
      </c>
      <c r="O205" s="3">
        <v>250.55</v>
      </c>
      <c r="P205" s="4"/>
      <c r="Q205" s="4"/>
      <c r="R205" s="3">
        <v>250.55</v>
      </c>
      <c r="S205"/>
      <c r="T205" s="51" t="s">
        <v>936</v>
      </c>
      <c r="U205" s="51"/>
      <c r="V205" t="s">
        <v>568</v>
      </c>
      <c r="W205" s="3">
        <v>250.55</v>
      </c>
      <c r="X205" s="123">
        <f>IF(Faturamento!$V677="Pago",IFERROR(W205-R205,0),0)</f>
        <v>0</v>
      </c>
      <c r="Y205" s="4"/>
      <c r="Z205" s="4"/>
      <c r="AA205" s="5"/>
      <c r="AB205" s="5"/>
      <c r="AI205"/>
    </row>
    <row r="206" spans="1:35" hidden="1" x14ac:dyDescent="0.3">
      <c r="A206" s="5" t="str">
        <f>VLOOKUP(B206,base!A:M,11,FALSE)</f>
        <v>TRIFÁSICO</v>
      </c>
      <c r="B206" s="37" t="s">
        <v>255</v>
      </c>
      <c r="C206" s="56">
        <v>67999361728</v>
      </c>
      <c r="D206" s="59">
        <v>62955505182257</v>
      </c>
      <c r="E206" s="37" t="s">
        <v>433</v>
      </c>
      <c r="F206" s="37" t="s">
        <v>434</v>
      </c>
      <c r="G206" s="52">
        <v>45839</v>
      </c>
      <c r="H206" s="52" t="str">
        <f>Faturamento!$B658&amp;Faturamento!$G658</f>
        <v>10/1288241-145809</v>
      </c>
      <c r="I206" s="37" t="s">
        <v>435</v>
      </c>
      <c r="J206" s="37">
        <v>316</v>
      </c>
      <c r="K206" s="53">
        <v>548.2070212765957</v>
      </c>
      <c r="L206" s="53">
        <v>475.25850459574457</v>
      </c>
      <c r="M206" s="5" t="str">
        <f>IF(Faturamento!$S658&lt;&gt;"","Não emitido",IF(Faturamento!$I658="NÃO","Pendente Fatura", IF(Faturamento!$R658&lt;&gt;"","Aprovado",IF(Faturamento!$O658&lt;&gt;0,"Pendente Emissão","Processo de Calculo"))))</f>
        <v>Aprovado</v>
      </c>
      <c r="N206" s="53">
        <v>321.00702127659576</v>
      </c>
      <c r="O206" s="53">
        <v>248.06</v>
      </c>
      <c r="P206" s="52">
        <v>45910</v>
      </c>
      <c r="Q206" s="52">
        <v>45920</v>
      </c>
      <c r="R206" s="53">
        <v>248.06</v>
      </c>
      <c r="S206" s="37"/>
      <c r="T206" s="51" t="s">
        <v>1229</v>
      </c>
      <c r="U206" s="51" t="s">
        <v>1230</v>
      </c>
      <c r="V206" s="37" t="s">
        <v>568</v>
      </c>
      <c r="W206" s="53">
        <v>321.01</v>
      </c>
      <c r="X206" s="123">
        <f>IF(Faturamento!$V739="Pago",IFERROR(W206-R206,0),0)</f>
        <v>72.949999999999989</v>
      </c>
      <c r="Y206" s="52">
        <v>45901</v>
      </c>
      <c r="Z206" s="52"/>
      <c r="AA206" s="5"/>
      <c r="AB206" s="5"/>
      <c r="AI206"/>
    </row>
    <row r="207" spans="1:35" hidden="1" x14ac:dyDescent="0.3">
      <c r="A207" s="5" t="str">
        <f>VLOOKUP(B207,base!A:M,11,FALSE)</f>
        <v>TRIFÁSICO</v>
      </c>
      <c r="B207" s="37" t="s">
        <v>177</v>
      </c>
      <c r="C207" s="56" t="s">
        <v>179</v>
      </c>
      <c r="D207" s="59">
        <v>62955505015350</v>
      </c>
      <c r="E207" s="37" t="s">
        <v>433</v>
      </c>
      <c r="F207" s="37" t="s">
        <v>434</v>
      </c>
      <c r="G207" s="52">
        <v>45658</v>
      </c>
      <c r="H207" s="52" t="str">
        <f>Faturamento!$B52&amp;Faturamento!$G52</f>
        <v>10/3170252-545931</v>
      </c>
      <c r="I207" s="37" t="s">
        <v>435</v>
      </c>
      <c r="J207">
        <v>296</v>
      </c>
      <c r="K207" s="3">
        <v>513.53</v>
      </c>
      <c r="L207" s="3">
        <v>430.93000000000006</v>
      </c>
      <c r="M207" s="5" t="s">
        <v>1489</v>
      </c>
      <c r="N207" s="53">
        <v>330.4</v>
      </c>
      <c r="O207" s="53">
        <v>247.8</v>
      </c>
      <c r="P207" s="52"/>
      <c r="Q207" s="52"/>
      <c r="R207" s="53">
        <v>247.8</v>
      </c>
      <c r="S207" s="37"/>
      <c r="T207" s="51" t="s">
        <v>586</v>
      </c>
      <c r="U207" s="51"/>
      <c r="V207" s="37" t="s">
        <v>568</v>
      </c>
      <c r="W207" s="53">
        <v>247.8</v>
      </c>
      <c r="X207" s="123">
        <f>IF(Faturamento!$V676="Pago",IFERROR(W207-R207,0),0)</f>
        <v>0</v>
      </c>
      <c r="Y207" s="52"/>
      <c r="Z207" s="52"/>
      <c r="AA207" s="5">
        <v>283032</v>
      </c>
      <c r="AB207" s="5">
        <v>502</v>
      </c>
      <c r="AC207" s="5" t="s">
        <v>434</v>
      </c>
      <c r="AD207" s="5" t="s">
        <v>587</v>
      </c>
      <c r="AE207" s="5">
        <v>46.74</v>
      </c>
      <c r="AG207" s="5" t="s">
        <v>588</v>
      </c>
      <c r="AH207" s="5" t="s">
        <v>503</v>
      </c>
      <c r="AI207"/>
    </row>
    <row r="208" spans="1:35" hidden="1" x14ac:dyDescent="0.3">
      <c r="A208" s="5" t="str">
        <f>VLOOKUP(B208,base!A:M,11,FALSE)</f>
        <v>TRIFÁSICO</v>
      </c>
      <c r="B208" t="s">
        <v>285</v>
      </c>
      <c r="C208" s="1">
        <v>0</v>
      </c>
      <c r="D208" s="60">
        <v>62955505016080</v>
      </c>
      <c r="E208" s="63" t="s">
        <v>433</v>
      </c>
      <c r="F208" t="s">
        <v>434</v>
      </c>
      <c r="G208" s="4">
        <v>45870</v>
      </c>
      <c r="H208" s="4" t="str">
        <f>Faturamento!$B757&amp;Faturamento!$G757</f>
        <v>10/452884-045839</v>
      </c>
      <c r="I208" t="s">
        <v>435</v>
      </c>
      <c r="J208">
        <v>318</v>
      </c>
      <c r="K208" s="3">
        <v>486.16255319148939</v>
      </c>
      <c r="L208" s="3">
        <v>413.86800337785894</v>
      </c>
      <c r="M208" s="5" t="str">
        <f>IF(Faturamento!$S757&lt;&gt;"","Não emitido",IF(Faturamento!$I757="NÃO","Pendente Fatura", IF(Faturamento!$R757&lt;&gt;"","Aprovado",IF(Faturamento!$O757&lt;&gt;0,"Pendente Emissão","Processo de Calculo"))))</f>
        <v>Aprovado</v>
      </c>
      <c r="N208" s="3">
        <v>319.94255319148931</v>
      </c>
      <c r="O208" s="3">
        <v>247.65</v>
      </c>
      <c r="P208" s="4">
        <v>45910</v>
      </c>
      <c r="Q208" s="4">
        <v>45920</v>
      </c>
      <c r="R208" s="3">
        <v>247.65</v>
      </c>
      <c r="S208"/>
      <c r="T208" s="51" t="s">
        <v>1410</v>
      </c>
      <c r="U208" s="51" t="s">
        <v>1411</v>
      </c>
      <c r="V208" t="s">
        <v>568</v>
      </c>
      <c r="W208" s="3">
        <v>247.65</v>
      </c>
      <c r="X208" s="123">
        <f>IF(Faturamento!$V675="Pago",IFERROR(W208-R208,0),0)</f>
        <v>0</v>
      </c>
      <c r="Y208" s="4"/>
      <c r="Z208" s="4"/>
      <c r="AA208" s="5"/>
      <c r="AB208" s="5"/>
      <c r="AI208"/>
    </row>
    <row r="209" spans="1:35" hidden="1" x14ac:dyDescent="0.3">
      <c r="A209" s="5" t="str">
        <f>VLOOKUP(B209,base!A:M,11,FALSE)</f>
        <v>TRIFÁSICO</v>
      </c>
      <c r="B209" t="s">
        <v>222</v>
      </c>
      <c r="C209" s="1">
        <v>0</v>
      </c>
      <c r="D209" s="60">
        <v>62955505000167</v>
      </c>
      <c r="E209" s="63" t="s">
        <v>433</v>
      </c>
      <c r="F209" t="s">
        <v>434</v>
      </c>
      <c r="G209" s="4">
        <v>45870</v>
      </c>
      <c r="H209" s="4" t="str">
        <f>Faturamento!$B769&amp;Faturamento!$G769</f>
        <v>10/1433087-245870</v>
      </c>
      <c r="I209" t="s">
        <v>435</v>
      </c>
      <c r="J209">
        <v>314</v>
      </c>
      <c r="K209" s="3">
        <v>494.5045833333333</v>
      </c>
      <c r="L209" s="3">
        <v>422.31125725159592</v>
      </c>
      <c r="M209" s="5" t="str">
        <f>IF(Faturamento!$S769&lt;&gt;"","Não emitido",IF(Faturamento!$I769="NÃO","Pendente Fatura", IF(Faturamento!$R769&lt;&gt;"","Aprovado",IF(Faturamento!$O769&lt;&gt;0,"Pendente Emissão","Processo de Calculo"))))</f>
        <v>Aprovado</v>
      </c>
      <c r="N209" s="3">
        <v>319.49458333333331</v>
      </c>
      <c r="O209" s="3">
        <v>247.3</v>
      </c>
      <c r="P209" s="4">
        <v>45910</v>
      </c>
      <c r="Q209" s="4">
        <v>45920</v>
      </c>
      <c r="R209" s="3">
        <v>247.3</v>
      </c>
      <c r="S209"/>
      <c r="T209" s="51" t="s">
        <v>1434</v>
      </c>
      <c r="U209" s="51" t="s">
        <v>1435</v>
      </c>
      <c r="V209" t="s">
        <v>568</v>
      </c>
      <c r="W209" s="3">
        <v>247.3</v>
      </c>
      <c r="X209" s="123">
        <f>IF(Faturamento!$V674="Pago",IFERROR(W209-R209,0),0)</f>
        <v>0</v>
      </c>
      <c r="Y209" s="4"/>
      <c r="Z209" s="4"/>
      <c r="AA209" s="5"/>
      <c r="AB209" s="5"/>
      <c r="AI209"/>
    </row>
    <row r="210" spans="1:35" hidden="1" x14ac:dyDescent="0.3">
      <c r="A210" s="5" t="str">
        <f>VLOOKUP(B210,base!A:M,11,FALSE)</f>
        <v>TRIFÁSICO</v>
      </c>
      <c r="B210" t="s">
        <v>294</v>
      </c>
      <c r="C210" s="1">
        <v>0</v>
      </c>
      <c r="D210" s="60">
        <v>62955505367117</v>
      </c>
      <c r="E210" s="63" t="s">
        <v>433</v>
      </c>
      <c r="F210" t="s">
        <v>434</v>
      </c>
      <c r="G210" s="4">
        <v>45901</v>
      </c>
      <c r="H210" s="4" t="str">
        <f>Faturamento!$B811&amp;Faturamento!$G811</f>
        <v>10/364440-845627</v>
      </c>
      <c r="I210" t="s">
        <v>435</v>
      </c>
      <c r="J210">
        <v>277</v>
      </c>
      <c r="K210" s="3">
        <v>523.49149999999997</v>
      </c>
      <c r="L210" s="3">
        <v>433.61105974548457</v>
      </c>
      <c r="M210" s="5" t="s">
        <v>1489</v>
      </c>
      <c r="N210" s="3">
        <v>334.65149999999994</v>
      </c>
      <c r="O210" s="3">
        <v>244.77</v>
      </c>
      <c r="P210" s="4">
        <v>45933</v>
      </c>
      <c r="Q210" s="4">
        <v>45943</v>
      </c>
      <c r="R210" s="3">
        <f>O210</f>
        <v>244.77</v>
      </c>
      <c r="S210"/>
      <c r="T210" s="51" t="s">
        <v>1506</v>
      </c>
      <c r="U210" s="51" t="s">
        <v>1507</v>
      </c>
      <c r="V210" t="s">
        <v>568</v>
      </c>
      <c r="W210" s="3">
        <f>O210</f>
        <v>244.77</v>
      </c>
      <c r="X210" s="123">
        <f>IF(Faturamento!$V673="Pago",IFERROR(W210-R210,0),0)</f>
        <v>0</v>
      </c>
      <c r="Y210" s="4"/>
      <c r="Z210" s="4"/>
      <c r="AA210" s="5"/>
      <c r="AB210" s="5"/>
      <c r="AI210"/>
    </row>
    <row r="211" spans="1:35" hidden="1" x14ac:dyDescent="0.3">
      <c r="A211" s="5" t="str">
        <f>VLOOKUP(B211,base!A:M,11,FALSE)</f>
        <v>TRIFÁSICO</v>
      </c>
      <c r="B211" s="37" t="s">
        <v>228</v>
      </c>
      <c r="C211" s="56">
        <v>0</v>
      </c>
      <c r="D211" s="59">
        <v>62955505015199</v>
      </c>
      <c r="E211" s="37" t="s">
        <v>433</v>
      </c>
      <c r="F211" s="37" t="s">
        <v>434</v>
      </c>
      <c r="G211" s="52">
        <v>45870</v>
      </c>
      <c r="H211" s="52" t="str">
        <f>Faturamento!$B720&amp;Faturamento!$G720</f>
        <v>10/505854-045689</v>
      </c>
      <c r="I211" s="37" t="s">
        <v>435</v>
      </c>
      <c r="J211">
        <v>265</v>
      </c>
      <c r="K211" s="3">
        <v>583.24269911504427</v>
      </c>
      <c r="L211" s="3">
        <v>512.11633486888672</v>
      </c>
      <c r="M211" s="5" t="s">
        <v>1489</v>
      </c>
      <c r="N211" s="53">
        <v>314.7726991150443</v>
      </c>
      <c r="O211" s="53">
        <v>243.65</v>
      </c>
      <c r="P211" s="52">
        <v>45910</v>
      </c>
      <c r="Q211" s="52">
        <v>45920</v>
      </c>
      <c r="R211" s="53">
        <v>243.65</v>
      </c>
      <c r="S211" s="37"/>
      <c r="T211" s="51" t="s">
        <v>1343</v>
      </c>
      <c r="U211" s="51" t="s">
        <v>1344</v>
      </c>
      <c r="V211" s="37" t="s">
        <v>568</v>
      </c>
      <c r="W211" s="53">
        <v>243.65</v>
      </c>
      <c r="X211" s="123">
        <f>IF(Faturamento!$V672="Pago",IFERROR(W211-R211,0),0)</f>
        <v>0</v>
      </c>
      <c r="Y211" s="52"/>
      <c r="Z211" s="52"/>
      <c r="AA211" s="5"/>
      <c r="AB211" s="5"/>
      <c r="AI211"/>
    </row>
    <row r="212" spans="1:35" hidden="1" x14ac:dyDescent="0.3">
      <c r="A212" s="5" t="str">
        <f>VLOOKUP(B212,base!A:M,11,FALSE)</f>
        <v>BIFÁSICO</v>
      </c>
      <c r="B212" s="37" t="s">
        <v>215</v>
      </c>
      <c r="C212" s="85">
        <v>67981311823</v>
      </c>
      <c r="D212" s="59">
        <v>62955505182176</v>
      </c>
      <c r="E212" s="37" t="s">
        <v>433</v>
      </c>
      <c r="F212" s="37" t="s">
        <v>434</v>
      </c>
      <c r="G212" s="52">
        <v>45901</v>
      </c>
      <c r="H212" s="52" t="str">
        <f>Faturamento!$B834&amp;Faturamento!$G834</f>
        <v>10/925970-645658</v>
      </c>
      <c r="I212" s="37" t="s">
        <v>435</v>
      </c>
      <c r="J212">
        <v>7</v>
      </c>
      <c r="K212" s="3">
        <v>83.455799999999982</v>
      </c>
      <c r="L212" s="3">
        <v>81.184747795828983</v>
      </c>
      <c r="M212" s="5" t="s">
        <v>1489</v>
      </c>
      <c r="N212" s="53">
        <v>8.4558</v>
      </c>
      <c r="O212" s="53">
        <v>6.18</v>
      </c>
      <c r="P212" s="52">
        <v>45933</v>
      </c>
      <c r="Q212" s="52">
        <v>45943</v>
      </c>
      <c r="R212" s="53">
        <f>O212</f>
        <v>6.18</v>
      </c>
      <c r="S212" s="37"/>
      <c r="T212" s="51" t="s">
        <v>1552</v>
      </c>
      <c r="U212" s="51" t="s">
        <v>1553</v>
      </c>
      <c r="V212" s="37" t="s">
        <v>369</v>
      </c>
      <c r="W212" s="53"/>
      <c r="X212" s="123">
        <f>IF(Faturamento!$V878="Pago",IFERROR(W212-R212,0),0)</f>
        <v>0</v>
      </c>
      <c r="Y212" s="52"/>
      <c r="Z212" s="196" t="s">
        <v>1795</v>
      </c>
      <c r="AA212" s="5"/>
      <c r="AB212" s="5"/>
      <c r="AI212"/>
    </row>
    <row r="213" spans="1:35" hidden="1" x14ac:dyDescent="0.3">
      <c r="A213" s="5" t="str">
        <f>VLOOKUP(B213,base!A:M,11,FALSE)</f>
        <v>BIFÁSICO</v>
      </c>
      <c r="B213" t="s">
        <v>240</v>
      </c>
      <c r="C213" s="1">
        <v>0</v>
      </c>
      <c r="D213" s="60">
        <v>62955505015431</v>
      </c>
      <c r="E213" s="63" t="s">
        <v>433</v>
      </c>
      <c r="F213" t="s">
        <v>434</v>
      </c>
      <c r="G213" s="4">
        <v>45901</v>
      </c>
      <c r="H213" s="4" t="str">
        <f>Faturamento!$B867&amp;Faturamento!$G867</f>
        <v>10/41548-945689</v>
      </c>
      <c r="I213" t="s">
        <v>435</v>
      </c>
      <c r="J213">
        <v>348</v>
      </c>
      <c r="K213" s="3">
        <v>447.57</v>
      </c>
      <c r="L213" s="3">
        <v>358.61656093788463</v>
      </c>
      <c r="M213" s="5" t="s">
        <v>1489</v>
      </c>
      <c r="N213" s="3">
        <v>331.2</v>
      </c>
      <c r="O213" s="3">
        <v>242.25</v>
      </c>
      <c r="P213" s="4">
        <v>45933</v>
      </c>
      <c r="Q213" s="4">
        <v>45943</v>
      </c>
      <c r="R213" s="3">
        <f>O213</f>
        <v>242.25</v>
      </c>
      <c r="S213"/>
      <c r="T213" s="51" t="s">
        <v>1613</v>
      </c>
      <c r="U213" s="51" t="s">
        <v>1614</v>
      </c>
      <c r="V213" t="s">
        <v>568</v>
      </c>
      <c r="W213" s="3">
        <f>R213</f>
        <v>242.25</v>
      </c>
      <c r="X213" s="123">
        <f>IF(Faturamento!$V671="Pago",IFERROR(W213-R213,0),0)</f>
        <v>0</v>
      </c>
      <c r="Y213" s="4"/>
      <c r="Z213" s="4"/>
      <c r="AA213" s="5"/>
      <c r="AB213" s="5"/>
      <c r="AI213"/>
    </row>
    <row r="214" spans="1:35" hidden="1" x14ac:dyDescent="0.3">
      <c r="A214" s="5" t="str">
        <f>VLOOKUP(B214,base!A:M,11,FALSE)</f>
        <v>TRIFÁSICO</v>
      </c>
      <c r="B214" t="s">
        <v>338</v>
      </c>
      <c r="C214" s="1" t="s">
        <v>126</v>
      </c>
      <c r="D214" s="60">
        <v>62955505122432</v>
      </c>
      <c r="E214" s="63" t="s">
        <v>433</v>
      </c>
      <c r="F214" t="s">
        <v>434</v>
      </c>
      <c r="G214" s="4">
        <v>45901</v>
      </c>
      <c r="H214" s="4" t="str">
        <f>Faturamento!$B853&amp;Faturamento!$G853</f>
        <v>10/61344-845689</v>
      </c>
      <c r="I214" t="s">
        <v>435</v>
      </c>
      <c r="J214">
        <v>312</v>
      </c>
      <c r="K214" s="3">
        <v>642.09243243243247</v>
      </c>
      <c r="L214" s="3">
        <v>554.00316517149406</v>
      </c>
      <c r="M214" s="5" t="s">
        <v>1489</v>
      </c>
      <c r="N214" s="3">
        <v>327.98243243243252</v>
      </c>
      <c r="O214" s="3">
        <v>239.89</v>
      </c>
      <c r="P214" s="4">
        <v>45933</v>
      </c>
      <c r="Q214" s="4">
        <v>45943</v>
      </c>
      <c r="R214" s="3">
        <f>O214</f>
        <v>239.89</v>
      </c>
      <c r="S214"/>
      <c r="T214" s="51" t="s">
        <v>1585</v>
      </c>
      <c r="U214" s="51" t="s">
        <v>1586</v>
      </c>
      <c r="V214" t="s">
        <v>568</v>
      </c>
      <c r="W214" s="3">
        <f>O214</f>
        <v>239.89</v>
      </c>
      <c r="X214" s="123">
        <f>IF(Faturamento!$V670="Pago",IFERROR(W214-R214,0),0)</f>
        <v>0</v>
      </c>
      <c r="Y214" s="4"/>
      <c r="Z214" s="4"/>
      <c r="AA214" s="5"/>
      <c r="AB214" s="5"/>
      <c r="AI214"/>
    </row>
    <row r="215" spans="1:35" hidden="1" x14ac:dyDescent="0.3">
      <c r="A215" s="5" t="str">
        <f>VLOOKUP(B215,base!A:M,11,FALSE)</f>
        <v>TRIFÁSICO</v>
      </c>
      <c r="B215" s="37" t="s">
        <v>171</v>
      </c>
      <c r="C215" s="56">
        <v>0</v>
      </c>
      <c r="D215" s="59">
        <v>62955505312487</v>
      </c>
      <c r="E215" s="37" t="s">
        <v>433</v>
      </c>
      <c r="F215" s="37" t="s">
        <v>434</v>
      </c>
      <c r="G215" s="52">
        <v>45870</v>
      </c>
      <c r="H215" s="52" t="str">
        <f>Faturamento!$B756&amp;Faturamento!$G756</f>
        <v>10/1117293-945839</v>
      </c>
      <c r="I215" s="37" t="s">
        <v>435</v>
      </c>
      <c r="J215">
        <v>303</v>
      </c>
      <c r="K215" s="3">
        <v>415.19979999999998</v>
      </c>
      <c r="L215" s="3">
        <v>345.41403976644813</v>
      </c>
      <c r="M215" s="5" t="str">
        <f>IF(Faturamento!$S756&lt;&gt;"","Não emitido",IF(Faturamento!$I756="NÃO","Pendente Fatura", IF(Faturamento!$R756&lt;&gt;"","Aprovado",IF(Faturamento!$O756&lt;&gt;0,"Pendente Emissão","Processo de Calculo"))))</f>
        <v>Aprovado</v>
      </c>
      <c r="N215" s="53">
        <v>308.83980000000003</v>
      </c>
      <c r="O215" s="53">
        <v>239.05</v>
      </c>
      <c r="P215" s="52">
        <v>45910</v>
      </c>
      <c r="Q215" s="52">
        <v>45920</v>
      </c>
      <c r="R215" s="53">
        <v>239.05</v>
      </c>
      <c r="S215" s="37"/>
      <c r="T215" s="51" t="s">
        <v>1408</v>
      </c>
      <c r="U215" s="51" t="s">
        <v>1409</v>
      </c>
      <c r="V215" s="37" t="s">
        <v>568</v>
      </c>
      <c r="W215" s="53">
        <v>239.05</v>
      </c>
      <c r="X215" s="123">
        <f>IF(Faturamento!$V669="Pago",IFERROR(W215-R215,0),0)</f>
        <v>0</v>
      </c>
      <c r="Y215" s="52"/>
      <c r="Z215" s="52"/>
      <c r="AA215" s="5"/>
      <c r="AB215" s="5"/>
      <c r="AI215"/>
    </row>
    <row r="216" spans="1:35" hidden="1" x14ac:dyDescent="0.3">
      <c r="A216" s="5" t="str">
        <f>VLOOKUP(B216,base!A:M,11,FALSE)</f>
        <v>TRIFÁSICO</v>
      </c>
      <c r="B216" t="s">
        <v>315</v>
      </c>
      <c r="C216" s="1">
        <v>67996446178</v>
      </c>
      <c r="D216" s="60">
        <v>62955505359360</v>
      </c>
      <c r="E216" s="63" t="s">
        <v>433</v>
      </c>
      <c r="F216" t="s">
        <v>434</v>
      </c>
      <c r="G216" s="4">
        <v>45748</v>
      </c>
      <c r="H216" s="4" t="str">
        <f>Faturamento!$B347&amp;Faturamento!$G347</f>
        <v>10/69319-245748</v>
      </c>
      <c r="I216" t="s">
        <v>435</v>
      </c>
      <c r="J216" s="37">
        <v>284</v>
      </c>
      <c r="K216" s="53">
        <v>502.88999999999993</v>
      </c>
      <c r="L216" s="53">
        <v>423.23249999999996</v>
      </c>
      <c r="M216" s="5" t="str">
        <f>IF(Faturamento!$S347&lt;&gt;"","Não emitido",IF(Faturamento!$I347="NÃO","Pendente Fatura", IF(Faturamento!$R347&lt;&gt;"","Aprovado",IF(Faturamento!$O347&lt;&gt;0,"Pendente Emissão","Processo de Calculo"))))</f>
        <v>Aprovado</v>
      </c>
      <c r="N216" s="3">
        <v>318.63</v>
      </c>
      <c r="O216" s="3">
        <v>238.97</v>
      </c>
      <c r="P216" s="4"/>
      <c r="Q216" s="4"/>
      <c r="R216" s="3">
        <v>238.97</v>
      </c>
      <c r="S216"/>
      <c r="T216" s="51" t="s">
        <v>849</v>
      </c>
      <c r="U216" s="51" t="e">
        <v>#N/A</v>
      </c>
      <c r="V216" t="s">
        <v>568</v>
      </c>
      <c r="W216" s="3">
        <v>318.63</v>
      </c>
      <c r="X216" s="123">
        <f>IF(Faturamento!$V735="Pago",IFERROR(W216-R216,0),0)</f>
        <v>79.66</v>
      </c>
      <c r="Y216" s="4">
        <v>45930</v>
      </c>
      <c r="Z216" s="4"/>
      <c r="AA216" s="5"/>
      <c r="AB216" s="5"/>
      <c r="AI216"/>
    </row>
    <row r="217" spans="1:35" hidden="1" x14ac:dyDescent="0.3">
      <c r="A217" s="5" t="str">
        <f>VLOOKUP(B217,base!A:M,11,FALSE)</f>
        <v>BIFÁSICO</v>
      </c>
      <c r="B217" t="s">
        <v>240</v>
      </c>
      <c r="C217" s="56">
        <v>67996135721</v>
      </c>
      <c r="D217">
        <v>62955505015431</v>
      </c>
      <c r="E217" s="37" t="s">
        <v>433</v>
      </c>
      <c r="F217" t="s">
        <v>108</v>
      </c>
      <c r="G217" s="4">
        <v>45931</v>
      </c>
      <c r="H217" s="52" t="str">
        <f>Faturamento!$B907&amp;Faturamento!$G907</f>
        <v>10/109074-545717</v>
      </c>
      <c r="I217" s="37" t="s">
        <v>435</v>
      </c>
      <c r="J217">
        <v>338</v>
      </c>
      <c r="K217" s="3">
        <v>444.99</v>
      </c>
      <c r="L217" s="3">
        <v>352.23438278290268</v>
      </c>
      <c r="M217" s="5" t="s">
        <v>1489</v>
      </c>
      <c r="N217" s="53">
        <v>331.65</v>
      </c>
      <c r="O217" s="53">
        <v>238.89</v>
      </c>
      <c r="P217" s="52">
        <v>45967</v>
      </c>
      <c r="Q217" s="52">
        <v>45974</v>
      </c>
      <c r="R217" s="53">
        <v>238.89</v>
      </c>
      <c r="S217" s="37"/>
      <c r="T217" s="3" t="str">
        <f>D217&amp;R217</f>
        <v>62955505015431238,89</v>
      </c>
      <c r="U217" s="3" t="s">
        <v>1719</v>
      </c>
      <c r="V217" s="37" t="s">
        <v>568</v>
      </c>
      <c r="W217" s="13">
        <f>R217</f>
        <v>238.89</v>
      </c>
      <c r="X217" s="124">
        <f>IF(Faturamento!$V909="Pago",IFERROR(W217-R217,0),0)</f>
        <v>0</v>
      </c>
    </row>
    <row r="218" spans="1:35" hidden="1" x14ac:dyDescent="0.3">
      <c r="A218" s="5" t="str">
        <f>VLOOKUP(B218,base!A:M,11,FALSE)</f>
        <v>BIFÁSICO</v>
      </c>
      <c r="B218" t="s">
        <v>161</v>
      </c>
      <c r="C218" s="1">
        <v>67992899434</v>
      </c>
      <c r="D218" s="60">
        <v>62955505113875</v>
      </c>
      <c r="E218" s="63" t="s">
        <v>433</v>
      </c>
      <c r="F218" t="s">
        <v>434</v>
      </c>
      <c r="G218" s="4">
        <v>45778</v>
      </c>
      <c r="H218" s="4" t="str">
        <f>Faturamento!$B481&amp;Faturamento!$G481</f>
        <v>10/1288241-145931</v>
      </c>
      <c r="I218" t="s">
        <v>435</v>
      </c>
      <c r="J218">
        <v>330</v>
      </c>
      <c r="K218" s="3">
        <v>430.10999999999996</v>
      </c>
      <c r="L218" s="3">
        <v>350.51999999999992</v>
      </c>
      <c r="M218" s="5" t="str">
        <f>IF(Faturamento!$S481&lt;&gt;"","Não emitido",IF(Faturamento!$I481="NÃO","Pendente Fatura", IF(Faturamento!$R481&lt;&gt;"","Aprovado",IF(Faturamento!$O481&lt;&gt;0,"Pendente Emissão","Processo de Calculo"))))</f>
        <v>Aprovado</v>
      </c>
      <c r="N218" s="3">
        <v>318.36</v>
      </c>
      <c r="O218" s="3">
        <v>238.77</v>
      </c>
      <c r="P218" s="4"/>
      <c r="Q218" s="4"/>
      <c r="R218" s="3">
        <v>238.77</v>
      </c>
      <c r="S218"/>
      <c r="T218" s="51" t="s">
        <v>969</v>
      </c>
      <c r="U218" s="51"/>
      <c r="V218" t="s">
        <v>568</v>
      </c>
      <c r="W218" s="3">
        <v>238.77</v>
      </c>
      <c r="X218" s="123">
        <f>IF(Faturamento!$V668="Pago",IFERROR(W218-R218,0),0)</f>
        <v>0</v>
      </c>
      <c r="Y218" s="4"/>
      <c r="Z218" s="4"/>
      <c r="AA218" s="5"/>
      <c r="AB218" s="5"/>
      <c r="AI218"/>
    </row>
    <row r="219" spans="1:35" hidden="1" x14ac:dyDescent="0.3">
      <c r="A219" s="5" t="str">
        <f>VLOOKUP(B219,base!A:M,11,FALSE)</f>
        <v>TRIFÁSICO</v>
      </c>
      <c r="B219" t="s">
        <v>247</v>
      </c>
      <c r="C219" s="1">
        <v>67999516782</v>
      </c>
      <c r="D219" s="60">
        <v>62955505375721</v>
      </c>
      <c r="E219" s="63" t="s">
        <v>433</v>
      </c>
      <c r="F219" t="s">
        <v>434</v>
      </c>
      <c r="G219" s="4">
        <v>45839</v>
      </c>
      <c r="H219" s="4" t="str">
        <f>Faturamento!$B629&amp;Faturamento!$G629</f>
        <v>10/1035655-845839</v>
      </c>
      <c r="I219" t="s">
        <v>435</v>
      </c>
      <c r="J219" s="37">
        <v>307</v>
      </c>
      <c r="K219" s="53">
        <v>474.16874999999993</v>
      </c>
      <c r="L219" s="53">
        <v>403.30508275</v>
      </c>
      <c r="M219" s="5" t="str">
        <f>IF(Faturamento!$S629&lt;&gt;"","Não emitido",IF(Faturamento!$I629="NÃO","Pendente Fatura", IF(Faturamento!$R629&lt;&gt;"","Aprovado",IF(Faturamento!$O629&lt;&gt;0,"Pendente Emissão","Processo de Calculo"))))</f>
        <v>Aprovado</v>
      </c>
      <c r="N219" s="3">
        <v>308.90874999999994</v>
      </c>
      <c r="O219" s="3">
        <v>238.05</v>
      </c>
      <c r="P219" s="4">
        <v>45910</v>
      </c>
      <c r="Q219" s="4">
        <v>45920</v>
      </c>
      <c r="R219" s="3">
        <v>238.05</v>
      </c>
      <c r="S219"/>
      <c r="T219" s="51" t="s">
        <v>1173</v>
      </c>
      <c r="U219" s="51" t="s">
        <v>1174</v>
      </c>
      <c r="V219" t="s">
        <v>568</v>
      </c>
      <c r="W219" s="3">
        <v>238.05</v>
      </c>
      <c r="X219" s="123">
        <f>IF(Faturamento!$V667="Pago",IFERROR(W219-R219,0),0)</f>
        <v>0</v>
      </c>
      <c r="Y219" s="4">
        <v>45904</v>
      </c>
      <c r="Z219" s="4"/>
      <c r="AA219" s="5"/>
      <c r="AB219" s="5"/>
      <c r="AI219"/>
    </row>
    <row r="220" spans="1:35" hidden="1" x14ac:dyDescent="0.3">
      <c r="A220" s="5" t="str">
        <f>VLOOKUP(B220,base!A:M,11,FALSE)</f>
        <v>TRIFÁSICO</v>
      </c>
      <c r="B220" t="s">
        <v>148</v>
      </c>
      <c r="C220" s="1">
        <v>67996150274</v>
      </c>
      <c r="D220" s="60">
        <v>62955505331198</v>
      </c>
      <c r="E220" s="63" t="s">
        <v>433</v>
      </c>
      <c r="F220" t="s">
        <v>434</v>
      </c>
      <c r="G220" s="4">
        <v>45809</v>
      </c>
      <c r="H220" s="4" t="str">
        <f>Faturamento!$B579&amp;Faturamento!$G579</f>
        <v>10/3125732-245748</v>
      </c>
      <c r="I220" t="s">
        <v>435</v>
      </c>
      <c r="J220" s="37">
        <v>317</v>
      </c>
      <c r="K220" s="53">
        <v>499.58000000000004</v>
      </c>
      <c r="L220" s="53">
        <v>424.40361639822891</v>
      </c>
      <c r="M220" s="5" t="str">
        <f>IF(Faturamento!$S579&lt;&gt;"","Não emitido",IF(Faturamento!$I579="NÃO","Pendente Fatura", IF(Faturamento!$R579&lt;&gt;"","Aprovado",IF(Faturamento!$O579&lt;&gt;0,"Pendente Emissão","Processo de Calculo"))))</f>
        <v>Aprovado</v>
      </c>
      <c r="N220" s="3">
        <v>316.86</v>
      </c>
      <c r="O220" s="3">
        <v>237.65</v>
      </c>
      <c r="P220" s="4">
        <v>45860</v>
      </c>
      <c r="Q220" s="4">
        <v>45871</v>
      </c>
      <c r="R220" s="3">
        <v>237.65</v>
      </c>
      <c r="S220"/>
      <c r="T220" s="51" t="s">
        <v>1117</v>
      </c>
      <c r="U220" s="51" t="s">
        <v>1118</v>
      </c>
      <c r="V220" t="s">
        <v>568</v>
      </c>
      <c r="W220" s="3">
        <v>237.65</v>
      </c>
      <c r="X220" s="123">
        <f>IF(Faturamento!$V666="Pago",IFERROR(W220-R220,0),0)</f>
        <v>0</v>
      </c>
      <c r="Y220" s="4" t="s">
        <v>1043</v>
      </c>
      <c r="Z220" s="4"/>
      <c r="AA220" s="5"/>
      <c r="AB220" s="5"/>
      <c r="AI220"/>
    </row>
    <row r="221" spans="1:35" hidden="1" x14ac:dyDescent="0.3">
      <c r="A221" s="5" t="str">
        <f>VLOOKUP(B221,base!A:M,11,FALSE)</f>
        <v>BIFÁSICO</v>
      </c>
      <c r="B221" t="s">
        <v>161</v>
      </c>
      <c r="C221" s="56">
        <v>67992899434</v>
      </c>
      <c r="D221">
        <v>62955505113875</v>
      </c>
      <c r="E221" s="37" t="s">
        <v>433</v>
      </c>
      <c r="F221" t="s">
        <v>108</v>
      </c>
      <c r="G221" s="4">
        <v>45931</v>
      </c>
      <c r="H221" s="52" t="str">
        <f>Faturamento!$B893&amp;Faturamento!$G893</f>
        <v>10/81222-245717</v>
      </c>
      <c r="I221" s="37" t="s">
        <v>435</v>
      </c>
      <c r="J221">
        <v>334</v>
      </c>
      <c r="K221" s="3">
        <v>441.6</v>
      </c>
      <c r="L221" s="3">
        <v>349.94352216376564</v>
      </c>
      <c r="M221" s="5" t="s">
        <v>1489</v>
      </c>
      <c r="N221" s="53">
        <v>327.72</v>
      </c>
      <c r="O221" s="53">
        <v>236.06</v>
      </c>
      <c r="P221" s="52">
        <v>45967</v>
      </c>
      <c r="Q221" s="52">
        <v>45974</v>
      </c>
      <c r="R221" s="53">
        <v>236.06</v>
      </c>
      <c r="S221" s="37"/>
      <c r="T221" s="3" t="str">
        <f>D221&amp;R221</f>
        <v>62955505113875236,06</v>
      </c>
      <c r="U221" s="3" t="s">
        <v>1705</v>
      </c>
      <c r="V221" s="37" t="s">
        <v>568</v>
      </c>
      <c r="W221">
        <v>327.72</v>
      </c>
      <c r="X221" s="124">
        <f>IF(Faturamento!$V895="Pago",IFERROR(W221-R221,0),0)</f>
        <v>0</v>
      </c>
      <c r="Y221" s="175">
        <v>45993</v>
      </c>
      <c r="Z221" s="175"/>
    </row>
    <row r="222" spans="1:35" hidden="1" x14ac:dyDescent="0.3">
      <c r="A222" s="5" t="e">
        <f>VLOOKUP(B222,base!A:M,11,FALSE)</f>
        <v>#N/A</v>
      </c>
      <c r="B222" t="s">
        <v>520</v>
      </c>
      <c r="C222" s="1" t="e">
        <v>#N/A</v>
      </c>
      <c r="D222" s="60">
        <v>62955505057789</v>
      </c>
      <c r="E222" s="63" t="s">
        <v>433</v>
      </c>
      <c r="F222" t="s">
        <v>434</v>
      </c>
      <c r="G222" s="4">
        <v>45689</v>
      </c>
      <c r="H222" s="4" t="str">
        <f>Faturamento!$B167&amp;Faturamento!$G167</f>
        <v>10/3092868-345689</v>
      </c>
      <c r="I222" t="s">
        <v>435</v>
      </c>
      <c r="J222" s="37">
        <v>323</v>
      </c>
      <c r="K222" s="53"/>
      <c r="L222" s="53"/>
      <c r="M222" s="5" t="str">
        <f>IF(Faturamento!$S167&lt;&gt;"","Não emitido",IF(Faturamento!$I167="NÃO","Pendente Fatura", IF(Faturamento!$R167&lt;&gt;"","Aprovado",IF(Faturamento!$O167&lt;&gt;0,"Pendente Emissão","Processo de Calculo"))))</f>
        <v>Aprovado</v>
      </c>
      <c r="N222" s="3">
        <v>314.62000000000006</v>
      </c>
      <c r="O222" s="3">
        <v>235.97</v>
      </c>
      <c r="P222" s="4"/>
      <c r="Q222" s="4"/>
      <c r="S222" t="s">
        <v>708</v>
      </c>
      <c r="T222" s="51" t="s">
        <v>521</v>
      </c>
      <c r="U222" s="51"/>
      <c r="V222" t="s">
        <v>438</v>
      </c>
      <c r="W222" s="3">
        <v>0</v>
      </c>
      <c r="X222" s="123">
        <f>IF(Faturamento!$V63="Pago",IFERROR(W222-R222,0),0)</f>
        <v>0</v>
      </c>
      <c r="Y222" s="4"/>
      <c r="Z222" s="4"/>
      <c r="AA222" s="5"/>
      <c r="AB222" s="5"/>
      <c r="AI222"/>
    </row>
    <row r="223" spans="1:35" hidden="1" x14ac:dyDescent="0.3">
      <c r="A223" s="5" t="str">
        <f>VLOOKUP(B223,base!A:M,11,FALSE)</f>
        <v>TRIFÁSICO</v>
      </c>
      <c r="B223" t="s">
        <v>334</v>
      </c>
      <c r="C223" s="1" t="s">
        <v>336</v>
      </c>
      <c r="D223" s="60">
        <v>62955505015946</v>
      </c>
      <c r="E223" s="63" t="s">
        <v>433</v>
      </c>
      <c r="F223" t="s">
        <v>434</v>
      </c>
      <c r="G223" s="4">
        <v>45748</v>
      </c>
      <c r="H223" s="4" t="str">
        <f>Faturamento!$B399&amp;Faturamento!$G399</f>
        <v>10/63920-345778</v>
      </c>
      <c r="I223" t="s">
        <v>435</v>
      </c>
      <c r="J223" s="37">
        <v>323</v>
      </c>
      <c r="K223" s="53">
        <v>449.93</v>
      </c>
      <c r="L223" s="53">
        <v>371.38250000000005</v>
      </c>
      <c r="M223" s="5" t="str">
        <f>IF(Faturamento!$S399&lt;&gt;"","Não emitido",IF(Faturamento!$I399="NÃO","Pendente Fatura", IF(Faturamento!$R399&lt;&gt;"","Aprovado",IF(Faturamento!$O399&lt;&gt;0,"Pendente Emissão","Processo de Calculo"))))</f>
        <v>Aprovado</v>
      </c>
      <c r="N223" s="3">
        <v>314.19</v>
      </c>
      <c r="O223" s="3">
        <v>235.64</v>
      </c>
      <c r="P223" s="4"/>
      <c r="Q223" s="4"/>
      <c r="R223" s="3">
        <v>235.64</v>
      </c>
      <c r="S223"/>
      <c r="T223" s="51" t="s">
        <v>897</v>
      </c>
      <c r="U223" s="51"/>
      <c r="V223" t="s">
        <v>568</v>
      </c>
      <c r="W223" s="3">
        <v>235.64</v>
      </c>
      <c r="X223" s="123">
        <f>IF(Faturamento!$V664="Pago",IFERROR(W223-R223,0),0)</f>
        <v>0</v>
      </c>
      <c r="Y223" s="4"/>
      <c r="Z223" s="4"/>
      <c r="AA223" s="5"/>
      <c r="AB223" s="5"/>
      <c r="AI223"/>
    </row>
    <row r="224" spans="1:35" hidden="1" x14ac:dyDescent="0.3">
      <c r="A224" s="5" t="str">
        <f>VLOOKUP(B224,base!A:M,11,FALSE)</f>
        <v>TRIFÁSICO</v>
      </c>
      <c r="B224" s="37" t="s">
        <v>311</v>
      </c>
      <c r="C224" s="56" t="s">
        <v>313</v>
      </c>
      <c r="D224" s="59">
        <v>62955505193534</v>
      </c>
      <c r="E224" s="37" t="s">
        <v>433</v>
      </c>
      <c r="F224" s="37" t="s">
        <v>434</v>
      </c>
      <c r="G224" s="52">
        <v>45658</v>
      </c>
      <c r="H224" s="52" t="str">
        <f>Faturamento!$B82&amp;Faturamento!$G82</f>
        <v>10/1939035-045717</v>
      </c>
      <c r="I224" s="37" t="s">
        <v>435</v>
      </c>
      <c r="J224">
        <v>279</v>
      </c>
      <c r="K224" s="3">
        <v>494.4</v>
      </c>
      <c r="L224" s="3">
        <v>416.54499999999996</v>
      </c>
      <c r="M224" s="5" t="str">
        <f>IF(Faturamento!$S82&lt;&gt;"","Não emitido",IF(Faturamento!$I82="NÃO","Pendente Fatura", IF(Faturamento!$R82&lt;&gt;"","Aprovado",IF(Faturamento!$O82&lt;&gt;0,"Pendente Emissão","Processo de Calculo"))))</f>
        <v>Aprovado</v>
      </c>
      <c r="N224" s="53">
        <v>311.41999999999996</v>
      </c>
      <c r="O224" s="53">
        <v>233.57</v>
      </c>
      <c r="P224" s="52"/>
      <c r="Q224" s="52"/>
      <c r="R224" s="53">
        <v>233.57</v>
      </c>
      <c r="S224" s="37"/>
      <c r="T224" s="51" t="s">
        <v>641</v>
      </c>
      <c r="U224" s="51"/>
      <c r="V224" s="37" t="s">
        <v>568</v>
      </c>
      <c r="W224" s="53">
        <v>311.42</v>
      </c>
      <c r="X224" s="123">
        <f>IF(Faturamento!$V731="Pago",IFERROR(W224-R224,0),0)</f>
        <v>77.850000000000023</v>
      </c>
      <c r="Y224" s="4">
        <v>45938</v>
      </c>
      <c r="Z224" s="4"/>
      <c r="AA224" s="5"/>
      <c r="AB224" s="5"/>
      <c r="AI224"/>
    </row>
    <row r="225" spans="1:35" hidden="1" x14ac:dyDescent="0.3">
      <c r="A225" s="5" t="str">
        <f>VLOOKUP(B225,base!A:M,11,FALSE)</f>
        <v>TRIFÁSICO</v>
      </c>
      <c r="B225" s="37" t="s">
        <v>238</v>
      </c>
      <c r="C225" s="56">
        <v>0</v>
      </c>
      <c r="D225" s="59">
        <v>62955505016080</v>
      </c>
      <c r="E225" s="37" t="s">
        <v>433</v>
      </c>
      <c r="F225" s="37" t="s">
        <v>434</v>
      </c>
      <c r="G225" s="52">
        <v>45901</v>
      </c>
      <c r="H225" s="52" t="str">
        <f>Faturamento!$B814&amp;Faturamento!$G814</f>
        <v>10/501586-245627</v>
      </c>
      <c r="I225" s="37" t="s">
        <v>435</v>
      </c>
      <c r="J225">
        <v>264</v>
      </c>
      <c r="K225" s="3">
        <v>501.428</v>
      </c>
      <c r="L225" s="3">
        <v>415.76519359304473</v>
      </c>
      <c r="M225" s="5" t="s">
        <v>1489</v>
      </c>
      <c r="N225" s="53">
        <v>318.94799999999998</v>
      </c>
      <c r="O225" s="53">
        <v>233.29</v>
      </c>
      <c r="P225" s="52">
        <v>45933</v>
      </c>
      <c r="Q225" s="52">
        <v>45943</v>
      </c>
      <c r="R225" s="53">
        <f>O225</f>
        <v>233.29</v>
      </c>
      <c r="S225" s="37"/>
      <c r="T225" s="51" t="s">
        <v>1512</v>
      </c>
      <c r="U225" s="51" t="s">
        <v>1513</v>
      </c>
      <c r="V225" s="37" t="s">
        <v>568</v>
      </c>
      <c r="W225" s="53">
        <f>R225</f>
        <v>233.29</v>
      </c>
      <c r="X225" s="123">
        <f>IF(Faturamento!$V661="Pago",IFERROR(W225-R225,0),0)</f>
        <v>0</v>
      </c>
      <c r="Y225" s="52"/>
      <c r="Z225" s="52"/>
      <c r="AA225" s="5"/>
      <c r="AB225" s="5"/>
      <c r="AI225"/>
    </row>
    <row r="226" spans="1:35" hidden="1" x14ac:dyDescent="0.3">
      <c r="A226" s="5" t="str">
        <f>VLOOKUP(B226,base!A:M,11,FALSE)</f>
        <v>TRIFÁSICO</v>
      </c>
      <c r="B226" s="37" t="s">
        <v>148</v>
      </c>
      <c r="C226" s="56">
        <v>67996150274</v>
      </c>
      <c r="D226" s="59">
        <v>62955505331198</v>
      </c>
      <c r="E226" s="37" t="s">
        <v>433</v>
      </c>
      <c r="F226" s="37" t="s">
        <v>434</v>
      </c>
      <c r="G226" s="52">
        <v>45839</v>
      </c>
      <c r="H226" s="52" t="str">
        <f>Faturamento!$B642&amp;Faturamento!$G642</f>
        <v>10/908866-745689</v>
      </c>
      <c r="I226" s="37" t="s">
        <v>435</v>
      </c>
      <c r="J226" s="37">
        <v>295</v>
      </c>
      <c r="K226" s="53">
        <v>470.96900000000005</v>
      </c>
      <c r="L226" s="53">
        <v>402.87872140000002</v>
      </c>
      <c r="M226" s="5" t="str">
        <f>IF(Faturamento!$S642&lt;&gt;"","Não emitido",IF(Faturamento!$I642="NÃO","Pendente Fatura", IF(Faturamento!$R642&lt;&gt;"","Aprovado",IF(Faturamento!$O642&lt;&gt;0,"Pendente Emissão","Processo de Calculo"))))</f>
        <v>Aprovado</v>
      </c>
      <c r="N226" s="53">
        <v>300.84899999999993</v>
      </c>
      <c r="O226" s="53">
        <v>232.76</v>
      </c>
      <c r="P226" s="52">
        <v>45910</v>
      </c>
      <c r="Q226" s="52">
        <v>45920</v>
      </c>
      <c r="R226" s="53">
        <v>232.76</v>
      </c>
      <c r="S226" s="37"/>
      <c r="T226" s="51" t="s">
        <v>1197</v>
      </c>
      <c r="U226" s="51" t="s">
        <v>1198</v>
      </c>
      <c r="V226" s="37" t="s">
        <v>568</v>
      </c>
      <c r="W226" s="53">
        <v>300.85000000000002</v>
      </c>
      <c r="X226" s="123">
        <f>IF(Faturamento!$V716="Pago",IFERROR(W226-R226,0),0)</f>
        <v>68.090000000000032</v>
      </c>
      <c r="Y226" s="52">
        <v>45930</v>
      </c>
      <c r="Z226" s="52"/>
      <c r="AA226" s="5"/>
      <c r="AB226" s="5"/>
      <c r="AI226"/>
    </row>
    <row r="227" spans="1:35" hidden="1" x14ac:dyDescent="0.3">
      <c r="A227" s="5" t="str">
        <f>VLOOKUP(B227,base!A:M,11,FALSE)</f>
        <v>BIFÁSICO</v>
      </c>
      <c r="B227" t="s">
        <v>198</v>
      </c>
      <c r="C227" s="56" t="s">
        <v>166</v>
      </c>
      <c r="D227">
        <v>62955505419443</v>
      </c>
      <c r="E227" s="37" t="s">
        <v>433</v>
      </c>
      <c r="F227" t="s">
        <v>108</v>
      </c>
      <c r="G227" s="4">
        <v>45931</v>
      </c>
      <c r="H227" s="52" t="str">
        <f>Faturamento!$B953&amp;Faturamento!$G953</f>
        <v>10/129490-945809</v>
      </c>
      <c r="I227" s="37" t="s">
        <v>435</v>
      </c>
      <c r="J227">
        <v>264</v>
      </c>
      <c r="K227" s="3">
        <v>420.13159999999993</v>
      </c>
      <c r="L227" s="3">
        <v>330.23665383715672</v>
      </c>
      <c r="M227" s="5" t="s">
        <v>1489</v>
      </c>
      <c r="N227" s="53">
        <v>321.42159999999996</v>
      </c>
      <c r="O227" s="53">
        <v>232.48</v>
      </c>
      <c r="P227" s="52">
        <v>45967</v>
      </c>
      <c r="Q227" s="52">
        <v>45974</v>
      </c>
      <c r="R227" s="53">
        <v>232.48</v>
      </c>
      <c r="S227" s="37"/>
      <c r="T227" s="3" t="str">
        <f>D227&amp;R227</f>
        <v>62955505419443232,48</v>
      </c>
      <c r="U227" s="3" t="s">
        <v>1765</v>
      </c>
      <c r="V227" s="37" t="s">
        <v>568</v>
      </c>
      <c r="W227" s="13">
        <f>R227</f>
        <v>232.48</v>
      </c>
      <c r="X227" s="124">
        <f>IF(Faturamento!$V955="Pago",IFERROR(W227-R227,0),0)</f>
        <v>0</v>
      </c>
    </row>
    <row r="228" spans="1:35" hidden="1" x14ac:dyDescent="0.3">
      <c r="A228" s="5" t="str">
        <f>VLOOKUP(B228,base!A:M,11,FALSE)</f>
        <v>BIFÁSICO</v>
      </c>
      <c r="B228" t="s">
        <v>297</v>
      </c>
      <c r="C228" s="56">
        <v>67996266684</v>
      </c>
      <c r="D228">
        <v>62955505016080</v>
      </c>
      <c r="E228" s="37" t="s">
        <v>433</v>
      </c>
      <c r="F228" t="s">
        <v>108</v>
      </c>
      <c r="G228" s="4">
        <v>45931</v>
      </c>
      <c r="H228" s="52" t="str">
        <f>Faturamento!$B972&amp;Faturamento!$G972</f>
        <v>10/237441-145870</v>
      </c>
      <c r="I228" s="37" t="s">
        <v>435</v>
      </c>
      <c r="J228">
        <v>262</v>
      </c>
      <c r="K228" s="3">
        <v>447.22319999999996</v>
      </c>
      <c r="L228" s="3">
        <v>356.96981693371811</v>
      </c>
      <c r="M228" s="5" t="s">
        <v>1489</v>
      </c>
      <c r="N228" s="53">
        <v>322.70319999999998</v>
      </c>
      <c r="O228" s="53">
        <v>232.45</v>
      </c>
      <c r="P228" s="52">
        <v>45967</v>
      </c>
      <c r="Q228" s="52">
        <v>45974</v>
      </c>
      <c r="R228" s="53">
        <v>232.45</v>
      </c>
      <c r="S228" s="37"/>
      <c r="T228" s="3" t="str">
        <f>D228&amp;R228</f>
        <v>62955505016080232,45</v>
      </c>
      <c r="U228" s="3" t="s">
        <v>1784</v>
      </c>
      <c r="V228" s="37" t="s">
        <v>568</v>
      </c>
      <c r="W228" s="13">
        <v>322.7</v>
      </c>
      <c r="X228" s="124">
        <f>IF(Faturamento!$V974="Pago",IFERROR(W228-R228,0),0)</f>
        <v>0</v>
      </c>
      <c r="Y228" s="175">
        <v>45994</v>
      </c>
      <c r="Z228" s="196" t="s">
        <v>1795</v>
      </c>
    </row>
    <row r="229" spans="1:35" hidden="1" x14ac:dyDescent="0.3">
      <c r="A229" s="5" t="str">
        <f>VLOOKUP(B229,base!A:M,11,FALSE)</f>
        <v>TRIFÁSICO</v>
      </c>
      <c r="B229" t="s">
        <v>224</v>
      </c>
      <c r="C229" s="56" t="s">
        <v>226</v>
      </c>
      <c r="D229">
        <v>62955505088404</v>
      </c>
      <c r="E229" s="37" t="s">
        <v>433</v>
      </c>
      <c r="F229" t="s">
        <v>108</v>
      </c>
      <c r="G229" s="4">
        <v>45931</v>
      </c>
      <c r="H229" s="52" t="str">
        <f>Faturamento!$B974&amp;Faturamento!$G974</f>
        <v>10/31292-645870</v>
      </c>
      <c r="I229" s="37" t="s">
        <v>435</v>
      </c>
      <c r="J229">
        <v>274</v>
      </c>
      <c r="K229" s="3">
        <v>503.24326086956523</v>
      </c>
      <c r="L229" s="3">
        <v>413.07096775654389</v>
      </c>
      <c r="M229" s="5" t="s">
        <v>1489</v>
      </c>
      <c r="N229" s="53">
        <v>322.41326086956525</v>
      </c>
      <c r="O229" s="53">
        <v>232.24</v>
      </c>
      <c r="P229" s="52">
        <v>45967</v>
      </c>
      <c r="Q229" s="52">
        <v>45974</v>
      </c>
      <c r="R229" s="53">
        <v>232.24</v>
      </c>
      <c r="S229" s="37"/>
      <c r="T229" s="3" t="str">
        <f>D229&amp;R229</f>
        <v>62955505088404232,24</v>
      </c>
      <c r="U229" s="3" t="s">
        <v>1786</v>
      </c>
      <c r="V229" s="37" t="s">
        <v>568</v>
      </c>
      <c r="W229" s="13">
        <f>R229</f>
        <v>232.24</v>
      </c>
      <c r="X229" s="124">
        <f>IF(Faturamento!$V976="Pago",IFERROR(W229-R229,0),0)</f>
        <v>0</v>
      </c>
    </row>
    <row r="230" spans="1:35" hidden="1" x14ac:dyDescent="0.3">
      <c r="A230" s="5" t="str">
        <f>VLOOKUP(B230,base!A:M,11,FALSE)</f>
        <v>TRIFÁSICO</v>
      </c>
      <c r="B230" s="37" t="s">
        <v>255</v>
      </c>
      <c r="C230" s="56">
        <v>0</v>
      </c>
      <c r="D230" s="59">
        <v>62955505182257</v>
      </c>
      <c r="E230" s="37" t="s">
        <v>433</v>
      </c>
      <c r="F230" s="37" t="s">
        <v>434</v>
      </c>
      <c r="G230" s="52">
        <v>45901</v>
      </c>
      <c r="H230" s="52" t="str">
        <f>Faturamento!$B854&amp;Faturamento!$G854</f>
        <v>10/252817-245689</v>
      </c>
      <c r="I230" s="37" t="s">
        <v>435</v>
      </c>
      <c r="J230">
        <v>302</v>
      </c>
      <c r="K230" s="3">
        <v>500.26156862745103</v>
      </c>
      <c r="L230" s="3">
        <v>414.98724363642441</v>
      </c>
      <c r="M230" s="5" t="s">
        <v>1489</v>
      </c>
      <c r="N230" s="53">
        <v>317.50156862745098</v>
      </c>
      <c r="O230" s="53">
        <v>232.23</v>
      </c>
      <c r="P230" s="52">
        <v>45933</v>
      </c>
      <c r="Q230" s="52">
        <v>45943</v>
      </c>
      <c r="R230" s="53">
        <f>O230</f>
        <v>232.23</v>
      </c>
      <c r="S230" s="37"/>
      <c r="T230" s="51" t="s">
        <v>1587</v>
      </c>
      <c r="U230" s="51" t="s">
        <v>1588</v>
      </c>
      <c r="V230" s="37" t="s">
        <v>568</v>
      </c>
      <c r="W230" s="53">
        <f>O230</f>
        <v>232.23</v>
      </c>
      <c r="X230" s="123">
        <f>IF(Faturamento!$V660="Pago",IFERROR(W230-R230,0),0)</f>
        <v>0</v>
      </c>
      <c r="Y230" s="52"/>
      <c r="Z230" s="52"/>
      <c r="AA230" s="5"/>
      <c r="AB230" s="5"/>
      <c r="AI230"/>
    </row>
    <row r="231" spans="1:35" hidden="1" x14ac:dyDescent="0.3">
      <c r="A231" s="5" t="str">
        <f>VLOOKUP(B231,base!A:M,11,FALSE)</f>
        <v>TRIFÁSICO</v>
      </c>
      <c r="B231" s="37" t="s">
        <v>302</v>
      </c>
      <c r="C231" s="56">
        <v>67992637973</v>
      </c>
      <c r="D231" s="59">
        <v>62955505321630</v>
      </c>
      <c r="E231" s="37" t="s">
        <v>433</v>
      </c>
      <c r="F231" s="37" t="s">
        <v>434</v>
      </c>
      <c r="G231" s="52">
        <v>45689</v>
      </c>
      <c r="H231" s="52" t="str">
        <f>Faturamento!$B176&amp;Faturamento!$G176</f>
        <v>10/3123706-845901</v>
      </c>
      <c r="I231" s="37" t="s">
        <v>435</v>
      </c>
      <c r="J231" s="37">
        <v>277</v>
      </c>
      <c r="K231" s="53">
        <v>775.59</v>
      </c>
      <c r="L231" s="53">
        <v>698.29</v>
      </c>
      <c r="M231" s="5" t="str">
        <f>IF(Faturamento!$S176&lt;&gt;"","Não emitido",IF(Faturamento!$I176="NÃO","Pendente Fatura", IF(Faturamento!$R176&lt;&gt;"","Aprovado",IF(Faturamento!$O176&lt;&gt;0,"Pendente Emissão","Processo de Calculo"))))</f>
        <v>Aprovado</v>
      </c>
      <c r="N231" s="53">
        <v>309.2</v>
      </c>
      <c r="O231" s="53">
        <v>231.9</v>
      </c>
      <c r="P231" s="52"/>
      <c r="Q231" s="52"/>
      <c r="R231" s="53">
        <v>231.9</v>
      </c>
      <c r="S231" s="37"/>
      <c r="T231" s="51" t="s">
        <v>736</v>
      </c>
      <c r="U231" s="51"/>
      <c r="V231" s="37" t="s">
        <v>568</v>
      </c>
      <c r="W231" s="53">
        <v>231.9</v>
      </c>
      <c r="X231" s="123">
        <f>IF(Faturamento!$V659="Pago",IFERROR(W231-R231,0),0)</f>
        <v>0</v>
      </c>
      <c r="Y231" s="52"/>
      <c r="Z231" s="52"/>
      <c r="AA231" s="5"/>
      <c r="AB231" s="5"/>
      <c r="AI231"/>
    </row>
    <row r="232" spans="1:35" hidden="1" x14ac:dyDescent="0.3">
      <c r="A232" s="5" t="str">
        <f>VLOOKUP(B232,base!A:M,11,FALSE)</f>
        <v>TRIFÁSICO</v>
      </c>
      <c r="B232" s="37" t="s">
        <v>191</v>
      </c>
      <c r="C232" s="56">
        <v>67991767866</v>
      </c>
      <c r="D232" s="59">
        <v>62955505461210</v>
      </c>
      <c r="E232" s="37" t="s">
        <v>433</v>
      </c>
      <c r="F232" s="37" t="s">
        <v>434</v>
      </c>
      <c r="G232" s="52">
        <v>45689</v>
      </c>
      <c r="H232" s="52" t="str">
        <f>Faturamento!$B154&amp;Faturamento!$G154</f>
        <v>10/260761-245689</v>
      </c>
      <c r="I232" s="37" t="s">
        <v>435</v>
      </c>
      <c r="J232" s="37">
        <v>293</v>
      </c>
      <c r="K232" s="53">
        <v>496.33</v>
      </c>
      <c r="L232" s="53">
        <v>419.4375</v>
      </c>
      <c r="M232" s="5" t="str">
        <f>IF(Faturamento!$S154&lt;&gt;"","Não emitido",IF(Faturamento!$I154="NÃO","Pendente Fatura", IF(Faturamento!$R154&lt;&gt;"","Aprovado",IF(Faturamento!$O154&lt;&gt;0,"Pendente Emissão","Processo de Calculo"))))</f>
        <v>Aprovado</v>
      </c>
      <c r="N232" s="53">
        <v>307.57</v>
      </c>
      <c r="O232" s="53">
        <v>230.68</v>
      </c>
      <c r="P232" s="52"/>
      <c r="Q232" s="52"/>
      <c r="R232" s="53">
        <v>230.68</v>
      </c>
      <c r="S232" s="37"/>
      <c r="T232" s="51" t="s">
        <v>715</v>
      </c>
      <c r="U232" s="51"/>
      <c r="V232" s="37" t="s">
        <v>568</v>
      </c>
      <c r="W232" s="53">
        <v>230.68</v>
      </c>
      <c r="X232" s="123">
        <f>IF(Faturamento!$V658="Pago",IFERROR(W232-R232,0),0)</f>
        <v>0</v>
      </c>
      <c r="Y232" s="52"/>
      <c r="Z232" s="52"/>
      <c r="AA232" s="5"/>
      <c r="AB232" s="5"/>
      <c r="AI232"/>
    </row>
    <row r="233" spans="1:35" hidden="1" x14ac:dyDescent="0.3">
      <c r="A233" s="5" t="str">
        <f>VLOOKUP(B233,base!A:M,11,FALSE)</f>
        <v>TRIFÁSICO</v>
      </c>
      <c r="B233" s="37" t="s">
        <v>143</v>
      </c>
      <c r="C233" s="56" t="s">
        <v>144</v>
      </c>
      <c r="D233" s="59">
        <v>62955505149047</v>
      </c>
      <c r="E233" s="37" t="s">
        <v>433</v>
      </c>
      <c r="F233" s="37" t="s">
        <v>434</v>
      </c>
      <c r="G233" s="52">
        <v>45717</v>
      </c>
      <c r="H233" s="52" t="str">
        <f>Faturamento!$B260&amp;Faturamento!$G260</f>
        <v>10/341308-545931</v>
      </c>
      <c r="I233" s="37" t="s">
        <v>435</v>
      </c>
      <c r="J233">
        <v>286</v>
      </c>
      <c r="K233" s="3">
        <v>482.89</v>
      </c>
      <c r="L233" s="3">
        <v>406.35249999999996</v>
      </c>
      <c r="M233" s="5" t="str">
        <f>IF(Faturamento!$S260&lt;&gt;"","Não emitido",IF(Faturamento!$I260="NÃO","Pendente Fatura", IF(Faturamento!$R260&lt;&gt;"","Aprovado",IF(Faturamento!$O260&lt;&gt;0,"Pendente Emissão","Processo de Calculo"))))</f>
        <v>Aprovado</v>
      </c>
      <c r="N233" s="53">
        <v>306.15000000000003</v>
      </c>
      <c r="O233" s="53">
        <v>229.61</v>
      </c>
      <c r="P233" s="52"/>
      <c r="Q233" s="52"/>
      <c r="R233" s="53">
        <v>229.61</v>
      </c>
      <c r="S233" s="37"/>
      <c r="T233" s="51" t="s">
        <v>800</v>
      </c>
      <c r="U233" s="51"/>
      <c r="V233" s="37" t="s">
        <v>568</v>
      </c>
      <c r="W233" s="53">
        <v>229.61</v>
      </c>
      <c r="X233" s="123">
        <f>IF(Faturamento!$V657="Pago",IFERROR(W233-R233,0),0)</f>
        <v>0</v>
      </c>
      <c r="Y233" s="52"/>
      <c r="Z233" s="52"/>
      <c r="AA233" s="5"/>
      <c r="AB233" s="5"/>
      <c r="AI233"/>
    </row>
    <row r="234" spans="1:35" hidden="1" x14ac:dyDescent="0.3">
      <c r="A234" s="5" t="str">
        <f>VLOOKUP(B234,base!A:M,11,FALSE)</f>
        <v>BIFÁSICO</v>
      </c>
      <c r="B234" t="s">
        <v>297</v>
      </c>
      <c r="C234" s="1">
        <v>67996266684</v>
      </c>
      <c r="D234" s="60">
        <v>62955505016080</v>
      </c>
      <c r="E234" s="63" t="s">
        <v>433</v>
      </c>
      <c r="F234" t="s">
        <v>434</v>
      </c>
      <c r="G234" s="4">
        <v>45717</v>
      </c>
      <c r="H234" s="4" t="str">
        <f>Faturamento!$B255&amp;Faturamento!$G255</f>
        <v>10/3005226-045717</v>
      </c>
      <c r="I234" t="s">
        <v>435</v>
      </c>
      <c r="J234">
        <v>301</v>
      </c>
      <c r="K234" s="3">
        <v>415.14000000000004</v>
      </c>
      <c r="L234" s="3">
        <v>338.68</v>
      </c>
      <c r="M234" s="5" t="str">
        <f>IF(Faturamento!$S255&lt;&gt;"","Não emitido",IF(Faturamento!$I255="NÃO","Pendente Fatura", IF(Faturamento!$R255&lt;&gt;"","Aprovado",IF(Faturamento!$O255&lt;&gt;0,"Pendente Emissão","Processo de Calculo"))))</f>
        <v>Aprovado</v>
      </c>
      <c r="N234" s="3">
        <v>305.84000000000003</v>
      </c>
      <c r="O234" s="3">
        <v>229.38</v>
      </c>
      <c r="P234" s="4"/>
      <c r="Q234" s="4"/>
      <c r="R234" s="3">
        <v>229.38</v>
      </c>
      <c r="S234"/>
      <c r="T234" s="51" t="s">
        <v>795</v>
      </c>
      <c r="U234" s="51"/>
      <c r="V234" t="s">
        <v>568</v>
      </c>
      <c r="W234" s="3">
        <v>229.38</v>
      </c>
      <c r="X234" s="123">
        <f>IF(Faturamento!$V656="Pago",IFERROR(W234-R234,0),0)</f>
        <v>0</v>
      </c>
      <c r="Y234" s="4"/>
      <c r="Z234" s="4"/>
      <c r="AA234" s="5"/>
      <c r="AB234" s="5"/>
      <c r="AI234"/>
    </row>
    <row r="235" spans="1:35" hidden="1" x14ac:dyDescent="0.3">
      <c r="A235" s="5" t="str">
        <f>VLOOKUP(B235,base!A:M,11,FALSE)</f>
        <v>BIFÁSICO</v>
      </c>
      <c r="B235" t="s">
        <v>297</v>
      </c>
      <c r="C235" s="1">
        <v>67996266684</v>
      </c>
      <c r="D235" s="60">
        <v>62955505016080</v>
      </c>
      <c r="E235" s="63" t="s">
        <v>433</v>
      </c>
      <c r="F235" t="s">
        <v>434</v>
      </c>
      <c r="G235" s="4">
        <v>45689</v>
      </c>
      <c r="H235" s="4" t="str">
        <f>Faturamento!$B175&amp;Faturamento!$G175</f>
        <v>10/61344-845839</v>
      </c>
      <c r="I235" t="s">
        <v>435</v>
      </c>
      <c r="J235" s="37">
        <v>283</v>
      </c>
      <c r="K235" s="53">
        <v>419.61</v>
      </c>
      <c r="L235" s="53">
        <v>343.30500000000001</v>
      </c>
      <c r="M235" s="5" t="str">
        <f>IF(Faturamento!$S175&lt;&gt;"","Não emitido",IF(Faturamento!$I175="NÃO","Pendente Fatura", IF(Faturamento!$R175&lt;&gt;"","Aprovado",IF(Faturamento!$O175&lt;&gt;0,"Pendente Emissão","Processo de Calculo"))))</f>
        <v>Aprovado</v>
      </c>
      <c r="N235" s="3">
        <v>305.22000000000003</v>
      </c>
      <c r="O235" s="3">
        <v>228.92</v>
      </c>
      <c r="P235" s="4"/>
      <c r="Q235" s="4"/>
      <c r="R235" s="3">
        <v>228.92</v>
      </c>
      <c r="S235"/>
      <c r="T235" s="51" t="s">
        <v>735</v>
      </c>
      <c r="U235" s="51"/>
      <c r="V235" t="s">
        <v>568</v>
      </c>
      <c r="W235" s="3">
        <v>228.92</v>
      </c>
      <c r="X235" s="123">
        <f>IF(Faturamento!$V655="Pago",IFERROR(W235-R235,0),0)</f>
        <v>0</v>
      </c>
      <c r="Y235" s="4"/>
      <c r="Z235" s="4"/>
      <c r="AA235" s="5"/>
      <c r="AB235" s="5"/>
      <c r="AI235"/>
    </row>
    <row r="236" spans="1:35" hidden="1" x14ac:dyDescent="0.3">
      <c r="A236" s="5" t="str">
        <f>VLOOKUP(B236,base!A:M,11,FALSE)</f>
        <v>TRIFÁSICO</v>
      </c>
      <c r="B236" t="s">
        <v>285</v>
      </c>
      <c r="C236" s="1">
        <v>67996266684</v>
      </c>
      <c r="D236" s="60">
        <v>62955505016080</v>
      </c>
      <c r="E236" s="63" t="s">
        <v>433</v>
      </c>
      <c r="F236" t="s">
        <v>434</v>
      </c>
      <c r="G236" s="4">
        <v>45658</v>
      </c>
      <c r="H236" s="4" t="str">
        <f>Faturamento!$B121&amp;Faturamento!$G121</f>
        <v>10/81222-245901</v>
      </c>
      <c r="I236" t="s">
        <v>435</v>
      </c>
      <c r="J236">
        <v>273</v>
      </c>
      <c r="K236" s="3">
        <v>669.62</v>
      </c>
      <c r="L236" s="3">
        <v>593.43500000000006</v>
      </c>
      <c r="M236" s="5" t="str">
        <f>IF(Faturamento!$S121&lt;&gt;"","Não emitido",IF(Faturamento!$I121="NÃO","Pendente Fatura", IF(Faturamento!$R121&lt;&gt;"","Aprovado",IF(Faturamento!$O121&lt;&gt;0,"Pendente Emissão","Processo de Calculo"))))</f>
        <v>Aprovado</v>
      </c>
      <c r="N236" s="3">
        <v>304.74</v>
      </c>
      <c r="O236" s="3">
        <v>228.56</v>
      </c>
      <c r="P236" s="4"/>
      <c r="Q236" s="4"/>
      <c r="R236" s="3">
        <v>228.56</v>
      </c>
      <c r="S236"/>
      <c r="T236" s="51" t="s">
        <v>679</v>
      </c>
      <c r="U236" s="51"/>
      <c r="V236" t="s">
        <v>369</v>
      </c>
      <c r="W236" s="3">
        <v>0</v>
      </c>
      <c r="X236" s="123">
        <f>IF(Faturamento!$V55="Pago",IFERROR(W236-R236,0),0)</f>
        <v>-228.56</v>
      </c>
      <c r="Y236" s="4"/>
      <c r="Z236" s="196" t="s">
        <v>1795</v>
      </c>
      <c r="AA236" s="5"/>
      <c r="AB236" s="5"/>
      <c r="AI236"/>
    </row>
    <row r="237" spans="1:35" hidden="1" x14ac:dyDescent="0.3">
      <c r="A237" s="5" t="str">
        <f>VLOOKUP(B237,base!A:M,11,FALSE)</f>
        <v>TRIFÁSICO</v>
      </c>
      <c r="B237" t="s">
        <v>148</v>
      </c>
      <c r="C237" s="1">
        <v>67996150274</v>
      </c>
      <c r="D237" s="60">
        <v>62955505331198</v>
      </c>
      <c r="E237" s="63" t="s">
        <v>433</v>
      </c>
      <c r="F237" t="s">
        <v>434</v>
      </c>
      <c r="G237" s="4">
        <v>45658</v>
      </c>
      <c r="H237" s="4" t="str">
        <f>Faturamento!$B93&amp;Faturamento!$G93</f>
        <v>10/1672452-845689</v>
      </c>
      <c r="I237" t="s">
        <v>435</v>
      </c>
      <c r="J237">
        <v>273</v>
      </c>
      <c r="K237" s="3">
        <v>725.35</v>
      </c>
      <c r="L237" s="3">
        <v>649.16499999999996</v>
      </c>
      <c r="M237" s="5" t="str">
        <f>IF(Faturamento!$S93&lt;&gt;"","Não emitido",IF(Faturamento!$I93="NÃO","Pendente Fatura", IF(Faturamento!$R93&lt;&gt;"","Aprovado",IF(Faturamento!$O93&lt;&gt;0,"Pendente Emissão","Processo de Calculo"))))</f>
        <v>Aprovado</v>
      </c>
      <c r="N237" s="3">
        <v>304.74</v>
      </c>
      <c r="O237" s="3">
        <v>228.56</v>
      </c>
      <c r="P237" s="4"/>
      <c r="Q237" s="4"/>
      <c r="R237" s="3">
        <v>228.56</v>
      </c>
      <c r="S237"/>
      <c r="T237" s="51" t="s">
        <v>650</v>
      </c>
      <c r="U237" s="51"/>
      <c r="V237" t="s">
        <v>568</v>
      </c>
      <c r="W237" s="3">
        <v>228.56</v>
      </c>
      <c r="X237" s="123">
        <f>IF(Faturamento!$V652="Pago",IFERROR(W237-R237,0),0)</f>
        <v>0</v>
      </c>
      <c r="Y237" s="4"/>
      <c r="Z237" s="4"/>
      <c r="AA237" s="5"/>
      <c r="AB237" s="5"/>
      <c r="AI237"/>
    </row>
    <row r="238" spans="1:35" hidden="1" x14ac:dyDescent="0.3">
      <c r="A238" s="5" t="str">
        <f>VLOOKUP(B238,base!A:M,11,FALSE)</f>
        <v>TRIFÁSICO</v>
      </c>
      <c r="B238" s="37" t="s">
        <v>255</v>
      </c>
      <c r="C238" s="56">
        <v>67999361728</v>
      </c>
      <c r="D238" s="59">
        <v>62955505182257</v>
      </c>
      <c r="E238" s="37" t="s">
        <v>433</v>
      </c>
      <c r="F238" s="37" t="s">
        <v>434</v>
      </c>
      <c r="G238" s="52">
        <v>45658</v>
      </c>
      <c r="H238" s="52" t="str">
        <f>Faturamento!$B112&amp;Faturamento!$G112</f>
        <v>10/1672452-845748</v>
      </c>
      <c r="I238" s="37" t="s">
        <v>435</v>
      </c>
      <c r="J238">
        <v>273</v>
      </c>
      <c r="K238" s="3">
        <v>518.59</v>
      </c>
      <c r="L238" s="3">
        <v>442.40499999999997</v>
      </c>
      <c r="M238" s="5" t="str">
        <f>IF(Faturamento!$S112&lt;&gt;"","Não emitido",IF(Faturamento!$I112="NÃO","Pendente Fatura", IF(Faturamento!$R112&lt;&gt;"","Aprovado",IF(Faturamento!$O112&lt;&gt;0,"Pendente Emissão","Processo de Calculo"))))</f>
        <v>Aprovado</v>
      </c>
      <c r="N238" s="53">
        <v>304.74</v>
      </c>
      <c r="O238" s="53">
        <v>228.56</v>
      </c>
      <c r="P238" s="52"/>
      <c r="Q238" s="52"/>
      <c r="R238" s="53">
        <v>228.56</v>
      </c>
      <c r="S238" s="37"/>
      <c r="T238" s="51" t="s">
        <v>670</v>
      </c>
      <c r="U238" s="51"/>
      <c r="V238" s="37" t="s">
        <v>568</v>
      </c>
      <c r="W238" s="53">
        <v>228.56</v>
      </c>
      <c r="X238" s="123">
        <f>IF(Faturamento!$V653="Pago",IFERROR(W238-R238,0),0)</f>
        <v>0</v>
      </c>
      <c r="Y238" s="52"/>
      <c r="Z238" s="52"/>
      <c r="AA238" s="5"/>
      <c r="AB238" s="5"/>
      <c r="AI238"/>
    </row>
    <row r="239" spans="1:35" hidden="1" x14ac:dyDescent="0.3">
      <c r="A239" s="5" t="str">
        <f>VLOOKUP(B239,base!A:M,11,FALSE)</f>
        <v>BIFÁSICO</v>
      </c>
      <c r="B239" s="37" t="s">
        <v>268</v>
      </c>
      <c r="C239" s="56">
        <v>67996859014</v>
      </c>
      <c r="D239" s="59">
        <v>62955505177504</v>
      </c>
      <c r="E239" s="37" t="s">
        <v>433</v>
      </c>
      <c r="F239" s="37" t="s">
        <v>434</v>
      </c>
      <c r="G239" s="52">
        <v>45658</v>
      </c>
      <c r="H239" s="52" t="str">
        <f>Faturamento!$B116&amp;Faturamento!$G116</f>
        <v>10/510330-445931</v>
      </c>
      <c r="I239" s="37" t="s">
        <v>435</v>
      </c>
      <c r="J239">
        <v>273</v>
      </c>
      <c r="K239" s="3">
        <v>455.12</v>
      </c>
      <c r="L239" s="3">
        <v>378.93499999999995</v>
      </c>
      <c r="M239" s="5" t="str">
        <f>IF(Faturamento!$S116&lt;&gt;"","Não emitido",IF(Faturamento!$I116="NÃO","Pendente Fatura", IF(Faturamento!$R116&lt;&gt;"","Aprovado",IF(Faturamento!$O116&lt;&gt;0,"Pendente Emissão","Processo de Calculo"))))</f>
        <v>Aprovado</v>
      </c>
      <c r="N239" s="53">
        <v>304.74</v>
      </c>
      <c r="O239" s="53">
        <v>228.56</v>
      </c>
      <c r="P239" s="52"/>
      <c r="Q239" s="52"/>
      <c r="R239" s="53">
        <v>228.56</v>
      </c>
      <c r="S239" s="37"/>
      <c r="T239" s="51" t="s">
        <v>674</v>
      </c>
      <c r="U239" s="51"/>
      <c r="V239" s="37" t="s">
        <v>568</v>
      </c>
      <c r="W239" s="53">
        <v>228.56</v>
      </c>
      <c r="X239" s="123">
        <f>IF(Faturamento!$V654="Pago",IFERROR(W239-R239,0),0)</f>
        <v>0</v>
      </c>
      <c r="Y239" s="52"/>
      <c r="Z239" s="52"/>
      <c r="AA239" s="5"/>
      <c r="AB239" s="5"/>
      <c r="AI239"/>
    </row>
    <row r="240" spans="1:35" hidden="1" x14ac:dyDescent="0.3">
      <c r="A240" s="5" t="str">
        <f>VLOOKUP(B240,base!A:M,11,FALSE)</f>
        <v>TRIFÁSICO</v>
      </c>
      <c r="B240" t="s">
        <v>320</v>
      </c>
      <c r="C240" s="56">
        <v>67981263396</v>
      </c>
      <c r="D240">
        <v>62955505135500</v>
      </c>
      <c r="E240" s="37" t="s">
        <v>433</v>
      </c>
      <c r="F240" t="s">
        <v>108</v>
      </c>
      <c r="G240" s="4">
        <v>45931</v>
      </c>
      <c r="H240" s="52" t="str">
        <f>Faturamento!$B903&amp;Faturamento!$G903</f>
        <v>10/52987-545717</v>
      </c>
      <c r="I240" s="37" t="s">
        <v>435</v>
      </c>
      <c r="J240">
        <v>296</v>
      </c>
      <c r="K240" s="3">
        <v>491.23529411764702</v>
      </c>
      <c r="L240" s="3">
        <v>402.84678584606786</v>
      </c>
      <c r="M240" s="5" t="s">
        <v>1489</v>
      </c>
      <c r="N240" s="53">
        <v>316.03529411764708</v>
      </c>
      <c r="O240" s="53">
        <v>227.72</v>
      </c>
      <c r="P240" s="52">
        <v>45967</v>
      </c>
      <c r="Q240" s="52">
        <v>45974</v>
      </c>
      <c r="R240" s="53">
        <v>227.72</v>
      </c>
      <c r="S240" s="37"/>
      <c r="T240" s="3" t="str">
        <f>D240&amp;R240</f>
        <v>62955505135500227,72</v>
      </c>
      <c r="U240" s="3" t="s">
        <v>1715</v>
      </c>
      <c r="V240" s="37" t="s">
        <v>568</v>
      </c>
      <c r="W240" s="13">
        <f>R240</f>
        <v>227.72</v>
      </c>
      <c r="X240" s="124">
        <f>IF(Faturamento!$V905="Pago",IFERROR(W240-R240,0),0)</f>
        <v>0</v>
      </c>
    </row>
    <row r="241" spans="1:35" hidden="1" x14ac:dyDescent="0.3">
      <c r="A241" s="5" t="str">
        <f>VLOOKUP(B241,base!A:M,11,FALSE)</f>
        <v>TRIFÁSICO</v>
      </c>
      <c r="B241" t="s">
        <v>290</v>
      </c>
      <c r="C241" s="56">
        <v>67992637973</v>
      </c>
      <c r="D241">
        <v>62955505354481</v>
      </c>
      <c r="E241" s="37" t="s">
        <v>433</v>
      </c>
      <c r="F241" t="s">
        <v>108</v>
      </c>
      <c r="G241" s="4">
        <v>45931</v>
      </c>
      <c r="H241" s="52" t="str">
        <f>Faturamento!$B900&amp;Faturamento!$G900</f>
        <v>10/63920-345717</v>
      </c>
      <c r="I241" s="37" t="s">
        <v>435</v>
      </c>
      <c r="J241">
        <v>297</v>
      </c>
      <c r="K241" s="3">
        <v>620.15189655172412</v>
      </c>
      <c r="L241" s="3">
        <v>531.93773963247054</v>
      </c>
      <c r="M241" s="5" t="s">
        <v>1489</v>
      </c>
      <c r="N241" s="53">
        <v>315.41189655172417</v>
      </c>
      <c r="O241" s="53">
        <v>227.2</v>
      </c>
      <c r="P241" s="52">
        <v>45967</v>
      </c>
      <c r="Q241" s="52">
        <v>45974</v>
      </c>
      <c r="R241" s="53">
        <v>227.2</v>
      </c>
      <c r="S241" s="37"/>
      <c r="T241" s="3" t="str">
        <f>D241&amp;R241</f>
        <v>62955505354481227,2</v>
      </c>
      <c r="U241" s="3" t="s">
        <v>1712</v>
      </c>
      <c r="V241" s="37" t="s">
        <v>568</v>
      </c>
      <c r="W241" s="13">
        <f>R241</f>
        <v>227.2</v>
      </c>
      <c r="X241" s="124">
        <f>IF(Faturamento!$V902="Pago",IFERROR(W241-R241,0),0)</f>
        <v>0</v>
      </c>
    </row>
    <row r="242" spans="1:35" hidden="1" x14ac:dyDescent="0.3">
      <c r="A242" s="5" t="str">
        <f>VLOOKUP(B242,base!A:M,11,FALSE)</f>
        <v>TRIFÁSICO</v>
      </c>
      <c r="B242" s="37" t="s">
        <v>320</v>
      </c>
      <c r="C242" s="56">
        <v>0</v>
      </c>
      <c r="D242" s="59">
        <v>62955505135500</v>
      </c>
      <c r="E242" s="37" t="s">
        <v>433</v>
      </c>
      <c r="F242" s="37" t="s">
        <v>434</v>
      </c>
      <c r="G242" s="52">
        <v>45901</v>
      </c>
      <c r="H242" s="52" t="str">
        <f>Faturamento!$B860&amp;Faturamento!$G860</f>
        <v>10/127464-645689</v>
      </c>
      <c r="I242" s="37" t="s">
        <v>435</v>
      </c>
      <c r="J242">
        <v>294</v>
      </c>
      <c r="K242" s="3">
        <v>487.78692307692307</v>
      </c>
      <c r="L242" s="3">
        <v>404.76991126771281</v>
      </c>
      <c r="M242" s="5" t="s">
        <v>1489</v>
      </c>
      <c r="N242" s="53">
        <v>309.09692307692308</v>
      </c>
      <c r="O242" s="53">
        <v>226.08</v>
      </c>
      <c r="P242" s="52">
        <v>45933</v>
      </c>
      <c r="Q242" s="52">
        <v>45943</v>
      </c>
      <c r="R242" s="53">
        <f>O242</f>
        <v>226.08</v>
      </c>
      <c r="S242" s="37"/>
      <c r="T242" s="51" t="s">
        <v>1599</v>
      </c>
      <c r="U242" s="51" t="s">
        <v>1600</v>
      </c>
      <c r="V242" s="37" t="s">
        <v>568</v>
      </c>
      <c r="W242" s="53">
        <f>O242</f>
        <v>226.08</v>
      </c>
      <c r="X242" s="123">
        <f>IF(Faturamento!$V651="Pago",IFERROR(W242-R242,0),0)</f>
        <v>0</v>
      </c>
      <c r="Y242" s="52"/>
      <c r="Z242" s="52"/>
      <c r="AA242" s="5"/>
      <c r="AB242" s="5"/>
      <c r="AI242"/>
    </row>
    <row r="243" spans="1:35" hidden="1" x14ac:dyDescent="0.3">
      <c r="A243" s="5" t="str">
        <f>VLOOKUP(B243,base!A:M,11,FALSE)</f>
        <v>TRIFÁSICO</v>
      </c>
      <c r="B243" s="37" t="s">
        <v>345</v>
      </c>
      <c r="C243" s="56" t="s">
        <v>346</v>
      </c>
      <c r="D243" s="59">
        <v>62955505402710</v>
      </c>
      <c r="E243" s="37" t="s">
        <v>433</v>
      </c>
      <c r="F243" s="37" t="s">
        <v>434</v>
      </c>
      <c r="G243" s="52">
        <v>45658</v>
      </c>
      <c r="H243" s="52" t="str">
        <f>Faturamento!$B84&amp;Faturamento!$G84</f>
        <v>10/5202-745839</v>
      </c>
      <c r="I243" s="37" t="s">
        <v>435</v>
      </c>
      <c r="J243">
        <v>270</v>
      </c>
      <c r="K243" s="3">
        <v>484.35</v>
      </c>
      <c r="L243" s="3">
        <v>409.00250000000005</v>
      </c>
      <c r="M243" s="5" t="str">
        <f>IF(Faturamento!$S84&lt;&gt;"","Não emitido",IF(Faturamento!$I84="NÃO","Pendente Fatura", IF(Faturamento!$R84&lt;&gt;"","Aprovado",IF(Faturamento!$O84&lt;&gt;0,"Pendente Emissão","Processo de Calculo"))))</f>
        <v>Aprovado</v>
      </c>
      <c r="N243" s="53">
        <v>301.39</v>
      </c>
      <c r="O243" s="53">
        <v>226.04</v>
      </c>
      <c r="P243" s="52"/>
      <c r="Q243" s="52"/>
      <c r="R243" s="53">
        <v>226.04</v>
      </c>
      <c r="S243" s="37"/>
      <c r="T243" s="51" t="s">
        <v>643</v>
      </c>
      <c r="U243" s="51"/>
      <c r="V243" s="37" t="s">
        <v>568</v>
      </c>
      <c r="W243" s="53">
        <v>226.04</v>
      </c>
      <c r="X243" s="123">
        <f>IF(Faturamento!$V650="Pago",IFERROR(W243-R243,0),0)</f>
        <v>0</v>
      </c>
      <c r="Y243" s="52"/>
      <c r="Z243" s="52"/>
      <c r="AA243" s="5"/>
      <c r="AB243" s="5"/>
      <c r="AI243"/>
    </row>
    <row r="244" spans="1:35" hidden="1" x14ac:dyDescent="0.3">
      <c r="A244" s="5" t="str">
        <f>VLOOKUP(B244,base!A:M,11,FALSE)</f>
        <v>TRIFÁSICO</v>
      </c>
      <c r="B244" t="s">
        <v>146</v>
      </c>
      <c r="C244" s="1">
        <v>67991306665</v>
      </c>
      <c r="D244" s="60">
        <v>62955505379395</v>
      </c>
      <c r="E244" s="63" t="s">
        <v>433</v>
      </c>
      <c r="F244" t="s">
        <v>434</v>
      </c>
      <c r="G244" s="4">
        <v>45748</v>
      </c>
      <c r="H244" s="4" t="str">
        <f>Faturamento!$B403&amp;Faturamento!$G403</f>
        <v>10/76927-345778</v>
      </c>
      <c r="I244" t="s">
        <v>435</v>
      </c>
      <c r="J244" s="37">
        <v>310</v>
      </c>
      <c r="K244" s="53">
        <v>459.59</v>
      </c>
      <c r="L244" s="53">
        <v>384.26499999999999</v>
      </c>
      <c r="M244" s="5" t="str">
        <f>IF(Faturamento!$S403&lt;&gt;"","Não emitido",IF(Faturamento!$I403="NÃO","Pendente Fatura", IF(Faturamento!$R403&lt;&gt;"","Aprovado",IF(Faturamento!$O403&lt;&gt;0,"Pendente Emissão","Processo de Calculo"))))</f>
        <v>Aprovado</v>
      </c>
      <c r="N244" s="3">
        <v>301.3</v>
      </c>
      <c r="O244" s="3">
        <v>225.98</v>
      </c>
      <c r="P244" s="4"/>
      <c r="Q244" s="4"/>
      <c r="R244" s="3">
        <v>225.98</v>
      </c>
      <c r="S244"/>
      <c r="T244" s="51" t="s">
        <v>901</v>
      </c>
      <c r="U244" s="51"/>
      <c r="V244" t="s">
        <v>568</v>
      </c>
      <c r="W244" s="3">
        <v>225.98</v>
      </c>
      <c r="X244" s="123">
        <f>IF(Faturamento!$V649="Pago",IFERROR(W244-R244,0),0)</f>
        <v>0</v>
      </c>
      <c r="Y244" s="4"/>
      <c r="Z244" s="4"/>
      <c r="AA244" s="5"/>
      <c r="AB244" s="5"/>
      <c r="AI244"/>
    </row>
    <row r="245" spans="1:35" hidden="1" x14ac:dyDescent="0.3">
      <c r="A245" s="5" t="str">
        <f>VLOOKUP(B245,base!A:M,11,FALSE)</f>
        <v>TRIFÁSICO</v>
      </c>
      <c r="B245" s="37" t="s">
        <v>285</v>
      </c>
      <c r="C245" s="56">
        <v>67996266684</v>
      </c>
      <c r="D245" s="59">
        <v>62955505016080</v>
      </c>
      <c r="E245" s="37" t="s">
        <v>433</v>
      </c>
      <c r="F245" s="37" t="s">
        <v>434</v>
      </c>
      <c r="G245" s="52">
        <v>45778</v>
      </c>
      <c r="H245" s="52" t="str">
        <f>Faturamento!$B486&amp;Faturamento!$G486</f>
        <v>10/129490-945778</v>
      </c>
      <c r="I245" s="37" t="s">
        <v>435</v>
      </c>
      <c r="J245">
        <v>310</v>
      </c>
      <c r="K245" s="3">
        <v>682.70324561403515</v>
      </c>
      <c r="L245" s="3">
        <v>607.55243421052637</v>
      </c>
      <c r="M245" s="5" t="str">
        <f>IF(Faturamento!$S486&lt;&gt;"","Não emitido",IF(Faturamento!$I486="NÃO","Pendente Fatura", IF(Faturamento!$R486&lt;&gt;"","Aprovado",IF(Faturamento!$O486&lt;&gt;0,"Pendente Emissão","Processo de Calculo"))))</f>
        <v>Aprovado</v>
      </c>
      <c r="N245" s="53">
        <v>300.60324561403519</v>
      </c>
      <c r="O245" s="53">
        <v>225.45</v>
      </c>
      <c r="P245" s="52"/>
      <c r="Q245" s="52"/>
      <c r="R245" s="53">
        <v>225.45</v>
      </c>
      <c r="S245" s="37"/>
      <c r="T245" s="51" t="s">
        <v>974</v>
      </c>
      <c r="U245" s="51"/>
      <c r="V245" s="37" t="s">
        <v>568</v>
      </c>
      <c r="W245" s="53">
        <v>225.45</v>
      </c>
      <c r="X245" s="123">
        <f>IF(Faturamento!$V648="Pago",IFERROR(W245-R245,0),0)</f>
        <v>0</v>
      </c>
      <c r="Y245" s="52"/>
      <c r="Z245" s="52"/>
      <c r="AA245" s="5"/>
      <c r="AB245" s="5"/>
      <c r="AI245"/>
    </row>
    <row r="246" spans="1:35" hidden="1" x14ac:dyDescent="0.3">
      <c r="A246" s="5" t="str">
        <f>VLOOKUP(B246,base!A:M,11,FALSE)</f>
        <v>BIFÁSICO</v>
      </c>
      <c r="B246" t="s">
        <v>127</v>
      </c>
      <c r="C246" s="1">
        <v>67996446178</v>
      </c>
      <c r="D246" s="60">
        <v>62955505016918</v>
      </c>
      <c r="E246" s="63" t="s">
        <v>433</v>
      </c>
      <c r="F246" t="s">
        <v>434</v>
      </c>
      <c r="G246" s="4">
        <v>45778</v>
      </c>
      <c r="H246" s="4" t="str">
        <f>Faturamento!$B483&amp;Faturamento!$G483</f>
        <v>10/260761-245931</v>
      </c>
      <c r="I246" t="s">
        <v>435</v>
      </c>
      <c r="J246">
        <v>310</v>
      </c>
      <c r="K246" s="3">
        <v>685.40377682403448</v>
      </c>
      <c r="L246" s="3">
        <v>610.26033261802581</v>
      </c>
      <c r="M246" s="5" t="str">
        <f>IF(Faturamento!$S483&lt;&gt;"","Não emitido",IF(Faturamento!$I483="NÃO","Pendente Fatura", IF(Faturamento!$R483&lt;&gt;"","Aprovado",IF(Faturamento!$O483&lt;&gt;0,"Pendente Emissão","Processo de Calculo"))))</f>
        <v>Aprovado</v>
      </c>
      <c r="N246" s="3">
        <v>300.57377682403438</v>
      </c>
      <c r="O246" s="3">
        <v>225.43</v>
      </c>
      <c r="P246" s="4"/>
      <c r="Q246" s="4"/>
      <c r="R246" s="3">
        <v>225.43</v>
      </c>
      <c r="S246"/>
      <c r="T246" s="51" t="s">
        <v>971</v>
      </c>
      <c r="U246" s="51"/>
      <c r="V246" t="s">
        <v>568</v>
      </c>
      <c r="W246" s="3">
        <v>225.43</v>
      </c>
      <c r="X246" s="123">
        <f>IF(Faturamento!$V647="Pago",IFERROR(W246-R246,0),0)</f>
        <v>0</v>
      </c>
      <c r="Y246" s="4"/>
      <c r="Z246" s="4"/>
      <c r="AA246" s="5"/>
      <c r="AB246" s="5"/>
      <c r="AI246"/>
    </row>
    <row r="247" spans="1:35" hidden="1" x14ac:dyDescent="0.3">
      <c r="A247" s="5" t="str">
        <f>VLOOKUP(B247,base!A:M,11,FALSE)</f>
        <v>BIFÁSICO</v>
      </c>
      <c r="B247" s="37" t="s">
        <v>240</v>
      </c>
      <c r="C247" s="56">
        <v>0</v>
      </c>
      <c r="D247" s="59">
        <v>62955505015431</v>
      </c>
      <c r="E247" s="37" t="s">
        <v>433</v>
      </c>
      <c r="F247" s="37" t="s">
        <v>434</v>
      </c>
      <c r="G247" s="52">
        <v>45870</v>
      </c>
      <c r="H247" s="52" t="str">
        <f>Faturamento!$B784&amp;Faturamento!$G784</f>
        <v>10/1117293-945627</v>
      </c>
      <c r="I247" s="37" t="s">
        <v>435</v>
      </c>
      <c r="J247">
        <v>282</v>
      </c>
      <c r="K247" s="3">
        <v>360.6400000000001</v>
      </c>
      <c r="L247" s="3">
        <v>294.83788758569136</v>
      </c>
      <c r="M247" s="5" t="s">
        <v>1489</v>
      </c>
      <c r="N247" s="53">
        <v>291.21000000000004</v>
      </c>
      <c r="O247" s="53">
        <v>225.41</v>
      </c>
      <c r="P247" s="52">
        <v>45910</v>
      </c>
      <c r="Q247" s="52">
        <v>45920</v>
      </c>
      <c r="R247" s="53">
        <v>225.41</v>
      </c>
      <c r="S247" s="37"/>
      <c r="T247" s="51" t="s">
        <v>1464</v>
      </c>
      <c r="U247" s="51" t="s">
        <v>1465</v>
      </c>
      <c r="V247" s="37" t="s">
        <v>568</v>
      </c>
      <c r="W247" s="53">
        <v>225.41</v>
      </c>
      <c r="X247" s="123">
        <f>IF(Faturamento!$V646="Pago",IFERROR(W247-R247,0),0)</f>
        <v>0</v>
      </c>
      <c r="Y247" s="52"/>
      <c r="Z247" s="52"/>
      <c r="AA247" s="5"/>
      <c r="AB247" s="5"/>
      <c r="AI247"/>
    </row>
    <row r="248" spans="1:35" hidden="1" x14ac:dyDescent="0.3">
      <c r="A248" s="5" t="str">
        <f>VLOOKUP(B248,base!A:M,11,FALSE)</f>
        <v>BIFÁSICO</v>
      </c>
      <c r="B248" t="s">
        <v>318</v>
      </c>
      <c r="C248" s="56">
        <v>67999998719</v>
      </c>
      <c r="D248">
        <v>62955505015431</v>
      </c>
      <c r="E248" s="37" t="s">
        <v>433</v>
      </c>
      <c r="F248" t="s">
        <v>108</v>
      </c>
      <c r="G248" s="4">
        <v>45931</v>
      </c>
      <c r="H248" s="52" t="str">
        <f>Faturamento!$B891&amp;Faturamento!$G891</f>
        <v>10/399338-345717</v>
      </c>
      <c r="I248" s="37" t="s">
        <v>435</v>
      </c>
      <c r="J248">
        <v>602</v>
      </c>
      <c r="K248" s="3">
        <v>760.05</v>
      </c>
      <c r="L248" s="3">
        <v>594.84347779243365</v>
      </c>
      <c r="M248" s="5" t="s">
        <v>1489</v>
      </c>
      <c r="N248" s="53">
        <v>590.69999999999993</v>
      </c>
      <c r="O248" s="53">
        <v>425.49</v>
      </c>
      <c r="P248" s="52">
        <v>45967</v>
      </c>
      <c r="Q248" s="52">
        <v>45974</v>
      </c>
      <c r="R248" s="53">
        <v>425.49</v>
      </c>
      <c r="S248" s="37"/>
      <c r="T248" s="3" t="str">
        <f>D248&amp;R248</f>
        <v>62955505015431425,49</v>
      </c>
      <c r="U248" s="3" t="s">
        <v>1703</v>
      </c>
      <c r="V248" s="37" t="s">
        <v>369</v>
      </c>
      <c r="X248" s="124">
        <f>IF(Faturamento!$V893="Pago",IFERROR(W248-R248,0),0)</f>
        <v>0</v>
      </c>
      <c r="Z248" s="196" t="s">
        <v>1795</v>
      </c>
    </row>
    <row r="249" spans="1:35" hidden="1" x14ac:dyDescent="0.3">
      <c r="A249" s="5" t="str">
        <f>VLOOKUP(B249,base!A:M,11,FALSE)</f>
        <v>TRIFÁSICO</v>
      </c>
      <c r="B249" t="s">
        <v>255</v>
      </c>
      <c r="C249" s="1">
        <v>67999361728</v>
      </c>
      <c r="D249" s="60">
        <v>62955505182257</v>
      </c>
      <c r="E249" s="63" t="s">
        <v>433</v>
      </c>
      <c r="F249" t="s">
        <v>434</v>
      </c>
      <c r="G249" s="4">
        <v>45778</v>
      </c>
      <c r="H249" s="4" t="str">
        <f>Faturamento!$B491&amp;Faturamento!$G491</f>
        <v>10/252817-245901</v>
      </c>
      <c r="I249" t="s">
        <v>435</v>
      </c>
      <c r="J249">
        <v>310</v>
      </c>
      <c r="K249" s="3">
        <v>569.10918918918924</v>
      </c>
      <c r="L249" s="3">
        <v>494.01689189189187</v>
      </c>
      <c r="M249" s="5" t="str">
        <f>IF(Faturamento!$S491&lt;&gt;"","Não emitido",IF(Faturamento!$I491="NÃO","Pendente Fatura", IF(Faturamento!$R491&lt;&gt;"","Aprovado",IF(Faturamento!$O491&lt;&gt;0,"Pendente Emissão","Processo de Calculo"))))</f>
        <v>Aprovado</v>
      </c>
      <c r="N249" s="3">
        <v>300.36918918918917</v>
      </c>
      <c r="O249" s="3">
        <v>225.28</v>
      </c>
      <c r="P249" s="4"/>
      <c r="Q249" s="4"/>
      <c r="R249" s="3">
        <v>225.28</v>
      </c>
      <c r="S249"/>
      <c r="T249" s="51" t="s">
        <v>979</v>
      </c>
      <c r="U249" s="51"/>
      <c r="V249" t="s">
        <v>568</v>
      </c>
      <c r="W249" s="3">
        <v>300.37</v>
      </c>
      <c r="X249" s="123">
        <f>IF(Faturamento!$V712="Pago",IFERROR(W249-R249,0),0)</f>
        <v>75.09</v>
      </c>
      <c r="Y249" s="4">
        <v>45932</v>
      </c>
      <c r="Z249" s="4"/>
      <c r="AA249" s="5"/>
      <c r="AB249" s="5"/>
      <c r="AI249"/>
    </row>
    <row r="250" spans="1:35" hidden="1" x14ac:dyDescent="0.3">
      <c r="A250" s="5" t="str">
        <f>VLOOKUP(B250,base!A:M,11,FALSE)</f>
        <v>BIFÁSICO</v>
      </c>
      <c r="B250" s="37" t="s">
        <v>276</v>
      </c>
      <c r="C250" s="56" t="s">
        <v>278</v>
      </c>
      <c r="D250" s="59">
        <v>62955505000167</v>
      </c>
      <c r="E250" s="37" t="s">
        <v>433</v>
      </c>
      <c r="F250" s="37" t="s">
        <v>434</v>
      </c>
      <c r="G250" s="52">
        <v>45717</v>
      </c>
      <c r="H250" s="52" t="str">
        <f>Faturamento!$B264&amp;Faturamento!$G264</f>
        <v>10/13786-945778</v>
      </c>
      <c r="I250" s="37" t="s">
        <v>435</v>
      </c>
      <c r="J250">
        <v>268</v>
      </c>
      <c r="K250" s="3">
        <v>354.96999999999997</v>
      </c>
      <c r="L250" s="3">
        <v>280.1875</v>
      </c>
      <c r="M250" s="5" t="str">
        <f>IF(Faturamento!$S264&lt;&gt;"","Não emitido",IF(Faturamento!$I264="NÃO","Pendente Fatura", IF(Faturamento!$R264&lt;&gt;"","Aprovado",IF(Faturamento!$O264&lt;&gt;0,"Pendente Emissão","Processo de Calculo"))))</f>
        <v>Aprovado</v>
      </c>
      <c r="N250" s="53">
        <v>299.13</v>
      </c>
      <c r="O250" s="53">
        <v>224.35</v>
      </c>
      <c r="P250" s="52"/>
      <c r="Q250" s="52"/>
      <c r="R250" s="53">
        <v>224.35</v>
      </c>
      <c r="S250" s="37"/>
      <c r="T250" s="51" t="s">
        <v>804</v>
      </c>
      <c r="U250" s="51"/>
      <c r="V250" s="37" t="s">
        <v>568</v>
      </c>
      <c r="W250" s="53">
        <v>224.35</v>
      </c>
      <c r="X250" s="123">
        <f>IF(Faturamento!$V645="Pago",IFERROR(W250-R250,0),0)</f>
        <v>0</v>
      </c>
      <c r="Y250" s="52"/>
      <c r="Z250" s="52"/>
      <c r="AA250" s="5"/>
      <c r="AB250" s="5"/>
      <c r="AI250" t="str">
        <f>VLOOKUP(B250,'[1]Conciliação - 032025'!$A:$L,12,FALSE)</f>
        <v>DEPÓSITO UNIFICADO ITAU R$386,62 - 03/06/2025</v>
      </c>
    </row>
    <row r="251" spans="1:35" hidden="1" x14ac:dyDescent="0.3">
      <c r="A251" s="5" t="str">
        <f>VLOOKUP(B251,base!A:M,11,FALSE)</f>
        <v>BIFÁSICO</v>
      </c>
      <c r="B251" t="s">
        <v>130</v>
      </c>
      <c r="D251" s="60">
        <v>62955505000167</v>
      </c>
      <c r="E251" s="63" t="s">
        <v>433</v>
      </c>
      <c r="F251" t="s">
        <v>434</v>
      </c>
      <c r="G251" s="4">
        <v>45870</v>
      </c>
      <c r="H251" s="4" t="str">
        <f>Faturamento!$B781&amp;Faturamento!$G781</f>
        <v>10/226667-445839</v>
      </c>
      <c r="I251" t="s">
        <v>435</v>
      </c>
      <c r="J251">
        <v>291</v>
      </c>
      <c r="K251" s="3">
        <v>351.49</v>
      </c>
      <c r="L251" s="3">
        <v>286.21663640286607</v>
      </c>
      <c r="M251" s="5" t="s">
        <v>1489</v>
      </c>
      <c r="N251" s="3">
        <v>288.87000000000006</v>
      </c>
      <c r="O251" s="3">
        <v>223.6</v>
      </c>
      <c r="P251" s="4">
        <v>45910</v>
      </c>
      <c r="Q251" s="4">
        <v>45920</v>
      </c>
      <c r="R251" s="3">
        <v>223.6</v>
      </c>
      <c r="S251"/>
      <c r="T251" s="51" t="s">
        <v>1458</v>
      </c>
      <c r="U251" s="51" t="s">
        <v>1459</v>
      </c>
      <c r="V251" s="37" t="s">
        <v>369</v>
      </c>
      <c r="W251" s="3">
        <v>0</v>
      </c>
      <c r="X251" s="123">
        <f>IF(Faturamento!$V236="Pago",IFERROR(W251-R251,0),0)</f>
        <v>0</v>
      </c>
      <c r="Y251" s="4"/>
      <c r="Z251" s="196" t="s">
        <v>1795</v>
      </c>
      <c r="AA251" s="5"/>
      <c r="AB251" s="5"/>
      <c r="AI251"/>
    </row>
    <row r="252" spans="1:35" hidden="1" x14ac:dyDescent="0.3">
      <c r="A252" s="5" t="str">
        <f>VLOOKUP(B252,base!A:M,11,FALSE)</f>
        <v>TRIFÁSICO</v>
      </c>
      <c r="B252" s="37" t="s">
        <v>315</v>
      </c>
      <c r="C252" s="56">
        <v>67996446178</v>
      </c>
      <c r="D252" s="59">
        <v>62955505359360</v>
      </c>
      <c r="E252" s="37" t="s">
        <v>433</v>
      </c>
      <c r="F252" s="37" t="s">
        <v>434</v>
      </c>
      <c r="G252" s="52">
        <v>45778</v>
      </c>
      <c r="H252" s="52" t="str">
        <f>Faturamento!$B444&amp;Faturamento!$G444</f>
        <v>10/952579-145931</v>
      </c>
      <c r="I252" s="37" t="s">
        <v>435</v>
      </c>
      <c r="J252">
        <v>261</v>
      </c>
      <c r="K252" s="3">
        <v>483.90949999999998</v>
      </c>
      <c r="L252" s="3">
        <v>409.45212500000002</v>
      </c>
      <c r="M252" s="5" t="str">
        <f>IF(Faturamento!$S444&lt;&gt;"","Não emitido",IF(Faturamento!$I444="NÃO","Pendente Fatura", IF(Faturamento!$R444&lt;&gt;"","Aprovado",IF(Faturamento!$O444&lt;&gt;0,"Pendente Emissão","Processo de Calculo"))))</f>
        <v>Aprovado</v>
      </c>
      <c r="N252" s="53">
        <v>297.8295</v>
      </c>
      <c r="O252" s="53">
        <v>223.37</v>
      </c>
      <c r="P252" s="52"/>
      <c r="Q252" s="52"/>
      <c r="R252" s="53">
        <v>223.37</v>
      </c>
      <c r="S252" s="37"/>
      <c r="T252" s="51" t="s">
        <v>939</v>
      </c>
      <c r="U252" s="51"/>
      <c r="V252" s="37" t="s">
        <v>568</v>
      </c>
      <c r="W252" s="53">
        <v>223.37</v>
      </c>
      <c r="X252" s="123">
        <f>IF(Faturamento!$V644="Pago",IFERROR(W252-R252,0),0)</f>
        <v>0</v>
      </c>
      <c r="Y252" s="52"/>
      <c r="Z252" s="52"/>
      <c r="AA252" s="5"/>
      <c r="AB252" s="5"/>
      <c r="AI252"/>
    </row>
    <row r="253" spans="1:35" hidden="1" x14ac:dyDescent="0.3">
      <c r="A253" s="5" t="e">
        <f>VLOOKUP(B253,base!A:M,11,FALSE)</f>
        <v>#N/A</v>
      </c>
      <c r="B253" t="s">
        <v>520</v>
      </c>
      <c r="C253" s="1" t="e">
        <v>#N/A</v>
      </c>
      <c r="D253" s="60">
        <v>62955505057789</v>
      </c>
      <c r="E253" s="63" t="s">
        <v>433</v>
      </c>
      <c r="F253" t="s">
        <v>434</v>
      </c>
      <c r="G253" s="4">
        <v>45839</v>
      </c>
      <c r="H253" s="4" t="str">
        <f>Faturamento!$B707&amp;Faturamento!$G707</f>
        <v>10/252817-245809</v>
      </c>
      <c r="I253" t="s">
        <v>435</v>
      </c>
      <c r="J253" s="37">
        <v>283</v>
      </c>
      <c r="K253" s="53"/>
      <c r="L253" s="53"/>
      <c r="M253" s="5" t="str">
        <f>IF(Faturamento!$S707&lt;&gt;"","Não emitido",IF(Faturamento!$I707="NÃO","Pendente Fatura", IF(Faturamento!$R707&lt;&gt;"","Aprovado",IF(Faturamento!$O707&lt;&gt;0,"Pendente Emissão","Processo de Calculo"))))</f>
        <v>Aprovado</v>
      </c>
      <c r="N253" s="3">
        <v>288.08500000000004</v>
      </c>
      <c r="O253" s="3">
        <v>222.84</v>
      </c>
      <c r="P253" s="4">
        <v>45910</v>
      </c>
      <c r="Q253" s="4">
        <v>45920</v>
      </c>
      <c r="R253" s="3">
        <v>0</v>
      </c>
      <c r="S253" t="s">
        <v>1318</v>
      </c>
      <c r="T253" s="51" t="s">
        <v>1319</v>
      </c>
      <c r="U253" s="51"/>
      <c r="V253" t="s">
        <v>438</v>
      </c>
      <c r="W253" s="3"/>
      <c r="X253" s="123">
        <f>IF(Faturamento!$V857="Pago",IFERROR(W253-R253,0),0)</f>
        <v>0</v>
      </c>
      <c r="Y253" s="4"/>
      <c r="Z253" s="4"/>
      <c r="AA253" s="5"/>
      <c r="AB253" s="5"/>
      <c r="AI253"/>
    </row>
    <row r="254" spans="1:35" hidden="1" x14ac:dyDescent="0.3">
      <c r="A254" s="5" t="str">
        <f>VLOOKUP(B254,base!A:M,11,FALSE)</f>
        <v>TRIFÁSICO</v>
      </c>
      <c r="B254" s="37" t="s">
        <v>345</v>
      </c>
      <c r="C254" s="56" t="s">
        <v>346</v>
      </c>
      <c r="D254" s="59">
        <v>62955505402710</v>
      </c>
      <c r="E254" s="37" t="s">
        <v>433</v>
      </c>
      <c r="F254" s="37" t="s">
        <v>434</v>
      </c>
      <c r="G254" s="52">
        <v>45809</v>
      </c>
      <c r="H254" s="52" t="str">
        <f>Faturamento!$B544&amp;Faturamento!$G544</f>
        <v>10/1035655-845870</v>
      </c>
      <c r="I254" s="37" t="s">
        <v>435</v>
      </c>
      <c r="J254" s="37">
        <v>273</v>
      </c>
      <c r="K254" s="53">
        <v>479.14840000000004</v>
      </c>
      <c r="L254" s="53">
        <v>408.76493197914647</v>
      </c>
      <c r="M254" s="5" t="str">
        <f>IF(Faturamento!$S544&lt;&gt;"","Não emitido",IF(Faturamento!$I544="NÃO","Pendente Fatura", IF(Faturamento!$R544&lt;&gt;"","Aprovado",IF(Faturamento!$O544&lt;&gt;0,"Pendente Emissão","Processo de Calculo"))))</f>
        <v>Aprovado</v>
      </c>
      <c r="N254" s="53">
        <v>296.65839999999997</v>
      </c>
      <c r="O254" s="53">
        <v>222.49</v>
      </c>
      <c r="P254" s="52">
        <v>45860</v>
      </c>
      <c r="Q254" s="52">
        <v>45871</v>
      </c>
      <c r="R254" s="53">
        <v>222.49</v>
      </c>
      <c r="S254" s="37"/>
      <c r="T254" s="51" t="s">
        <v>1047</v>
      </c>
      <c r="U254" s="51" t="s">
        <v>1048</v>
      </c>
      <c r="V254" s="37" t="s">
        <v>568</v>
      </c>
      <c r="W254" s="53">
        <v>222.49</v>
      </c>
      <c r="X254" s="123">
        <f>IF(Faturamento!$V643="Pago",IFERROR(W254-R254,0),0)</f>
        <v>0</v>
      </c>
      <c r="Y254" s="52" t="s">
        <v>1018</v>
      </c>
      <c r="Z254" s="52"/>
      <c r="AA254" s="5"/>
      <c r="AB254" s="5"/>
      <c r="AI254"/>
    </row>
    <row r="255" spans="1:35" hidden="1" x14ac:dyDescent="0.3">
      <c r="A255" s="5" t="e">
        <f>VLOOKUP(B255,base!A:M,11,FALSE)</f>
        <v>#N/A</v>
      </c>
      <c r="B255" t="s">
        <v>520</v>
      </c>
      <c r="C255" s="1" t="e">
        <v>#N/A</v>
      </c>
      <c r="D255" s="60">
        <v>62955505057789</v>
      </c>
      <c r="E255" s="63" t="s">
        <v>433</v>
      </c>
      <c r="F255" t="s">
        <v>434</v>
      </c>
      <c r="G255" s="4">
        <v>45717</v>
      </c>
      <c r="H255" s="4" t="str">
        <f>Faturamento!$B281&amp;Faturamento!$G281</f>
        <v>10/513413-545658</v>
      </c>
      <c r="I255" t="s">
        <v>435</v>
      </c>
      <c r="J255">
        <v>295</v>
      </c>
      <c r="K255" s="3">
        <v>493.92999999999995</v>
      </c>
      <c r="L255" s="3">
        <v>420.0506770833332</v>
      </c>
      <c r="M255" s="5" t="str">
        <f>IF(Faturamento!$S281&lt;&gt;"","Não emitido",IF(Faturamento!$I281="NÃO","Pendente Fatura", IF(Faturamento!$R281&lt;&gt;"","Aprovado",IF(Faturamento!$O281&lt;&gt;0,"Pendente Emissão","Processo de Calculo"))))</f>
        <v>Aprovado</v>
      </c>
      <c r="N255" s="3">
        <v>531.48729166666669</v>
      </c>
      <c r="O255" s="3">
        <v>221.64</v>
      </c>
      <c r="P255" s="4"/>
      <c r="Q255" s="4"/>
      <c r="R255" s="3">
        <v>215.51</v>
      </c>
      <c r="S255"/>
      <c r="T255" s="51" t="s">
        <v>821</v>
      </c>
      <c r="U255" s="51"/>
      <c r="V255" t="s">
        <v>568</v>
      </c>
      <c r="W255" s="3">
        <v>531.49</v>
      </c>
      <c r="X255" s="123">
        <f>IF(Faturamento!$V833="Pago",IFERROR(W255-R255,0),0)</f>
        <v>0</v>
      </c>
      <c r="Y255" s="4">
        <v>45966</v>
      </c>
      <c r="Z255" s="4"/>
      <c r="AA255" s="5"/>
      <c r="AB255" s="5"/>
      <c r="AI255" t="str">
        <f>VLOOKUP(B255,'[1]Conciliação - 032025'!$A:$L,12,FALSE)</f>
        <v>VALOR DEVIDO - Cancelamento via email dia 30/04, tenho tudo formalizado por whatsapp com Diil</v>
      </c>
    </row>
    <row r="256" spans="1:35" hidden="1" x14ac:dyDescent="0.3">
      <c r="A256" s="5" t="str">
        <f>VLOOKUP(B256,base!A:M,11,FALSE)</f>
        <v>BIFÁSICO</v>
      </c>
      <c r="B256" t="s">
        <v>240</v>
      </c>
      <c r="C256" s="1">
        <v>67996135721</v>
      </c>
      <c r="D256" s="60">
        <v>62955505015431</v>
      </c>
      <c r="E256" s="63" t="s">
        <v>433</v>
      </c>
      <c r="F256" t="s">
        <v>434</v>
      </c>
      <c r="G256" s="4">
        <v>45839</v>
      </c>
      <c r="H256" s="4" t="str">
        <f>Faturamento!$B663&amp;Faturamento!$G663</f>
        <v>10/3092868-345809</v>
      </c>
      <c r="I256" t="s">
        <v>435</v>
      </c>
      <c r="J256" s="37">
        <v>284</v>
      </c>
      <c r="K256" s="53">
        <v>383.98</v>
      </c>
      <c r="L256" s="53">
        <v>318.50694600000003</v>
      </c>
      <c r="M256" s="5" t="str">
        <f>IF(Faturamento!$S663&lt;&gt;"","Não emitido",IF(Faturamento!$I663="NÃO","Pendente Fatura", IF(Faturamento!$R663&lt;&gt;"","Aprovado",IF(Faturamento!$O663&lt;&gt;0,"Pendente Emissão","Processo de Calculo"))))</f>
        <v>Aprovado</v>
      </c>
      <c r="N256" s="3">
        <v>285.40999999999991</v>
      </c>
      <c r="O256" s="3">
        <v>219.94</v>
      </c>
      <c r="P256" s="4">
        <v>45910</v>
      </c>
      <c r="Q256" s="4">
        <v>45920</v>
      </c>
      <c r="R256" s="3">
        <v>219.94</v>
      </c>
      <c r="S256"/>
      <c r="T256" s="51" t="s">
        <v>1239</v>
      </c>
      <c r="U256" s="51" t="s">
        <v>1240</v>
      </c>
      <c r="V256" t="s">
        <v>568</v>
      </c>
      <c r="W256" s="3">
        <v>219.94</v>
      </c>
      <c r="X256" s="123">
        <f>IF(Faturamento!$V641="Pago",IFERROR(W256-R256,0),0)</f>
        <v>0</v>
      </c>
      <c r="Y256" s="4"/>
      <c r="Z256" s="4"/>
      <c r="AA256" s="5"/>
      <c r="AB256" s="5"/>
      <c r="AI256"/>
    </row>
    <row r="257" spans="1:35" hidden="1" x14ac:dyDescent="0.3">
      <c r="A257" s="5" t="str">
        <f>VLOOKUP(B257,base!A:M,11,FALSE)</f>
        <v>TRIFÁSICO</v>
      </c>
      <c r="B257" s="37" t="s">
        <v>334</v>
      </c>
      <c r="C257" s="56" t="s">
        <v>336</v>
      </c>
      <c r="D257" s="59">
        <v>62955505015946</v>
      </c>
      <c r="E257" s="37" t="s">
        <v>433</v>
      </c>
      <c r="F257" s="37" t="s">
        <v>434</v>
      </c>
      <c r="G257" s="52">
        <v>45778</v>
      </c>
      <c r="H257" s="52" t="str">
        <f>Faturamento!$B496&amp;Faturamento!$G496</f>
        <v>10/226667-445658</v>
      </c>
      <c r="I257" s="37" t="s">
        <v>435</v>
      </c>
      <c r="J257">
        <v>300</v>
      </c>
      <c r="K257" s="3">
        <v>430.48212765957442</v>
      </c>
      <c r="L257" s="3">
        <v>357.20409574468079</v>
      </c>
      <c r="M257" s="5" t="str">
        <f>IF(Faturamento!$S496&lt;&gt;"","Não emitido",IF(Faturamento!$I496="NÃO","Pendente Fatura", IF(Faturamento!$R496&lt;&gt;"","Aprovado",IF(Faturamento!$O496&lt;&gt;0,"Pendente Emissão","Processo de Calculo"))))</f>
        <v>Aprovado</v>
      </c>
      <c r="N257" s="53">
        <v>293.11212765957453</v>
      </c>
      <c r="O257" s="53">
        <v>219.83</v>
      </c>
      <c r="P257" s="52"/>
      <c r="Q257" s="52"/>
      <c r="R257" s="53">
        <v>219.83</v>
      </c>
      <c r="S257" s="37"/>
      <c r="T257" s="51" t="s">
        <v>984</v>
      </c>
      <c r="U257" s="51"/>
      <c r="V257" s="37" t="s">
        <v>568</v>
      </c>
      <c r="W257" s="53">
        <v>219.83</v>
      </c>
      <c r="X257" s="123">
        <f>IF(Faturamento!$V640="Pago",IFERROR(W257-R257,0),0)</f>
        <v>0</v>
      </c>
      <c r="Y257" s="52"/>
      <c r="Z257" s="52"/>
      <c r="AA257" s="5"/>
      <c r="AB257" s="5"/>
      <c r="AI257"/>
    </row>
    <row r="258" spans="1:35" hidden="1" x14ac:dyDescent="0.3">
      <c r="A258" s="5" t="str">
        <f>VLOOKUP(B258,base!A:M,11,FALSE)</f>
        <v>TRIFÁSICO</v>
      </c>
      <c r="B258" s="37" t="s">
        <v>345</v>
      </c>
      <c r="C258" s="56" t="s">
        <v>346</v>
      </c>
      <c r="D258" s="59">
        <v>62955505402710</v>
      </c>
      <c r="E258" s="37" t="s">
        <v>433</v>
      </c>
      <c r="F258" s="37" t="s">
        <v>434</v>
      </c>
      <c r="G258" s="52">
        <v>45689</v>
      </c>
      <c r="H258" s="52" t="str">
        <f>Faturamento!$B180&amp;Faturamento!$G180</f>
        <v>10/532723-445901</v>
      </c>
      <c r="I258" s="37" t="s">
        <v>435</v>
      </c>
      <c r="J258" s="37">
        <v>266</v>
      </c>
      <c r="K258" s="53">
        <v>474.31000000000006</v>
      </c>
      <c r="L258" s="53">
        <v>401.255</v>
      </c>
      <c r="M258" s="5" t="str">
        <f>IF(Faturamento!$S180&lt;&gt;"","Não emitido",IF(Faturamento!$I180="NÃO","Pendente Fatura", IF(Faturamento!$R180&lt;&gt;"","Aprovado",IF(Faturamento!$O180&lt;&gt;0,"Pendente Emissão","Processo de Calculo"))))</f>
        <v>Aprovado</v>
      </c>
      <c r="N258" s="53">
        <v>292.21999999999997</v>
      </c>
      <c r="O258" s="53">
        <v>219.17</v>
      </c>
      <c r="P258" s="52"/>
      <c r="Q258" s="52"/>
      <c r="R258" s="53">
        <v>219.17</v>
      </c>
      <c r="S258" s="37"/>
      <c r="T258" s="51" t="s">
        <v>740</v>
      </c>
      <c r="U258" s="51"/>
      <c r="V258" s="37" t="s">
        <v>568</v>
      </c>
      <c r="W258" s="53">
        <v>219.17</v>
      </c>
      <c r="X258" s="123">
        <f>IF(Faturamento!$V639="Pago",IFERROR(W258-R258,0),0)</f>
        <v>0</v>
      </c>
      <c r="Y258" s="52"/>
      <c r="Z258" s="52"/>
      <c r="AA258" s="5"/>
      <c r="AB258" s="5"/>
      <c r="AI258"/>
    </row>
    <row r="259" spans="1:35" hidden="1" x14ac:dyDescent="0.3">
      <c r="A259" s="5" t="str">
        <f>VLOOKUP(B259,base!A:M,11,FALSE)</f>
        <v>BIFÁSICO</v>
      </c>
      <c r="B259" t="s">
        <v>161</v>
      </c>
      <c r="C259" s="1">
        <v>67992899434</v>
      </c>
      <c r="D259" s="60">
        <v>62955505113875</v>
      </c>
      <c r="E259" s="63" t="s">
        <v>433</v>
      </c>
      <c r="F259" t="s">
        <v>434</v>
      </c>
      <c r="G259" s="4">
        <v>45839</v>
      </c>
      <c r="H259" s="4" t="str">
        <f>Faturamento!$B653&amp;Faturamento!$G653</f>
        <v>10/1672452-845839</v>
      </c>
      <c r="I259" t="s">
        <v>435</v>
      </c>
      <c r="J259" s="37">
        <v>278</v>
      </c>
      <c r="K259" s="53">
        <v>387.53333333333325</v>
      </c>
      <c r="L259" s="53">
        <v>323.33727266666665</v>
      </c>
      <c r="M259" s="5" t="str">
        <f>IF(Faturamento!$S653&lt;&gt;"","Não emitido",IF(Faturamento!$I653="NÃO","Pendente Fatura", IF(Faturamento!$R653&lt;&gt;"","Aprovado",IF(Faturamento!$O653&lt;&gt;0,"Pendente Emissão","Processo de Calculo"))))</f>
        <v>Aprovado</v>
      </c>
      <c r="N259" s="3">
        <v>282.64333333333332</v>
      </c>
      <c r="O259" s="3">
        <v>218.45</v>
      </c>
      <c r="P259" s="4">
        <v>45910</v>
      </c>
      <c r="Q259" s="4">
        <v>45920</v>
      </c>
      <c r="R259" s="3">
        <v>218.45</v>
      </c>
      <c r="S259"/>
      <c r="T259" s="51" t="s">
        <v>1219</v>
      </c>
      <c r="U259" s="51" t="s">
        <v>1220</v>
      </c>
      <c r="V259" t="s">
        <v>568</v>
      </c>
      <c r="W259" s="3">
        <v>282.64</v>
      </c>
      <c r="X259" s="123">
        <f>IF(Faturamento!$V701="Pago",IFERROR(W259-R259,0),0)</f>
        <v>64.19</v>
      </c>
      <c r="Y259" s="4">
        <v>45901</v>
      </c>
      <c r="Z259" s="4"/>
      <c r="AA259" s="5"/>
      <c r="AB259" s="5"/>
      <c r="AI259"/>
    </row>
    <row r="260" spans="1:35" hidden="1" x14ac:dyDescent="0.3">
      <c r="A260" s="5" t="str">
        <f>VLOOKUP(B260,base!A:M,11,FALSE)</f>
        <v>BIFÁSICO</v>
      </c>
      <c r="B260" t="s">
        <v>257</v>
      </c>
      <c r="C260" s="56">
        <v>67993249456</v>
      </c>
      <c r="D260">
        <v>62955505239119</v>
      </c>
      <c r="E260" s="37" t="s">
        <v>433</v>
      </c>
      <c r="F260" t="s">
        <v>108</v>
      </c>
      <c r="G260" s="4">
        <v>45931</v>
      </c>
      <c r="H260" s="52" t="str">
        <f>Faturamento!$B909&amp;Faturamento!$G909</f>
        <v>10/395471-645717</v>
      </c>
      <c r="I260" s="37" t="s">
        <v>435</v>
      </c>
      <c r="J260">
        <v>280</v>
      </c>
      <c r="K260" s="3">
        <v>347.11000000000007</v>
      </c>
      <c r="L260" s="3">
        <v>264.00611307134545</v>
      </c>
      <c r="M260" s="5" t="s">
        <v>1489</v>
      </c>
      <c r="N260" s="53">
        <v>297.14000000000004</v>
      </c>
      <c r="O260" s="53">
        <v>217.05</v>
      </c>
      <c r="P260" s="52">
        <v>45967</v>
      </c>
      <c r="Q260" s="52">
        <v>45974</v>
      </c>
      <c r="R260" s="53">
        <v>217.05</v>
      </c>
      <c r="S260" s="37"/>
      <c r="T260" s="3" t="str">
        <f>D260&amp;R260</f>
        <v>62955505239119217,05</v>
      </c>
      <c r="U260" s="3" t="s">
        <v>1721</v>
      </c>
      <c r="V260" s="37" t="s">
        <v>568</v>
      </c>
      <c r="W260">
        <v>217.05</v>
      </c>
      <c r="X260" s="124">
        <f>IF(Faturamento!$V911="Pago",IFERROR(W260-R260,0),0)</f>
        <v>0</v>
      </c>
      <c r="Y260" s="175">
        <v>45979</v>
      </c>
      <c r="Z260" s="175"/>
    </row>
    <row r="261" spans="1:35" hidden="1" x14ac:dyDescent="0.3">
      <c r="A261" s="5" t="e">
        <f>VLOOKUP(B261,base!A:M,11,FALSE)</f>
        <v>#N/A</v>
      </c>
      <c r="B261" t="s">
        <v>520</v>
      </c>
      <c r="C261" s="1" t="e">
        <v>#N/A</v>
      </c>
      <c r="D261" s="60">
        <v>62955505057789</v>
      </c>
      <c r="E261" s="63" t="s">
        <v>433</v>
      </c>
      <c r="F261" t="s">
        <v>434</v>
      </c>
      <c r="G261" s="4">
        <v>45809</v>
      </c>
      <c r="H261" s="4" t="str">
        <f>Faturamento!$B561&amp;Faturamento!$G561</f>
        <v>10/384823-145931</v>
      </c>
      <c r="I261" t="s">
        <v>435</v>
      </c>
      <c r="J261" s="37">
        <v>260</v>
      </c>
      <c r="K261" s="53">
        <v>389.78529411764708</v>
      </c>
      <c r="L261" s="53">
        <v>321.1701071888732</v>
      </c>
      <c r="M261" s="5" t="str">
        <f>IF(Faturamento!$S561&lt;&gt;"","Não emitido",IF(Faturamento!$I561="NÃO","Pendente Fatura", IF(Faturamento!$R561&lt;&gt;"","Aprovado",IF(Faturamento!$O561&lt;&gt;0,"Pendente Emissão","Processo de Calculo"))))</f>
        <v>Aprovado</v>
      </c>
      <c r="N261" s="3">
        <v>289.2052941176471</v>
      </c>
      <c r="O261" s="3">
        <v>216.9</v>
      </c>
      <c r="P261" s="4">
        <v>45860</v>
      </c>
      <c r="Q261" s="4">
        <v>45871</v>
      </c>
      <c r="R261" s="3">
        <v>216.9</v>
      </c>
      <c r="S261" t="s">
        <v>1318</v>
      </c>
      <c r="T261" s="51" t="s">
        <v>1081</v>
      </c>
      <c r="U261" s="51" t="s">
        <v>1082</v>
      </c>
      <c r="V261" t="s">
        <v>438</v>
      </c>
      <c r="W261" s="3">
        <v>0</v>
      </c>
      <c r="X261" s="123">
        <f>IF(Faturamento!$V204="Pago",IFERROR(W261-R261,0),0)</f>
        <v>-216.9</v>
      </c>
      <c r="Y261" s="4"/>
      <c r="Z261" s="4"/>
      <c r="AA261" s="5"/>
      <c r="AB261" s="5"/>
      <c r="AI261"/>
    </row>
    <row r="262" spans="1:35" hidden="1" x14ac:dyDescent="0.3">
      <c r="A262" s="5" t="str">
        <f>VLOOKUP(B262,base!A:M,11,FALSE)</f>
        <v>BIFÁSICO</v>
      </c>
      <c r="B262" t="s">
        <v>161</v>
      </c>
      <c r="C262" s="1">
        <v>0</v>
      </c>
      <c r="D262" s="60">
        <v>62955505113875</v>
      </c>
      <c r="E262" s="63" t="s">
        <v>433</v>
      </c>
      <c r="F262" t="s">
        <v>434</v>
      </c>
      <c r="G262" s="4">
        <v>45870</v>
      </c>
      <c r="H262" s="4" t="str">
        <f>Faturamento!$B761&amp;Faturamento!$G761</f>
        <v>10/226667-445870</v>
      </c>
      <c r="I262" t="s">
        <v>435</v>
      </c>
      <c r="J262">
        <v>271</v>
      </c>
      <c r="K262" s="3">
        <v>381.83600000000001</v>
      </c>
      <c r="L262" s="3">
        <v>319.45810107948074</v>
      </c>
      <c r="M262" s="5" t="str">
        <f>IF(Faturamento!$S761&lt;&gt;"","Não emitido",IF(Faturamento!$I761="NÃO","Pendente Fatura", IF(Faturamento!$R761&lt;&gt;"","Aprovado",IF(Faturamento!$O761&lt;&gt;0,"Pendente Emissão","Processo de Calculo"))))</f>
        <v>Aprovado</v>
      </c>
      <c r="N262" s="3">
        <v>276.0560000000001</v>
      </c>
      <c r="O262" s="3">
        <v>213.68</v>
      </c>
      <c r="P262" s="4">
        <v>45910</v>
      </c>
      <c r="Q262" s="4">
        <v>45920</v>
      </c>
      <c r="R262" s="3">
        <v>213.68</v>
      </c>
      <c r="S262"/>
      <c r="T262" s="51" t="s">
        <v>1418</v>
      </c>
      <c r="U262" s="51" t="s">
        <v>1419</v>
      </c>
      <c r="V262" s="37" t="s">
        <v>568</v>
      </c>
      <c r="W262" s="3">
        <v>276.06</v>
      </c>
      <c r="X262" s="123">
        <f>IF(Faturamento!$V695="Pago",IFERROR(W262-R262,0),0)</f>
        <v>62.379999999999995</v>
      </c>
      <c r="Y262" s="4">
        <v>45964</v>
      </c>
      <c r="Z262" s="4"/>
      <c r="AA262" s="5"/>
      <c r="AB262" s="5"/>
      <c r="AI262"/>
    </row>
    <row r="263" spans="1:35" hidden="1" x14ac:dyDescent="0.3">
      <c r="A263" s="5" t="str">
        <f>VLOOKUP(B263,base!A:M,11,FALSE)</f>
        <v>BIFÁSICO</v>
      </c>
      <c r="B263" t="s">
        <v>161</v>
      </c>
      <c r="C263" s="1">
        <v>0</v>
      </c>
      <c r="D263" s="60">
        <v>62955505113875</v>
      </c>
      <c r="E263" s="63" t="s">
        <v>433</v>
      </c>
      <c r="F263" t="s">
        <v>434</v>
      </c>
      <c r="G263" s="4">
        <v>45901</v>
      </c>
      <c r="H263" s="4" t="str">
        <f>Faturamento!$B849&amp;Faturamento!$G849</f>
        <v>10/69319-245689</v>
      </c>
      <c r="I263" t="s">
        <v>435</v>
      </c>
      <c r="J263">
        <v>306</v>
      </c>
      <c r="K263" s="3">
        <v>400.77</v>
      </c>
      <c r="L263" s="3">
        <v>322.55167253001252</v>
      </c>
      <c r="M263" s="5" t="s">
        <v>1489</v>
      </c>
      <c r="N263" s="3">
        <v>291.23</v>
      </c>
      <c r="O263" s="3">
        <v>213.01</v>
      </c>
      <c r="P263" s="4">
        <v>45933</v>
      </c>
      <c r="Q263" s="4">
        <v>45943</v>
      </c>
      <c r="R263" s="3">
        <f>O263</f>
        <v>213.01</v>
      </c>
      <c r="S263"/>
      <c r="T263" s="51" t="s">
        <v>1577</v>
      </c>
      <c r="U263" s="51" t="s">
        <v>1578</v>
      </c>
      <c r="V263" t="s">
        <v>568</v>
      </c>
      <c r="W263" s="3">
        <f>R263</f>
        <v>213.01</v>
      </c>
      <c r="X263" s="123">
        <f>IF(Faturamento!$V637="Pago",IFERROR(W263-R263,0),0)</f>
        <v>0</v>
      </c>
      <c r="Y263" s="4"/>
      <c r="Z263" s="4"/>
      <c r="AA263" s="5"/>
      <c r="AB263" s="5"/>
      <c r="AI263"/>
    </row>
    <row r="264" spans="1:35" hidden="1" x14ac:dyDescent="0.3">
      <c r="A264" s="5" t="str">
        <f>VLOOKUP(B264,base!A:M,11,FALSE)</f>
        <v>BIFÁSICO</v>
      </c>
      <c r="B264" s="37" t="s">
        <v>158</v>
      </c>
      <c r="C264" s="56">
        <v>67996266684</v>
      </c>
      <c r="D264" s="59">
        <v>62955505197521</v>
      </c>
      <c r="E264" s="37" t="s">
        <v>433</v>
      </c>
      <c r="F264" s="37" t="s">
        <v>434</v>
      </c>
      <c r="G264" s="52">
        <v>45778</v>
      </c>
      <c r="H264" s="52" t="str">
        <f>Faturamento!$B506&amp;Faturamento!$G506</f>
        <v>10/466560-045931</v>
      </c>
      <c r="I264" s="37" t="s">
        <v>435</v>
      </c>
      <c r="J264">
        <v>294</v>
      </c>
      <c r="K264" s="3">
        <v>329.75000000000006</v>
      </c>
      <c r="L264" s="3">
        <v>258.84250000000009</v>
      </c>
      <c r="M264" s="5" t="str">
        <f>IF(Faturamento!$S506&lt;&gt;"","Não emitido",IF(Faturamento!$I506="NÃO","Pendente Fatura", IF(Faturamento!$R506&lt;&gt;"","Aprovado",IF(Faturamento!$O506&lt;&gt;0,"Pendente Emissão","Processo de Calculo"))))</f>
        <v>Aprovado</v>
      </c>
      <c r="N264" s="53">
        <v>283.63</v>
      </c>
      <c r="O264" s="53">
        <v>212.72</v>
      </c>
      <c r="P264" s="52"/>
      <c r="Q264" s="52"/>
      <c r="R264" s="53">
        <v>212.72</v>
      </c>
      <c r="S264" s="37"/>
      <c r="T264" s="51" t="s">
        <v>993</v>
      </c>
      <c r="U264" s="51"/>
      <c r="V264" s="37" t="s">
        <v>568</v>
      </c>
      <c r="W264" s="53">
        <v>212.72</v>
      </c>
      <c r="X264" s="123">
        <f>IF(Faturamento!$V636="Pago",IFERROR(W264-R264,0),0)</f>
        <v>0</v>
      </c>
      <c r="Y264" s="52"/>
      <c r="Z264" s="52"/>
      <c r="AA264" s="5"/>
      <c r="AB264" s="5"/>
      <c r="AI264"/>
    </row>
    <row r="265" spans="1:35" x14ac:dyDescent="0.3">
      <c r="A265" s="5" t="str">
        <f>VLOOKUP(B265,base!A:M,11,FALSE)</f>
        <v>TRIFÁSICO</v>
      </c>
      <c r="B265" t="s">
        <v>244</v>
      </c>
      <c r="C265" s="1">
        <v>0</v>
      </c>
      <c r="D265" s="60">
        <v>62955505419443</v>
      </c>
      <c r="E265" s="63" t="s">
        <v>433</v>
      </c>
      <c r="F265" t="s">
        <v>434</v>
      </c>
      <c r="G265" s="4">
        <v>45901</v>
      </c>
      <c r="H265" s="4" t="str">
        <f>Faturamento!$B819&amp;Faturamento!$G819</f>
        <v>10/532081-745627</v>
      </c>
      <c r="I265" t="s">
        <v>435</v>
      </c>
      <c r="J265">
        <v>240</v>
      </c>
      <c r="K265" s="3">
        <v>410.76</v>
      </c>
      <c r="L265" s="3">
        <v>332.88545393701577</v>
      </c>
      <c r="M265" s="5" t="s">
        <v>1489</v>
      </c>
      <c r="N265" s="3">
        <v>289.95</v>
      </c>
      <c r="O265" s="3">
        <v>212.08</v>
      </c>
      <c r="P265" s="4">
        <v>45933</v>
      </c>
      <c r="Q265" s="4">
        <v>45943</v>
      </c>
      <c r="R265" s="3">
        <f>O265</f>
        <v>212.08</v>
      </c>
      <c r="S265"/>
      <c r="T265" s="51" t="s">
        <v>1522</v>
      </c>
      <c r="U265" s="51" t="s">
        <v>1523</v>
      </c>
      <c r="V265" t="s">
        <v>568</v>
      </c>
      <c r="W265" s="3">
        <f>O265</f>
        <v>212.08</v>
      </c>
      <c r="X265" s="123">
        <f>IF(Faturamento!$V635="Pago",IFERROR(W265-R265,0),0)</f>
        <v>0</v>
      </c>
      <c r="Y265" s="4"/>
      <c r="Z265" s="4"/>
      <c r="AA265" s="5"/>
      <c r="AB265" s="5"/>
      <c r="AI265"/>
    </row>
    <row r="266" spans="1:35" hidden="1" x14ac:dyDescent="0.3">
      <c r="A266" s="5" t="str">
        <f>VLOOKUP(B266,base!A:M,11,FALSE)</f>
        <v>TRIFÁSICO</v>
      </c>
      <c r="B266" t="s">
        <v>302</v>
      </c>
      <c r="C266" s="1">
        <v>67992637973</v>
      </c>
      <c r="D266" s="60">
        <v>62955505321630</v>
      </c>
      <c r="E266" s="63" t="s">
        <v>433</v>
      </c>
      <c r="F266" t="s">
        <v>434</v>
      </c>
      <c r="G266" s="4">
        <v>45717</v>
      </c>
      <c r="H266" s="4" t="str">
        <f>Faturamento!$B245&amp;Faturamento!$G245</f>
        <v>10/489076-045778</v>
      </c>
      <c r="I266" t="s">
        <v>435</v>
      </c>
      <c r="J266">
        <v>253</v>
      </c>
      <c r="K266" s="3">
        <v>742.1</v>
      </c>
      <c r="L266" s="3">
        <v>671.49749999999995</v>
      </c>
      <c r="M266" s="5" t="str">
        <f>IF(Faturamento!$S245&lt;&gt;"","Não emitido",IF(Faturamento!$I245="NÃO","Pendente Fatura", IF(Faturamento!$R245&lt;&gt;"","Aprovado",IF(Faturamento!$O245&lt;&gt;0,"Pendente Emissão","Processo de Calculo"))))</f>
        <v>Aprovado</v>
      </c>
      <c r="N266" s="3">
        <v>282.41000000000003</v>
      </c>
      <c r="O266" s="3">
        <v>211.81</v>
      </c>
      <c r="P266" s="4"/>
      <c r="Q266" s="4"/>
      <c r="R266" s="3">
        <v>211.81</v>
      </c>
      <c r="S266"/>
      <c r="T266" s="51" t="s">
        <v>786</v>
      </c>
      <c r="U266" s="51"/>
      <c r="V266" t="s">
        <v>568</v>
      </c>
      <c r="W266" s="3">
        <v>211.81</v>
      </c>
      <c r="X266" s="123">
        <f>IF(Faturamento!$V634="Pago",IFERROR(W266-R266,0),0)</f>
        <v>0</v>
      </c>
      <c r="Y266" s="4"/>
      <c r="Z266" s="4"/>
      <c r="AA266" s="5"/>
      <c r="AB266" s="5"/>
      <c r="AI266"/>
    </row>
    <row r="267" spans="1:35" hidden="1" x14ac:dyDescent="0.3">
      <c r="A267" s="5" t="str">
        <f>VLOOKUP(B267,base!A:M,11,FALSE)</f>
        <v>TRIFÁSICO</v>
      </c>
      <c r="B267" t="s">
        <v>177</v>
      </c>
      <c r="C267" s="56" t="s">
        <v>179</v>
      </c>
      <c r="D267">
        <v>62955505015350</v>
      </c>
      <c r="E267" s="37" t="s">
        <v>433</v>
      </c>
      <c r="F267" t="s">
        <v>108</v>
      </c>
      <c r="G267" s="4">
        <v>45931</v>
      </c>
      <c r="H267" s="52" t="str">
        <f>Faturamento!$B962&amp;Faturamento!$G962</f>
        <v>10/104720-845839</v>
      </c>
      <c r="I267" s="37" t="s">
        <v>435</v>
      </c>
      <c r="J267">
        <v>240</v>
      </c>
      <c r="K267" s="3">
        <v>491.08199999999999</v>
      </c>
      <c r="L267" s="3">
        <v>408.8641368775983</v>
      </c>
      <c r="M267" s="5" t="s">
        <v>1489</v>
      </c>
      <c r="N267" s="53">
        <v>293.97199999999998</v>
      </c>
      <c r="O267" s="53">
        <v>211.75</v>
      </c>
      <c r="P267" s="52">
        <v>45967</v>
      </c>
      <c r="Q267" s="52">
        <v>45974</v>
      </c>
      <c r="R267" s="53">
        <v>211.75</v>
      </c>
      <c r="S267" s="37"/>
      <c r="T267" s="3" t="str">
        <f>D267&amp;R267</f>
        <v>62955505015350211,75</v>
      </c>
      <c r="U267" s="3" t="s">
        <v>1774</v>
      </c>
      <c r="V267" s="37" t="s">
        <v>568</v>
      </c>
      <c r="W267" s="13">
        <f>R267</f>
        <v>211.75</v>
      </c>
      <c r="X267" s="124">
        <f>IF(Faturamento!$V964="Pago",IFERROR(W267-R267,0),0)</f>
        <v>0</v>
      </c>
    </row>
    <row r="268" spans="1:35" hidden="1" x14ac:dyDescent="0.3">
      <c r="A268" s="5" t="str">
        <f>VLOOKUP(B268,base!A:M,11,FALSE)</f>
        <v>BIFÁSICO</v>
      </c>
      <c r="B268" t="s">
        <v>276</v>
      </c>
      <c r="C268" s="1" t="s">
        <v>278</v>
      </c>
      <c r="D268" s="60">
        <v>62955505000167</v>
      </c>
      <c r="E268" s="63" t="s">
        <v>433</v>
      </c>
      <c r="F268" t="s">
        <v>434</v>
      </c>
      <c r="G268" s="4">
        <v>45748</v>
      </c>
      <c r="H268" s="4" t="str">
        <f>Faturamento!$B361&amp;Faturamento!$G361</f>
        <v>10/129490-945870</v>
      </c>
      <c r="I268" t="s">
        <v>435</v>
      </c>
      <c r="J268" s="37">
        <v>252</v>
      </c>
      <c r="K268" s="53">
        <v>364.07</v>
      </c>
      <c r="L268" s="53">
        <v>293.52500029999999</v>
      </c>
      <c r="M268" s="5" t="str">
        <f>IF(Faturamento!$S361&lt;&gt;"","Não emitido",IF(Faturamento!$I361="NÃO","Pendente Fatura", IF(Faturamento!$R361&lt;&gt;"","Aprovado",IF(Faturamento!$O361&lt;&gt;0,"Pendente Emissão","Processo de Calculo"))))</f>
        <v>Aprovado</v>
      </c>
      <c r="N268" s="3">
        <v>282.17999880000002</v>
      </c>
      <c r="O268" s="3">
        <v>211.63</v>
      </c>
      <c r="P268" s="4"/>
      <c r="Q268" s="4"/>
      <c r="R268" s="3">
        <v>211.63</v>
      </c>
      <c r="S268"/>
      <c r="T268" s="51" t="s">
        <v>861</v>
      </c>
      <c r="U268" s="51"/>
      <c r="V268" t="s">
        <v>568</v>
      </c>
      <c r="W268" s="3">
        <v>211.63</v>
      </c>
      <c r="X268" s="123">
        <f>IF(Faturamento!$V633="Pago",IFERROR(W268-R268,0),0)</f>
        <v>0</v>
      </c>
      <c r="Y268" s="4"/>
      <c r="Z268" s="4"/>
      <c r="AA268" s="5"/>
      <c r="AB268" s="5"/>
      <c r="AI268"/>
    </row>
    <row r="269" spans="1:35" hidden="1" x14ac:dyDescent="0.3">
      <c r="A269" s="5" t="str">
        <f>VLOOKUP(B269,base!A:M,11,FALSE)</f>
        <v>TRIFÁSICO</v>
      </c>
      <c r="B269" t="s">
        <v>330</v>
      </c>
      <c r="C269" s="56" t="s">
        <v>332</v>
      </c>
      <c r="D269">
        <v>62955505016837</v>
      </c>
      <c r="E269" s="37" t="s">
        <v>433</v>
      </c>
      <c r="F269" t="s">
        <v>108</v>
      </c>
      <c r="G269" s="4">
        <v>45931</v>
      </c>
      <c r="H269" s="52" t="str">
        <f>Faturamento!$B919&amp;Faturamento!$G919</f>
        <v>10/2338577-645748</v>
      </c>
      <c r="I269" s="37" t="s">
        <v>435</v>
      </c>
      <c r="J269">
        <v>275</v>
      </c>
      <c r="K269" s="3">
        <v>460.01999999999992</v>
      </c>
      <c r="L269" s="3">
        <v>377.86702245936925</v>
      </c>
      <c r="M269" s="5" t="s">
        <v>1489</v>
      </c>
      <c r="N269" s="53">
        <v>293.74</v>
      </c>
      <c r="O269" s="53">
        <v>211.44</v>
      </c>
      <c r="P269" s="52">
        <v>45967</v>
      </c>
      <c r="Q269" s="52">
        <v>45974</v>
      </c>
      <c r="R269" s="53">
        <v>211.44</v>
      </c>
      <c r="S269" s="37"/>
      <c r="T269" s="3" t="str">
        <f>D269&amp;R269</f>
        <v>62955505016837211,44</v>
      </c>
      <c r="U269" s="3" t="s">
        <v>1731</v>
      </c>
      <c r="V269" s="37" t="s">
        <v>568</v>
      </c>
      <c r="W269" s="13">
        <f>R269</f>
        <v>211.44</v>
      </c>
      <c r="X269" s="124">
        <f>IF(Faturamento!$V921="Pago",IFERROR(W269-R269,0),0)</f>
        <v>0</v>
      </c>
    </row>
    <row r="270" spans="1:35" hidden="1" x14ac:dyDescent="0.3">
      <c r="A270" s="5" t="str">
        <f>VLOOKUP(B270,base!A:M,11,FALSE)</f>
        <v>TRIFÁSICO</v>
      </c>
      <c r="B270" s="37" t="s">
        <v>320</v>
      </c>
      <c r="C270" s="56">
        <v>0</v>
      </c>
      <c r="D270" s="59">
        <v>62955505135500</v>
      </c>
      <c r="E270" s="37" t="s">
        <v>433</v>
      </c>
      <c r="F270" s="37" t="s">
        <v>434</v>
      </c>
      <c r="G270" s="52">
        <v>45870</v>
      </c>
      <c r="H270" s="52" t="str">
        <f>Faturamento!$B768&amp;Faturamento!$G768</f>
        <v>10/175073-645658</v>
      </c>
      <c r="I270" s="37" t="s">
        <v>435</v>
      </c>
      <c r="J270">
        <v>268</v>
      </c>
      <c r="K270" s="3">
        <v>444.31490909090911</v>
      </c>
      <c r="L270" s="3">
        <v>382.94278327009903</v>
      </c>
      <c r="M270" s="5" t="str">
        <f>IF(Faturamento!$S768&lt;&gt;"","Não emitido",IF(Faturamento!$I768="NÃO","Pendente Fatura", IF(Faturamento!$R768&lt;&gt;"","Aprovado",IF(Faturamento!$O768&lt;&gt;0,"Pendente Emissão","Processo de Calculo"))))</f>
        <v>Aprovado</v>
      </c>
      <c r="N270" s="53">
        <v>271.60490909090908</v>
      </c>
      <c r="O270" s="53">
        <v>210.23</v>
      </c>
      <c r="P270" s="52">
        <v>45910</v>
      </c>
      <c r="Q270" s="52">
        <v>45920</v>
      </c>
      <c r="R270" s="53">
        <v>210.23</v>
      </c>
      <c r="S270" s="37"/>
      <c r="T270" s="51" t="s">
        <v>1432</v>
      </c>
      <c r="U270" s="51" t="s">
        <v>1433</v>
      </c>
      <c r="V270" s="37" t="s">
        <v>568</v>
      </c>
      <c r="W270" s="53">
        <v>271.60000000000002</v>
      </c>
      <c r="X270" s="123">
        <f>IF(Faturamento!$V691="Pago",IFERROR(W270-R270,0),0)</f>
        <v>61.370000000000033</v>
      </c>
      <c r="Y270" s="52">
        <v>45939</v>
      </c>
      <c r="Z270" s="52"/>
      <c r="AA270" s="5"/>
      <c r="AB270" s="5"/>
      <c r="AI270"/>
    </row>
    <row r="271" spans="1:35" hidden="1" x14ac:dyDescent="0.3">
      <c r="A271" s="5" t="str">
        <f>VLOOKUP(B271,base!A:M,11,FALSE)</f>
        <v>TRIFÁSICO</v>
      </c>
      <c r="B271" t="s">
        <v>345</v>
      </c>
      <c r="C271" s="1" t="s">
        <v>346</v>
      </c>
      <c r="D271" s="60">
        <v>62955505402710</v>
      </c>
      <c r="E271" s="63" t="s">
        <v>433</v>
      </c>
      <c r="F271" t="s">
        <v>434</v>
      </c>
      <c r="G271" s="4">
        <v>45748</v>
      </c>
      <c r="H271" s="4" t="str">
        <f>Faturamento!$B353&amp;Faturamento!$G353</f>
        <v>10/489076-045839</v>
      </c>
      <c r="I271" t="s">
        <v>435</v>
      </c>
      <c r="J271" s="37">
        <v>269</v>
      </c>
      <c r="K271" s="53">
        <v>457.99</v>
      </c>
      <c r="L271" s="53">
        <v>388.07</v>
      </c>
      <c r="M271" s="5" t="str">
        <f>IF(Faturamento!$S353&lt;&gt;"","Não emitido",IF(Faturamento!$I353="NÃO","Pendente Fatura", IF(Faturamento!$R353&lt;&gt;"","Aprovado",IF(Faturamento!$O353&lt;&gt;0,"Pendente Emissão","Processo de Calculo"))))</f>
        <v>Aprovado</v>
      </c>
      <c r="N271" s="3">
        <v>279.68</v>
      </c>
      <c r="O271" s="3">
        <v>209.76</v>
      </c>
      <c r="P271" s="4"/>
      <c r="Q271" s="4"/>
      <c r="R271" s="3">
        <v>209.76</v>
      </c>
      <c r="S271"/>
      <c r="T271" s="51" t="s">
        <v>854</v>
      </c>
      <c r="U271" s="51"/>
      <c r="V271" t="s">
        <v>568</v>
      </c>
      <c r="W271" s="3">
        <v>209.76</v>
      </c>
      <c r="X271" s="123">
        <f>IF(Faturamento!$V632="Pago",IFERROR(W271-R271,0),0)</f>
        <v>0</v>
      </c>
      <c r="Y271" s="4"/>
      <c r="Z271" s="4"/>
      <c r="AA271" s="5"/>
      <c r="AB271" s="5"/>
      <c r="AI271"/>
    </row>
    <row r="272" spans="1:35" hidden="1" x14ac:dyDescent="0.3">
      <c r="A272" s="5" t="str">
        <f>VLOOKUP(B272,base!A:M,11,FALSE)</f>
        <v>BIFÁSICO</v>
      </c>
      <c r="B272" s="37" t="s">
        <v>198</v>
      </c>
      <c r="C272" s="56">
        <v>0</v>
      </c>
      <c r="D272" s="59">
        <v>62955505419443</v>
      </c>
      <c r="E272" s="37" t="s">
        <v>433</v>
      </c>
      <c r="F272" s="37" t="s">
        <v>434</v>
      </c>
      <c r="G272" s="52">
        <v>45901</v>
      </c>
      <c r="H272" s="52" t="str">
        <f>Faturamento!$B822&amp;Faturamento!$G822</f>
        <v>10/987178-145627</v>
      </c>
      <c r="I272" s="37" t="s">
        <v>435</v>
      </c>
      <c r="J272">
        <v>237</v>
      </c>
      <c r="K272" s="3">
        <v>377.58519999999999</v>
      </c>
      <c r="L272" s="3">
        <v>300.67882832448902</v>
      </c>
      <c r="M272" s="5" t="s">
        <v>1489</v>
      </c>
      <c r="N272" s="53">
        <v>286.34519999999998</v>
      </c>
      <c r="O272" s="53">
        <v>209.44</v>
      </c>
      <c r="P272" s="52">
        <v>45933</v>
      </c>
      <c r="Q272" s="52">
        <v>45943</v>
      </c>
      <c r="R272" s="53">
        <f>O272</f>
        <v>209.44</v>
      </c>
      <c r="S272" s="37"/>
      <c r="T272" s="51" t="s">
        <v>1528</v>
      </c>
      <c r="U272" s="51" t="s">
        <v>1529</v>
      </c>
      <c r="V272" s="37" t="s">
        <v>568</v>
      </c>
      <c r="W272" s="53">
        <f>R272</f>
        <v>209.44</v>
      </c>
      <c r="X272" s="123">
        <f>IF(Faturamento!$V631="Pago",IFERROR(W272-R272,0),0)</f>
        <v>0</v>
      </c>
      <c r="Y272" s="52"/>
      <c r="Z272" s="52"/>
      <c r="AA272" s="5"/>
      <c r="AB272" s="5"/>
      <c r="AI272"/>
    </row>
    <row r="273" spans="1:35" hidden="1" x14ac:dyDescent="0.3">
      <c r="A273" s="5" t="str">
        <f>VLOOKUP(B273,base!A:M,11,FALSE)</f>
        <v>TRIFÁSICO</v>
      </c>
      <c r="B273" s="37" t="s">
        <v>274</v>
      </c>
      <c r="C273" s="56">
        <v>67992021114</v>
      </c>
      <c r="D273" s="59">
        <v>62955505357405</v>
      </c>
      <c r="E273" s="37" t="s">
        <v>433</v>
      </c>
      <c r="F273" s="37" t="s">
        <v>434</v>
      </c>
      <c r="G273" s="52">
        <v>45778</v>
      </c>
      <c r="H273" s="52" t="str">
        <f>Faturamento!$B482&amp;Faturamento!$G482</f>
        <v>10/501586-245748</v>
      </c>
      <c r="I273" s="37" t="s">
        <v>435</v>
      </c>
      <c r="J273">
        <v>286</v>
      </c>
      <c r="K273" s="3">
        <v>386.22159999999997</v>
      </c>
      <c r="L273" s="3">
        <v>316.48869999999999</v>
      </c>
      <c r="M273" s="5" t="str">
        <f>IF(Faturamento!$S482&lt;&gt;"","Não emitido",IF(Faturamento!$I482="NÃO","Pendente Fatura", IF(Faturamento!$R482&lt;&gt;"","Aprovado",IF(Faturamento!$O482&lt;&gt;0,"Pendente Emissão","Processo de Calculo"))))</f>
        <v>Aprovado</v>
      </c>
      <c r="N273" s="53">
        <v>278.93159999999995</v>
      </c>
      <c r="O273" s="53">
        <v>209.2</v>
      </c>
      <c r="P273" s="52"/>
      <c r="Q273" s="52"/>
      <c r="R273" s="53">
        <v>209.2</v>
      </c>
      <c r="S273" s="37"/>
      <c r="T273" s="51" t="s">
        <v>970</v>
      </c>
      <c r="U273" s="51"/>
      <c r="V273" s="37" t="s">
        <v>568</v>
      </c>
      <c r="W273" s="53">
        <v>209.2</v>
      </c>
      <c r="X273" s="123">
        <f>IF(Faturamento!$V630="Pago",IFERROR(W273-R273,0),0)</f>
        <v>0</v>
      </c>
      <c r="Y273" s="52"/>
      <c r="Z273" s="52"/>
      <c r="AA273" s="5"/>
      <c r="AB273" s="5"/>
      <c r="AI273"/>
    </row>
    <row r="274" spans="1:35" hidden="1" x14ac:dyDescent="0.3">
      <c r="A274" s="5" t="e">
        <f>VLOOKUP(B274,base!A:M,11,FALSE)</f>
        <v>#N/A</v>
      </c>
      <c r="B274" s="37" t="s">
        <v>520</v>
      </c>
      <c r="C274" s="56" t="e">
        <v>#N/A</v>
      </c>
      <c r="D274" s="59">
        <v>62955505057789</v>
      </c>
      <c r="E274" s="37" t="s">
        <v>433</v>
      </c>
      <c r="F274" s="37" t="s">
        <v>434</v>
      </c>
      <c r="G274" s="52">
        <v>45748</v>
      </c>
      <c r="H274" s="52" t="str">
        <f>Faturamento!$B378&amp;Faturamento!$G378</f>
        <v>10/162736-345778</v>
      </c>
      <c r="I274" s="37" t="s">
        <v>435</v>
      </c>
      <c r="J274" s="37">
        <v>240</v>
      </c>
      <c r="K274" s="53">
        <v>446.9</v>
      </c>
      <c r="L274" s="53">
        <v>379.75749999999994</v>
      </c>
      <c r="M274" s="5" t="str">
        <f>IF(Faturamento!$S378&lt;&gt;"","Não emitido",IF(Faturamento!$I378="NÃO","Pendente Fatura", IF(Faturamento!$R378&lt;&gt;"","Aprovado",IF(Faturamento!$O378&lt;&gt;0,"Pendente Emissão","Processo de Calculo"))))</f>
        <v>Aprovado</v>
      </c>
      <c r="N274" s="53">
        <v>274.7</v>
      </c>
      <c r="O274" s="53">
        <v>207.56</v>
      </c>
      <c r="P274" s="52"/>
      <c r="Q274" s="52"/>
      <c r="R274" s="53">
        <v>207.56</v>
      </c>
      <c r="S274" s="37"/>
      <c r="T274" s="51" t="s">
        <v>878</v>
      </c>
      <c r="U274" s="51"/>
      <c r="V274" s="37" t="s">
        <v>568</v>
      </c>
      <c r="W274" s="53">
        <v>207.56</v>
      </c>
      <c r="X274" s="123">
        <f>IF(Faturamento!$V629="Pago",IFERROR(W274-R274,0),0)</f>
        <v>0</v>
      </c>
      <c r="Y274" s="52"/>
      <c r="Z274" s="52"/>
      <c r="AA274" s="5"/>
      <c r="AB274" s="5"/>
      <c r="AI274"/>
    </row>
    <row r="275" spans="1:35" hidden="1" x14ac:dyDescent="0.3">
      <c r="A275" s="5" t="str">
        <f>VLOOKUP(B275,base!A:M,11,FALSE)</f>
        <v>TRIFÁSICO</v>
      </c>
      <c r="B275" s="37" t="s">
        <v>247</v>
      </c>
      <c r="C275" s="56"/>
      <c r="D275" s="59">
        <v>62955505375721</v>
      </c>
      <c r="E275" s="37" t="s">
        <v>433</v>
      </c>
      <c r="F275" s="37" t="s">
        <v>434</v>
      </c>
      <c r="G275" s="52">
        <v>45870</v>
      </c>
      <c r="H275" s="52" t="str">
        <f>Faturamento!$B776&amp;Faturamento!$G776</f>
        <v>10/283183-245839</v>
      </c>
      <c r="I275" s="37" t="s">
        <v>435</v>
      </c>
      <c r="J275">
        <v>260</v>
      </c>
      <c r="K275" s="3">
        <v>411.20947368421054</v>
      </c>
      <c r="L275" s="3">
        <v>350.63169927927493</v>
      </c>
      <c r="M275" s="5" t="s">
        <v>1489</v>
      </c>
      <c r="N275" s="53">
        <v>268.08947368421047</v>
      </c>
      <c r="O275" s="53">
        <v>207.51</v>
      </c>
      <c r="P275" s="52">
        <v>45910</v>
      </c>
      <c r="Q275" s="52">
        <v>45920</v>
      </c>
      <c r="R275" s="53">
        <v>207.51</v>
      </c>
      <c r="S275" s="37"/>
      <c r="T275" s="51" t="s">
        <v>1448</v>
      </c>
      <c r="U275" s="51" t="s">
        <v>1449</v>
      </c>
      <c r="V275" s="37" t="s">
        <v>369</v>
      </c>
      <c r="W275" s="53">
        <v>0</v>
      </c>
      <c r="X275" s="123">
        <f>IF(Faturamento!$V233="Pago",IFERROR(W275-R275,0),0)</f>
        <v>-207.51</v>
      </c>
      <c r="Y275" s="52"/>
      <c r="Z275" s="196" t="s">
        <v>1795</v>
      </c>
      <c r="AA275" s="5"/>
      <c r="AB275" s="5"/>
      <c r="AI275"/>
    </row>
    <row r="276" spans="1:35" hidden="1" x14ac:dyDescent="0.3">
      <c r="A276" s="5" t="str">
        <f>VLOOKUP(B276,base!A:M,11,FALSE)</f>
        <v>TRIFÁSICO</v>
      </c>
      <c r="B276" t="s">
        <v>326</v>
      </c>
      <c r="C276" s="1" t="s">
        <v>328</v>
      </c>
      <c r="D276" s="60">
        <v>62955505058599</v>
      </c>
      <c r="E276" s="63" t="s">
        <v>433</v>
      </c>
      <c r="F276" t="s">
        <v>434</v>
      </c>
      <c r="G276" s="4">
        <v>45658</v>
      </c>
      <c r="H276" s="4" t="str">
        <f>Faturamento!$B131&amp;Faturamento!$G131</f>
        <v>10/1672452-845717</v>
      </c>
      <c r="I276" t="s">
        <v>435</v>
      </c>
      <c r="J276">
        <v>273</v>
      </c>
      <c r="K276" s="3">
        <v>454.2</v>
      </c>
      <c r="L276" s="3">
        <v>385.375</v>
      </c>
      <c r="M276" s="5" t="str">
        <f>IF(Faturamento!$S131&lt;&gt;"","Não emitido",IF(Faturamento!$I131="NÃO","Pendente Fatura", IF(Faturamento!$R131&lt;&gt;"","Aprovado",IF(Faturamento!$O131&lt;&gt;0,"Pendente Emissão","Processo de Calculo"))))</f>
        <v>Aprovado</v>
      </c>
      <c r="N276" s="3">
        <v>275.3</v>
      </c>
      <c r="O276" s="3">
        <v>206.48</v>
      </c>
      <c r="P276" s="4"/>
      <c r="Q276" s="4"/>
      <c r="R276" s="3">
        <v>206.48</v>
      </c>
      <c r="S276"/>
      <c r="T276" s="51" t="s">
        <v>688</v>
      </c>
      <c r="U276" s="51"/>
      <c r="V276" t="s">
        <v>568</v>
      </c>
      <c r="W276" s="3">
        <v>206.48</v>
      </c>
      <c r="X276" s="123">
        <f>IF(Faturamento!$V628="Pago",IFERROR(W276-R276,0),0)</f>
        <v>0</v>
      </c>
      <c r="Y276" s="4"/>
      <c r="Z276" s="4"/>
      <c r="AA276" s="5"/>
      <c r="AB276" s="5"/>
      <c r="AI276"/>
    </row>
    <row r="277" spans="1:35" hidden="1" x14ac:dyDescent="0.3">
      <c r="A277" s="5" t="str">
        <f>VLOOKUP(B277,base!A:M,11,FALSE)</f>
        <v>BIFÁSICO</v>
      </c>
      <c r="B277" t="s">
        <v>158</v>
      </c>
      <c r="C277" s="56">
        <v>67996266684</v>
      </c>
      <c r="D277">
        <v>62955505197521</v>
      </c>
      <c r="E277" s="37" t="s">
        <v>433</v>
      </c>
      <c r="F277" t="s">
        <v>108</v>
      </c>
      <c r="G277" s="4">
        <v>45931</v>
      </c>
      <c r="H277" s="52" t="str">
        <f>Faturamento!$B912&amp;Faturamento!$G912</f>
        <v>10/908866-745717</v>
      </c>
      <c r="I277" s="37" t="s">
        <v>435</v>
      </c>
      <c r="J277">
        <v>270</v>
      </c>
      <c r="K277" s="3">
        <v>333.88000000000005</v>
      </c>
      <c r="L277" s="3">
        <v>254.04556329075706</v>
      </c>
      <c r="M277" s="5" t="s">
        <v>1489</v>
      </c>
      <c r="N277" s="53">
        <v>285.45000000000005</v>
      </c>
      <c r="O277" s="53">
        <v>206</v>
      </c>
      <c r="P277" s="52">
        <v>45967</v>
      </c>
      <c r="Q277" s="52">
        <v>45974</v>
      </c>
      <c r="R277" s="53">
        <v>206</v>
      </c>
      <c r="S277" s="37"/>
      <c r="T277" s="3" t="str">
        <f>D277&amp;R277</f>
        <v>62955505197521206</v>
      </c>
      <c r="U277" s="3" t="s">
        <v>1724</v>
      </c>
      <c r="V277" s="37" t="s">
        <v>568</v>
      </c>
      <c r="W277" s="13">
        <f>R277</f>
        <v>206</v>
      </c>
      <c r="X277" s="124">
        <f>IF(Faturamento!$V914="Pago",IFERROR(W277-R277,0),0)</f>
        <v>0</v>
      </c>
    </row>
    <row r="278" spans="1:35" hidden="1" x14ac:dyDescent="0.3">
      <c r="A278" s="5" t="str">
        <f>VLOOKUP(B278,base!A:M,11,FALSE)</f>
        <v>TRIFÁSICO</v>
      </c>
      <c r="B278" s="37" t="s">
        <v>189</v>
      </c>
      <c r="C278" s="56">
        <v>67991767866</v>
      </c>
      <c r="D278" s="59">
        <v>62955505461210</v>
      </c>
      <c r="E278" s="37" t="s">
        <v>433</v>
      </c>
      <c r="F278" s="37" t="s">
        <v>434</v>
      </c>
      <c r="G278" s="52">
        <v>45658</v>
      </c>
      <c r="H278" s="52" t="str">
        <f>Faturamento!$B56&amp;Faturamento!$G56</f>
        <v>10/2605731-545748</v>
      </c>
      <c r="I278" s="37" t="s">
        <v>435</v>
      </c>
      <c r="J278">
        <v>246</v>
      </c>
      <c r="K278" s="3">
        <v>1020.28</v>
      </c>
      <c r="L278" s="3">
        <v>951.63000000000011</v>
      </c>
      <c r="M278" s="5" t="str">
        <f>IF(Faturamento!$S56&lt;&gt;"","Não emitido",IF(Faturamento!$I56="NÃO","Pendente Fatura", IF(Faturamento!$R56&lt;&gt;"","Aprovado",IF(Faturamento!$O56&lt;&gt;0,"Pendente Emissão","Processo de Calculo"))))</f>
        <v>Aprovado</v>
      </c>
      <c r="N278" s="53">
        <v>274.60000000000002</v>
      </c>
      <c r="O278" s="53">
        <v>205.95</v>
      </c>
      <c r="P278" s="52"/>
      <c r="Q278" s="52"/>
      <c r="R278" s="53">
        <v>205.95</v>
      </c>
      <c r="S278" s="37"/>
      <c r="T278" s="51" t="s">
        <v>598</v>
      </c>
      <c r="U278" s="51"/>
      <c r="V278" s="37" t="s">
        <v>568</v>
      </c>
      <c r="W278" s="53">
        <v>205.95</v>
      </c>
      <c r="X278" s="123">
        <f>IF(Faturamento!$V624="Pago",IFERROR(W278-R278,0),0)</f>
        <v>0</v>
      </c>
      <c r="Y278" s="52"/>
      <c r="Z278" s="52"/>
      <c r="AA278" s="5">
        <v>283032</v>
      </c>
      <c r="AB278" s="5">
        <v>502</v>
      </c>
      <c r="AC278" s="5" t="s">
        <v>434</v>
      </c>
      <c r="AD278" s="5" t="s">
        <v>599</v>
      </c>
      <c r="AE278" s="5">
        <v>118.05</v>
      </c>
      <c r="AG278" s="5" t="s">
        <v>600</v>
      </c>
      <c r="AH278" s="5" t="s">
        <v>441</v>
      </c>
      <c r="AI278"/>
    </row>
    <row r="279" spans="1:35" x14ac:dyDescent="0.3">
      <c r="A279" s="5" t="str">
        <f>VLOOKUP(B279,base!A:M,11,FALSE)</f>
        <v>TRIFÁSICO</v>
      </c>
      <c r="B279" s="37" t="s">
        <v>244</v>
      </c>
      <c r="C279" s="56" t="s">
        <v>166</v>
      </c>
      <c r="D279" s="59">
        <v>62955505419443</v>
      </c>
      <c r="E279" s="37" t="s">
        <v>433</v>
      </c>
      <c r="F279" s="37" t="s">
        <v>434</v>
      </c>
      <c r="G279" s="52">
        <v>45658</v>
      </c>
      <c r="H279" s="52" t="str">
        <f>Faturamento!$B72&amp;Faturamento!$G72</f>
        <v>10/127464-645931</v>
      </c>
      <c r="I279" s="37" t="s">
        <v>435</v>
      </c>
      <c r="J279">
        <v>246</v>
      </c>
      <c r="K279" s="3">
        <v>463.25</v>
      </c>
      <c r="L279" s="3">
        <v>394.6</v>
      </c>
      <c r="M279" s="5" t="str">
        <f>IF(Faturamento!$S72&lt;&gt;"","Não emitido",IF(Faturamento!$I72="NÃO","Pendente Fatura", IF(Faturamento!$R72&lt;&gt;"","Aprovado",IF(Faturamento!$O72&lt;&gt;0,"Pendente Emissão","Processo de Calculo"))))</f>
        <v>Aprovado</v>
      </c>
      <c r="N279" s="53">
        <v>274.60000000000002</v>
      </c>
      <c r="O279" s="53">
        <v>205.95</v>
      </c>
      <c r="P279" s="52"/>
      <c r="Q279" s="52"/>
      <c r="R279" s="53">
        <v>205.95</v>
      </c>
      <c r="S279" s="37"/>
      <c r="T279" s="51" t="s">
        <v>632</v>
      </c>
      <c r="U279" s="51"/>
      <c r="V279" s="37" t="s">
        <v>568</v>
      </c>
      <c r="W279" s="53">
        <v>205.95</v>
      </c>
      <c r="X279" s="123">
        <f>IF(Faturamento!$V625="Pago",IFERROR(W279-R279,0),0)</f>
        <v>0</v>
      </c>
      <c r="Y279" s="52"/>
      <c r="Z279" s="52"/>
      <c r="AA279" s="5"/>
      <c r="AB279" s="5"/>
      <c r="AI279"/>
    </row>
    <row r="280" spans="1:35" hidden="1" x14ac:dyDescent="0.3">
      <c r="A280" s="5" t="str">
        <f>VLOOKUP(B280,base!A:M,11,FALSE)</f>
        <v>TRIFÁSICO</v>
      </c>
      <c r="B280" s="37" t="s">
        <v>294</v>
      </c>
      <c r="C280" s="56">
        <v>67992637973</v>
      </c>
      <c r="D280" s="59">
        <v>62955505367117</v>
      </c>
      <c r="E280" s="37" t="s">
        <v>433</v>
      </c>
      <c r="F280" s="37" t="s">
        <v>434</v>
      </c>
      <c r="G280" s="52">
        <v>45658</v>
      </c>
      <c r="H280" s="52" t="str">
        <f>Faturamento!$B78&amp;Faturamento!$G78</f>
        <v>10/3030784-745717</v>
      </c>
      <c r="I280" s="37" t="s">
        <v>435</v>
      </c>
      <c r="J280">
        <v>246</v>
      </c>
      <c r="K280" s="3">
        <v>1001.16</v>
      </c>
      <c r="L280" s="3">
        <v>932.51</v>
      </c>
      <c r="M280" s="5" t="str">
        <f>IF(Faturamento!$S78&lt;&gt;"","Não emitido",IF(Faturamento!$I78="NÃO","Pendente Fatura", IF(Faturamento!$R78&lt;&gt;"","Aprovado",IF(Faturamento!$O78&lt;&gt;0,"Pendente Emissão","Processo de Calculo"))))</f>
        <v>Aprovado</v>
      </c>
      <c r="N280" s="53">
        <v>274.60000000000002</v>
      </c>
      <c r="O280" s="53">
        <v>205.95</v>
      </c>
      <c r="P280" s="52"/>
      <c r="Q280" s="52"/>
      <c r="R280" s="53">
        <v>205.95</v>
      </c>
      <c r="S280" s="37"/>
      <c r="T280" s="51" t="s">
        <v>637</v>
      </c>
      <c r="U280" s="51"/>
      <c r="V280" s="37" t="s">
        <v>568</v>
      </c>
      <c r="W280" s="53">
        <v>205.95</v>
      </c>
      <c r="X280" s="123">
        <f>IF(Faturamento!$V626="Pago",IFERROR(W280-R280,0),0)</f>
        <v>0</v>
      </c>
      <c r="Y280" s="52"/>
      <c r="Z280" s="52"/>
      <c r="AA280" s="5"/>
      <c r="AB280" s="5"/>
      <c r="AI280"/>
    </row>
    <row r="281" spans="1:35" hidden="1" x14ac:dyDescent="0.3">
      <c r="A281" s="5" t="str">
        <f>VLOOKUP(B281,base!A:M,11,FALSE)</f>
        <v>TRIFÁSICO</v>
      </c>
      <c r="B281" s="37" t="s">
        <v>302</v>
      </c>
      <c r="C281" s="56">
        <v>67992637973</v>
      </c>
      <c r="D281" s="59">
        <v>62955505321630</v>
      </c>
      <c r="E281" s="37" t="s">
        <v>433</v>
      </c>
      <c r="F281" s="37" t="s">
        <v>434</v>
      </c>
      <c r="G281" s="52">
        <v>45658</v>
      </c>
      <c r="H281" s="52" t="str">
        <f>Faturamento!$B80&amp;Faturamento!$G80</f>
        <v>10/15297-545931</v>
      </c>
      <c r="I281" s="37" t="s">
        <v>435</v>
      </c>
      <c r="J281">
        <v>246</v>
      </c>
      <c r="K281" s="3">
        <v>737.63999999999987</v>
      </c>
      <c r="L281" s="3">
        <v>668.98999999999978</v>
      </c>
      <c r="M281" s="5" t="str">
        <f>IF(Faturamento!$S80&lt;&gt;"","Não emitido",IF(Faturamento!$I80="NÃO","Pendente Fatura", IF(Faturamento!$R80&lt;&gt;"","Aprovado",IF(Faturamento!$O80&lt;&gt;0,"Pendente Emissão","Processo de Calculo"))))</f>
        <v>Aprovado</v>
      </c>
      <c r="N281" s="53">
        <v>274.60000000000002</v>
      </c>
      <c r="O281" s="53">
        <v>205.95</v>
      </c>
      <c r="P281" s="52"/>
      <c r="Q281" s="52"/>
      <c r="R281" s="53">
        <v>205.95</v>
      </c>
      <c r="S281" s="37"/>
      <c r="T281" s="51" t="s">
        <v>639</v>
      </c>
      <c r="U281" s="51"/>
      <c r="V281" s="37" t="s">
        <v>568</v>
      </c>
      <c r="W281" s="53">
        <v>205.95</v>
      </c>
      <c r="X281" s="123">
        <f>IF(Faturamento!$V627="Pago",IFERROR(W281-R281,0),0)</f>
        <v>0</v>
      </c>
      <c r="Y281" s="52"/>
      <c r="Z281" s="52"/>
      <c r="AA281" s="5"/>
      <c r="AB281" s="5"/>
      <c r="AI281"/>
    </row>
    <row r="282" spans="1:35" hidden="1" x14ac:dyDescent="0.3">
      <c r="A282" s="5" t="str">
        <f>VLOOKUP(B282,base!A:M,11,FALSE)</f>
        <v>TRIFÁSICO</v>
      </c>
      <c r="B282" t="s">
        <v>148</v>
      </c>
      <c r="C282" s="1">
        <v>0</v>
      </c>
      <c r="D282" s="60">
        <v>62955505331198</v>
      </c>
      <c r="E282" s="63" t="s">
        <v>433</v>
      </c>
      <c r="F282" t="s">
        <v>434</v>
      </c>
      <c r="G282" s="4">
        <v>45870</v>
      </c>
      <c r="H282" s="4" t="str">
        <f>Faturamento!$B759&amp;Faturamento!$G759</f>
        <v>10/530195-745901</v>
      </c>
      <c r="I282" t="s">
        <v>435</v>
      </c>
      <c r="J282">
        <v>264</v>
      </c>
      <c r="K282" s="3">
        <v>439.6514285714286</v>
      </c>
      <c r="L282" s="3">
        <v>379.58162476236441</v>
      </c>
      <c r="M282" s="5" t="str">
        <f>IF(Faturamento!$S759&lt;&gt;"","Não emitido",IF(Faturamento!$I759="NÃO","Pendente Fatura", IF(Faturamento!$R759&lt;&gt;"","Aprovado",IF(Faturamento!$O759&lt;&gt;0,"Pendente Emissão","Processo de Calculo"))))</f>
        <v>Aprovado</v>
      </c>
      <c r="N282" s="3">
        <v>265.84142857142854</v>
      </c>
      <c r="O282" s="3">
        <v>205.77</v>
      </c>
      <c r="P282" s="4">
        <v>45910</v>
      </c>
      <c r="Q282" s="4">
        <v>45920</v>
      </c>
      <c r="R282" s="3">
        <v>205.77</v>
      </c>
      <c r="S282"/>
      <c r="T282" s="51" t="s">
        <v>1414</v>
      </c>
      <c r="U282" s="51" t="s">
        <v>1415</v>
      </c>
      <c r="V282" t="s">
        <v>568</v>
      </c>
      <c r="W282" s="3">
        <v>205.77</v>
      </c>
      <c r="X282" s="123">
        <f>IF(Faturamento!$V623="Pago",IFERROR(W282-R282,0),0)</f>
        <v>0</v>
      </c>
      <c r="Y282" s="4"/>
      <c r="Z282" s="4"/>
      <c r="AA282" s="5"/>
      <c r="AB282" s="5"/>
      <c r="AI282"/>
    </row>
    <row r="283" spans="1:35" hidden="1" x14ac:dyDescent="0.3">
      <c r="A283" s="5" t="str">
        <f>VLOOKUP(B283,base!A:M,11,FALSE)</f>
        <v>TRIFÁSICO</v>
      </c>
      <c r="B283" s="37" t="s">
        <v>290</v>
      </c>
      <c r="C283" s="56">
        <v>67992637973</v>
      </c>
      <c r="D283" s="59">
        <v>62955505354481</v>
      </c>
      <c r="E283" s="37" t="s">
        <v>433</v>
      </c>
      <c r="F283" s="37" t="s">
        <v>434</v>
      </c>
      <c r="G283" s="52">
        <v>45658</v>
      </c>
      <c r="H283" s="52" t="str">
        <f>Faturamento!$B122&amp;Faturamento!$G122</f>
        <v>10/156956-545717</v>
      </c>
      <c r="I283" s="37" t="s">
        <v>435</v>
      </c>
      <c r="J283">
        <v>273</v>
      </c>
      <c r="K283" s="3">
        <v>622.79</v>
      </c>
      <c r="L283" s="3">
        <v>554.42750000000001</v>
      </c>
      <c r="M283" s="5" t="str">
        <f>IF(Faturamento!$S122&lt;&gt;"","Não emitido",IF(Faturamento!$I122="NÃO","Pendente Fatura", IF(Faturamento!$R122&lt;&gt;"","Aprovado",IF(Faturamento!$O122&lt;&gt;0,"Pendente Emissão","Processo de Calculo"))))</f>
        <v>Aprovado</v>
      </c>
      <c r="N283" s="53">
        <v>273.45</v>
      </c>
      <c r="O283" s="53">
        <v>205.09</v>
      </c>
      <c r="P283" s="52"/>
      <c r="Q283" s="52"/>
      <c r="R283" s="53">
        <v>205.09</v>
      </c>
      <c r="S283" s="37"/>
      <c r="T283" s="51" t="s">
        <v>680</v>
      </c>
      <c r="U283" s="51"/>
      <c r="V283" s="37" t="s">
        <v>568</v>
      </c>
      <c r="W283" s="53">
        <v>205.09</v>
      </c>
      <c r="X283" s="123">
        <f>IF(Faturamento!$V622="Pago",IFERROR(W283-R283,0),0)</f>
        <v>0</v>
      </c>
      <c r="Y283" s="52"/>
      <c r="Z283" s="52"/>
      <c r="AA283" s="5"/>
      <c r="AB283" s="5"/>
      <c r="AI283"/>
    </row>
    <row r="284" spans="1:35" hidden="1" x14ac:dyDescent="0.3">
      <c r="A284" s="5" t="str">
        <f>VLOOKUP(B284,base!A:M,11,FALSE)</f>
        <v>TRIFÁSICO</v>
      </c>
      <c r="B284" s="37" t="s">
        <v>218</v>
      </c>
      <c r="C284" s="56">
        <v>0</v>
      </c>
      <c r="D284" s="59">
        <v>62955505379395</v>
      </c>
      <c r="E284" s="37" t="s">
        <v>433</v>
      </c>
      <c r="F284" s="37" t="s">
        <v>434</v>
      </c>
      <c r="G284" s="52">
        <v>45870</v>
      </c>
      <c r="H284" s="52" t="str">
        <f>Faturamento!$B718&amp;Faturamento!$G718</f>
        <v>10/237441-145931</v>
      </c>
      <c r="I284" s="37" t="s">
        <v>435</v>
      </c>
      <c r="J284">
        <v>227</v>
      </c>
      <c r="K284" s="3">
        <v>387.34940594059412</v>
      </c>
      <c r="L284" s="3">
        <v>327.7500581158825</v>
      </c>
      <c r="M284" s="5" t="str">
        <f>IF(Faturamento!$S718&lt;&gt;"","Não emitido",IF(Faturamento!$I718="NÃO","Pendente Fatura", IF(Faturamento!$R718&lt;&gt;"","Aprovado",IF(Faturamento!$O718&lt;&gt;0,"Pendente Emissão","Processo de Calculo"))))</f>
        <v>Aprovado</v>
      </c>
      <c r="N284" s="53">
        <v>263.75940594059409</v>
      </c>
      <c r="O284" s="53">
        <v>204.16</v>
      </c>
      <c r="P284" s="52">
        <v>45910</v>
      </c>
      <c r="Q284" s="52">
        <v>45920</v>
      </c>
      <c r="R284" s="53">
        <v>204.16</v>
      </c>
      <c r="S284" s="37"/>
      <c r="T284" s="51" t="s">
        <v>1339</v>
      </c>
      <c r="U284" s="51" t="s">
        <v>1340</v>
      </c>
      <c r="V284" s="37" t="s">
        <v>568</v>
      </c>
      <c r="W284" s="53">
        <v>204.16</v>
      </c>
      <c r="X284" s="123">
        <f>IF(Faturamento!$V621="Pago",IFERROR(W284-R284,0),0)</f>
        <v>0</v>
      </c>
      <c r="Y284" s="52"/>
      <c r="Z284" s="52"/>
      <c r="AA284" s="5"/>
      <c r="AB284" s="5"/>
      <c r="AI284"/>
    </row>
    <row r="285" spans="1:35" hidden="1" x14ac:dyDescent="0.3">
      <c r="A285" s="5" t="str">
        <f>VLOOKUP(B285,base!A:M,11,FALSE)</f>
        <v>TRIFÁSICO</v>
      </c>
      <c r="B285" t="s">
        <v>334</v>
      </c>
      <c r="C285" s="1" t="s">
        <v>336</v>
      </c>
      <c r="D285" s="60">
        <v>62955505015946</v>
      </c>
      <c r="E285" s="63" t="s">
        <v>433</v>
      </c>
      <c r="F285" t="s">
        <v>434</v>
      </c>
      <c r="G285" s="4">
        <v>45658</v>
      </c>
      <c r="H285" s="4" t="str">
        <f>Faturamento!$B133&amp;Faturamento!$G133</f>
        <v>10/162736-345689</v>
      </c>
      <c r="I285" t="s">
        <v>435</v>
      </c>
      <c r="J285">
        <v>273</v>
      </c>
      <c r="K285" s="3">
        <v>793.29</v>
      </c>
      <c r="L285" s="3">
        <v>725.24499999999989</v>
      </c>
      <c r="M285" s="5" t="str">
        <f>IF(Faturamento!$S133&lt;&gt;"","Não emitido",IF(Faturamento!$I133="NÃO","Pendente Fatura", IF(Faturamento!$R133&lt;&gt;"","Aprovado",IF(Faturamento!$O133&lt;&gt;0,"Pendente Emissão","Processo de Calculo"))))</f>
        <v>Aprovado</v>
      </c>
      <c r="N285" s="3">
        <v>272.18</v>
      </c>
      <c r="O285" s="3">
        <v>204.14</v>
      </c>
      <c r="P285" s="4"/>
      <c r="Q285" s="4"/>
      <c r="R285" s="3">
        <v>204.14</v>
      </c>
      <c r="S285"/>
      <c r="T285" s="51" t="s">
        <v>690</v>
      </c>
      <c r="U285" s="51"/>
      <c r="V285" t="s">
        <v>568</v>
      </c>
      <c r="W285" s="3">
        <v>204.14</v>
      </c>
      <c r="X285" s="123">
        <f>IF(Faturamento!$V620="Pago",IFERROR(W285-R285,0),0)</f>
        <v>0</v>
      </c>
      <c r="Y285" s="4"/>
      <c r="Z285" s="4"/>
      <c r="AA285" s="5"/>
      <c r="AB285" s="5"/>
      <c r="AI285"/>
    </row>
    <row r="286" spans="1:35" hidden="1" x14ac:dyDescent="0.3">
      <c r="A286" s="5" t="str">
        <f>VLOOKUP(B286,base!A:M,11,FALSE)</f>
        <v>BIFÁSICO</v>
      </c>
      <c r="B286" t="s">
        <v>257</v>
      </c>
      <c r="C286" s="1">
        <v>67993249456</v>
      </c>
      <c r="D286" s="60">
        <v>62955505239119</v>
      </c>
      <c r="E286" s="63" t="s">
        <v>433</v>
      </c>
      <c r="F286" t="s">
        <v>434</v>
      </c>
      <c r="G286" s="4">
        <v>45778</v>
      </c>
      <c r="H286" s="4" t="str">
        <f>Faturamento!$B513&amp;Faturamento!$G513</f>
        <v>10/1548741-645778</v>
      </c>
      <c r="I286" t="s">
        <v>435</v>
      </c>
      <c r="J286">
        <v>278</v>
      </c>
      <c r="K286" s="3">
        <v>315.71999999999997</v>
      </c>
      <c r="L286" s="3">
        <v>247.97749999999999</v>
      </c>
      <c r="M286" s="5" t="str">
        <f>IF(Faturamento!$S513&lt;&gt;"","Não emitido",IF(Faturamento!$I513="NÃO","Pendente Fatura", IF(Faturamento!$R513&lt;&gt;"","Aprovado",IF(Faturamento!$O513&lt;&gt;0,"Pendente Emissão","Processo de Calculo"))))</f>
        <v>Aprovado</v>
      </c>
      <c r="N286" s="3">
        <v>270.96999999999997</v>
      </c>
      <c r="O286" s="3">
        <v>203.23</v>
      </c>
      <c r="P286" s="4"/>
      <c r="Q286" s="4"/>
      <c r="R286" s="3">
        <v>203.23</v>
      </c>
      <c r="S286"/>
      <c r="T286" s="51" t="s">
        <v>999</v>
      </c>
      <c r="U286" s="51"/>
      <c r="V286" t="s">
        <v>568</v>
      </c>
      <c r="W286" s="3">
        <v>203.23</v>
      </c>
      <c r="X286" s="123">
        <f>IF(Faturamento!$V618="Pago",IFERROR(W286-R286,0),0)</f>
        <v>0</v>
      </c>
      <c r="Y286" s="4">
        <v>45901</v>
      </c>
      <c r="Z286" s="4"/>
      <c r="AA286" s="5"/>
      <c r="AB286" s="5"/>
      <c r="AI286"/>
    </row>
    <row r="287" spans="1:35" hidden="1" x14ac:dyDescent="0.3">
      <c r="A287" s="5" t="str">
        <f>VLOOKUP(B287,base!A:M,11,FALSE)</f>
        <v>TRIFÁSICO</v>
      </c>
      <c r="B287" s="37" t="s">
        <v>146</v>
      </c>
      <c r="C287" s="56">
        <v>67991306665</v>
      </c>
      <c r="D287" s="59">
        <v>62955505379395</v>
      </c>
      <c r="E287" s="37" t="s">
        <v>433</v>
      </c>
      <c r="F287" s="37" t="s">
        <v>434</v>
      </c>
      <c r="G287" s="52">
        <v>45658</v>
      </c>
      <c r="H287" s="52" t="str">
        <f>Faturamento!$B92&amp;Faturamento!$G92</f>
        <v>10/15297-545778</v>
      </c>
      <c r="I287" s="37" t="s">
        <v>435</v>
      </c>
      <c r="J287">
        <v>273</v>
      </c>
      <c r="K287" s="3">
        <v>580.45000000000005</v>
      </c>
      <c r="L287" s="3">
        <v>512.82000000000005</v>
      </c>
      <c r="M287" s="5" t="str">
        <f>IF(Faturamento!$S92&lt;&gt;"","Não emitido",IF(Faturamento!$I92="NÃO","Pendente Fatura", IF(Faturamento!$R92&lt;&gt;"","Aprovado",IF(Faturamento!$O92&lt;&gt;0,"Pendente Emissão","Processo de Calculo"))))</f>
        <v>Aprovado</v>
      </c>
      <c r="N287" s="53">
        <v>270.52</v>
      </c>
      <c r="O287" s="53">
        <v>202.89</v>
      </c>
      <c r="P287" s="52"/>
      <c r="Q287" s="52"/>
      <c r="R287" s="53">
        <v>202.89</v>
      </c>
      <c r="S287" s="37"/>
      <c r="T287" s="51" t="s">
        <v>649</v>
      </c>
      <c r="U287" s="51"/>
      <c r="V287" s="37" t="s">
        <v>568</v>
      </c>
      <c r="W287" s="53">
        <v>202.89</v>
      </c>
      <c r="X287" s="123">
        <f>IF(Faturamento!$V617="Pago",IFERROR(W287-R287,0),0)</f>
        <v>0</v>
      </c>
      <c r="Y287" s="52"/>
      <c r="Z287" s="52"/>
      <c r="AA287" s="5"/>
      <c r="AB287" s="5"/>
      <c r="AI287"/>
    </row>
    <row r="288" spans="1:35" hidden="1" x14ac:dyDescent="0.3">
      <c r="A288" s="5" t="str">
        <f>VLOOKUP(B288,base!A:M,11,FALSE)</f>
        <v>BIFÁSICO</v>
      </c>
      <c r="B288" t="s">
        <v>208</v>
      </c>
      <c r="C288" s="56">
        <v>67996711972</v>
      </c>
      <c r="D288">
        <v>62955505016594</v>
      </c>
      <c r="E288" s="37" t="s">
        <v>433</v>
      </c>
      <c r="F288" t="s">
        <v>108</v>
      </c>
      <c r="G288" s="4">
        <v>45931</v>
      </c>
      <c r="H288" s="52" t="str">
        <f>Faturamento!$B914&amp;Faturamento!$G914</f>
        <v>10/104720-845748</v>
      </c>
      <c r="I288" s="37" t="s">
        <v>435</v>
      </c>
      <c r="J288">
        <v>263</v>
      </c>
      <c r="K288" s="3">
        <v>383.00428571428574</v>
      </c>
      <c r="L288" s="3">
        <v>304.31533523002787</v>
      </c>
      <c r="M288" s="5" t="s">
        <v>1489</v>
      </c>
      <c r="N288" s="53">
        <v>281.35428571428571</v>
      </c>
      <c r="O288" s="53">
        <v>202.67</v>
      </c>
      <c r="P288" s="52">
        <v>45967</v>
      </c>
      <c r="Q288" s="52">
        <v>45974</v>
      </c>
      <c r="R288" s="53">
        <v>202.67</v>
      </c>
      <c r="S288" s="37"/>
      <c r="T288" s="3" t="str">
        <f>D288&amp;R288</f>
        <v>62955505016594202,67</v>
      </c>
      <c r="U288" s="3" t="s">
        <v>1726</v>
      </c>
      <c r="V288" s="37" t="s">
        <v>568</v>
      </c>
      <c r="W288" s="13">
        <f>R288</f>
        <v>202.67</v>
      </c>
      <c r="X288" s="124">
        <f>IF(Faturamento!$V916="Pago",IFERROR(W288-R288,0),0)</f>
        <v>0</v>
      </c>
    </row>
    <row r="289" spans="1:35" hidden="1" x14ac:dyDescent="0.3">
      <c r="A289" s="5" t="str">
        <f>VLOOKUP(B289,base!A:M,11,FALSE)</f>
        <v>TRIFÁSICO</v>
      </c>
      <c r="B289" t="s">
        <v>294</v>
      </c>
      <c r="C289" s="1">
        <v>67992637973</v>
      </c>
      <c r="D289" s="60">
        <v>62955505367117</v>
      </c>
      <c r="E289" s="63" t="s">
        <v>433</v>
      </c>
      <c r="F289" t="s">
        <v>434</v>
      </c>
      <c r="G289" s="4">
        <v>45748</v>
      </c>
      <c r="H289" s="4" t="str">
        <f>Faturamento!$B343&amp;Faturamento!$G343</f>
        <v>10/3005226-045778</v>
      </c>
      <c r="I289" t="s">
        <v>435</v>
      </c>
      <c r="J289" s="37">
        <v>240</v>
      </c>
      <c r="K289" s="53">
        <v>752.47</v>
      </c>
      <c r="L289" s="53">
        <v>685.34750000000008</v>
      </c>
      <c r="M289" s="5" t="str">
        <f>IF(Faturamento!$S343&lt;&gt;"","Não emitido",IF(Faturamento!$I343="NÃO","Pendente Fatura", IF(Faturamento!$R343&lt;&gt;"","Aprovado",IF(Faturamento!$O343&lt;&gt;0,"Pendente Emissão","Processo de Calculo"))))</f>
        <v>Aprovado</v>
      </c>
      <c r="N289" s="3">
        <v>268.49</v>
      </c>
      <c r="O289" s="3">
        <v>201.37</v>
      </c>
      <c r="P289" s="4"/>
      <c r="Q289" s="4"/>
      <c r="R289" s="3">
        <v>201.37</v>
      </c>
      <c r="S289"/>
      <c r="T289" s="51" t="s">
        <v>845</v>
      </c>
      <c r="U289" s="51"/>
      <c r="V289" t="s">
        <v>568</v>
      </c>
      <c r="W289" s="3">
        <v>201.37</v>
      </c>
      <c r="X289" s="123">
        <f>IF(Faturamento!$V615="Pago",IFERROR(W289-R289,0),0)</f>
        <v>0</v>
      </c>
      <c r="Y289" s="4"/>
      <c r="Z289" s="4"/>
      <c r="AA289" s="5"/>
      <c r="AB289" s="5"/>
      <c r="AI289"/>
    </row>
    <row r="290" spans="1:35" hidden="1" x14ac:dyDescent="0.3">
      <c r="A290" s="5" t="str">
        <f>VLOOKUP(B290,base!A:M,11,FALSE)</f>
        <v>TRIFÁSICO</v>
      </c>
      <c r="B290" s="37" t="s">
        <v>230</v>
      </c>
      <c r="C290" s="56" t="s">
        <v>175</v>
      </c>
      <c r="D290" s="59">
        <v>62955505843253</v>
      </c>
      <c r="E290" s="37" t="s">
        <v>433</v>
      </c>
      <c r="F290" s="37" t="s">
        <v>434</v>
      </c>
      <c r="G290" s="52">
        <v>45717</v>
      </c>
      <c r="H290" s="52" t="str">
        <f>Faturamento!$B294&amp;Faturamento!$G294</f>
        <v>10/1698130-045658</v>
      </c>
      <c r="I290" s="37" t="s">
        <v>435</v>
      </c>
      <c r="J290">
        <v>240</v>
      </c>
      <c r="K290" s="3">
        <v>478.39</v>
      </c>
      <c r="L290" s="3">
        <v>411.41500000000002</v>
      </c>
      <c r="M290" s="5" t="str">
        <f>IF(Faturamento!$S294&lt;&gt;"","Não emitido",IF(Faturamento!$I294="NÃO","Pendente Fatura", IF(Faturamento!$R294&lt;&gt;"","Aprovado",IF(Faturamento!$O294&lt;&gt;0,"Pendente Emissão","Processo de Calculo"))))</f>
        <v>Aprovado</v>
      </c>
      <c r="N290" s="53">
        <v>267.89999999999998</v>
      </c>
      <c r="O290" s="53">
        <v>200.93</v>
      </c>
      <c r="P290" s="52"/>
      <c r="Q290" s="52"/>
      <c r="R290" s="53">
        <v>200.93</v>
      </c>
      <c r="S290" s="37"/>
      <c r="T290" s="51" t="s">
        <v>826</v>
      </c>
      <c r="U290" s="51"/>
      <c r="V290" s="37" t="s">
        <v>568</v>
      </c>
      <c r="W290" s="53">
        <v>200.93</v>
      </c>
      <c r="X290" s="123">
        <f>IF(Faturamento!$V613="Pago",IFERROR(W290-R290,0),0)</f>
        <v>0</v>
      </c>
      <c r="Y290" s="52"/>
      <c r="Z290" s="52"/>
      <c r="AA290" s="5"/>
      <c r="AB290" s="5"/>
      <c r="AI290"/>
    </row>
    <row r="291" spans="1:35" hidden="1" x14ac:dyDescent="0.3">
      <c r="A291" s="5" t="str">
        <f>VLOOKUP(B291,base!A:M,11,FALSE)</f>
        <v>BIFÁSICO</v>
      </c>
      <c r="B291" s="37" t="s">
        <v>240</v>
      </c>
      <c r="C291" s="56">
        <v>67996135721</v>
      </c>
      <c r="D291" s="59">
        <v>62955505015431</v>
      </c>
      <c r="E291" s="37" t="s">
        <v>433</v>
      </c>
      <c r="F291" s="37" t="s">
        <v>434</v>
      </c>
      <c r="G291" s="52">
        <v>45717</v>
      </c>
      <c r="H291" s="52" t="str">
        <f>Faturamento!$B328&amp;Faturamento!$G328</f>
        <v>10/489076-045809</v>
      </c>
      <c r="I291" s="37" t="s">
        <v>435</v>
      </c>
      <c r="J291">
        <v>240</v>
      </c>
      <c r="K291" s="3">
        <v>520.76</v>
      </c>
      <c r="L291" s="3">
        <v>453.78499999999997</v>
      </c>
      <c r="M291" s="5" t="str">
        <f>IF(Faturamento!$S328&lt;&gt;"","Não emitido",IF(Faturamento!$I328="NÃO","Pendente Fatura", IF(Faturamento!$R328&lt;&gt;"","Aprovado",IF(Faturamento!$O328&lt;&gt;0,"Pendente Emissão","Processo de Calculo"))))</f>
        <v>Aprovado</v>
      </c>
      <c r="N291" s="53">
        <v>267.89999999999998</v>
      </c>
      <c r="O291" s="53">
        <v>200.93</v>
      </c>
      <c r="P291" s="52"/>
      <c r="Q291" s="52"/>
      <c r="R291" s="53">
        <v>200.93</v>
      </c>
      <c r="S291" s="37"/>
      <c r="T291" s="51" t="s">
        <v>837</v>
      </c>
      <c r="U291" s="51"/>
      <c r="V291" s="37" t="s">
        <v>568</v>
      </c>
      <c r="W291" s="53">
        <v>200.93</v>
      </c>
      <c r="X291" s="123">
        <f>IF(Faturamento!$V614="Pago",IFERROR(W291-R291,0),0)</f>
        <v>0</v>
      </c>
      <c r="Y291" s="52"/>
      <c r="Z291" s="52"/>
      <c r="AA291" s="5"/>
      <c r="AB291" s="5"/>
      <c r="AI291" t="str">
        <f>VLOOKUP(B291,'[1]Conciliação - 032025'!$A:$L,12,FALSE)</f>
        <v>DEPÓSITO UNIFICADO ITAU R$1.310,17 - 10/06/2025</v>
      </c>
    </row>
    <row r="292" spans="1:35" hidden="1" x14ac:dyDescent="0.3">
      <c r="A292" s="5" t="str">
        <f>VLOOKUP(B292,base!A:M,11,FALSE)</f>
        <v>BIFÁSICO</v>
      </c>
      <c r="B292" t="s">
        <v>137</v>
      </c>
      <c r="C292" s="56">
        <v>67992637973</v>
      </c>
      <c r="D292">
        <v>62955505040894</v>
      </c>
      <c r="E292" s="37" t="s">
        <v>433</v>
      </c>
      <c r="F292" t="s">
        <v>108</v>
      </c>
      <c r="G292" s="4">
        <v>45931</v>
      </c>
      <c r="H292" s="52" t="str">
        <f>Faturamento!$B926&amp;Faturamento!$G926</f>
        <v>10/1433087-245778</v>
      </c>
      <c r="I292" s="37" t="s">
        <v>435</v>
      </c>
      <c r="J292">
        <v>268</v>
      </c>
      <c r="K292" s="3">
        <v>347.31399999999996</v>
      </c>
      <c r="L292" s="3">
        <v>269.41941844232582</v>
      </c>
      <c r="M292" s="5" t="s">
        <v>1489</v>
      </c>
      <c r="N292" s="53">
        <v>278.51400000000001</v>
      </c>
      <c r="O292" s="53">
        <v>200.62</v>
      </c>
      <c r="P292" s="52">
        <v>45967</v>
      </c>
      <c r="Q292" s="52">
        <v>45974</v>
      </c>
      <c r="R292" s="53">
        <v>200.62</v>
      </c>
      <c r="S292" s="37"/>
      <c r="T292" s="3" t="str">
        <f>D292&amp;R292</f>
        <v>62955505040894200,62</v>
      </c>
      <c r="U292" s="3" t="s">
        <v>1738</v>
      </c>
      <c r="V292" s="37" t="s">
        <v>568</v>
      </c>
      <c r="W292" s="13">
        <f>R292</f>
        <v>200.62</v>
      </c>
      <c r="X292" s="124">
        <f>IF(Faturamento!$V928="Pago",IFERROR(W292-R292,0),0)</f>
        <v>0</v>
      </c>
    </row>
    <row r="293" spans="1:35" hidden="1" x14ac:dyDescent="0.3">
      <c r="A293" s="5" t="str">
        <f>VLOOKUP(B293,base!A:M,11,FALSE)</f>
        <v>TRIFÁSICO</v>
      </c>
      <c r="B293" s="37" t="s">
        <v>118</v>
      </c>
      <c r="C293" s="56">
        <v>67996135721</v>
      </c>
      <c r="D293" s="59">
        <v>62955505182257</v>
      </c>
      <c r="E293" s="37" t="s">
        <v>433</v>
      </c>
      <c r="F293" s="37" t="s">
        <v>434</v>
      </c>
      <c r="G293" s="52">
        <v>45748</v>
      </c>
      <c r="H293" s="52" t="str">
        <f>Faturamento!$B348&amp;Faturamento!$G348</f>
        <v>10/13786-945748</v>
      </c>
      <c r="I293" s="37" t="s">
        <v>435</v>
      </c>
      <c r="J293" s="37">
        <v>238</v>
      </c>
      <c r="K293" s="53">
        <v>448.81000000000006</v>
      </c>
      <c r="L293" s="53">
        <v>382.0775000000001</v>
      </c>
      <c r="M293" s="5" t="str">
        <f>IF(Faturamento!$S348&lt;&gt;"","Não emitido",IF(Faturamento!$I348="NÃO","Pendente Fatura", IF(Faturamento!$R348&lt;&gt;"","Aprovado",IF(Faturamento!$O348&lt;&gt;0,"Pendente Emissão","Processo de Calculo"))))</f>
        <v>Aprovado</v>
      </c>
      <c r="N293" s="53">
        <v>266.93</v>
      </c>
      <c r="O293" s="53">
        <v>200.2</v>
      </c>
      <c r="P293" s="52"/>
      <c r="Q293" s="52"/>
      <c r="R293" s="53">
        <v>200.2</v>
      </c>
      <c r="S293" s="37"/>
      <c r="T293" s="51" t="s">
        <v>850</v>
      </c>
      <c r="U293" s="51"/>
      <c r="V293" s="37" t="s">
        <v>568</v>
      </c>
      <c r="W293" s="53">
        <v>200.2</v>
      </c>
      <c r="X293" s="123">
        <f>IF(Faturamento!$V610="Pago",IFERROR(W293-R293,0),0)</f>
        <v>0</v>
      </c>
      <c r="Y293" s="52"/>
      <c r="Z293" s="52"/>
      <c r="AA293" s="5"/>
      <c r="AB293" s="5"/>
      <c r="AI293"/>
    </row>
    <row r="294" spans="1:35" hidden="1" x14ac:dyDescent="0.3">
      <c r="A294" s="5" t="str">
        <f>VLOOKUP(B294,base!A:M,11,FALSE)</f>
        <v>TRIFÁSICO</v>
      </c>
      <c r="B294" t="s">
        <v>191</v>
      </c>
      <c r="C294" s="1">
        <v>67991767866</v>
      </c>
      <c r="D294" s="60">
        <v>62955505461210</v>
      </c>
      <c r="E294" s="63" t="s">
        <v>433</v>
      </c>
      <c r="F294" t="s">
        <v>434</v>
      </c>
      <c r="G294" s="4">
        <v>45658</v>
      </c>
      <c r="H294" s="4" t="str">
        <f>Faturamento!$B57&amp;Faturamento!$G57</f>
        <v>10/1695011-545931</v>
      </c>
      <c r="I294" t="s">
        <v>435</v>
      </c>
      <c r="J294">
        <v>239</v>
      </c>
      <c r="K294" s="3">
        <v>458.08000000000004</v>
      </c>
      <c r="L294" s="3">
        <v>391.38500000000005</v>
      </c>
      <c r="M294" s="5" t="str">
        <f>IF(Faturamento!$S57&lt;&gt;"","Não emitido",IF(Faturamento!$I57="NÃO","Pendente Fatura", IF(Faturamento!$R57&lt;&gt;"","Aprovado",IF(Faturamento!$O57&lt;&gt;0,"Pendente Emissão","Processo de Calculo"))))</f>
        <v>Aprovado</v>
      </c>
      <c r="N294" s="3">
        <v>266.77999999999997</v>
      </c>
      <c r="O294" s="3">
        <v>200.09</v>
      </c>
      <c r="P294" s="4"/>
      <c r="Q294" s="4"/>
      <c r="R294" s="3">
        <v>200.09</v>
      </c>
      <c r="S294"/>
      <c r="T294" s="51" t="s">
        <v>601</v>
      </c>
      <c r="U294" s="51"/>
      <c r="V294" t="s">
        <v>568</v>
      </c>
      <c r="W294" s="3">
        <v>200.09</v>
      </c>
      <c r="X294" s="123">
        <f>IF(Faturamento!$V609="Pago",IFERROR(W294-R294,0),0)</f>
        <v>0</v>
      </c>
      <c r="Y294" s="4"/>
      <c r="Z294" s="4"/>
      <c r="AA294" s="5">
        <v>283032</v>
      </c>
      <c r="AB294" s="5">
        <v>502</v>
      </c>
      <c r="AC294" s="5" t="s">
        <v>434</v>
      </c>
      <c r="AD294" s="5" t="s">
        <v>475</v>
      </c>
      <c r="AE294" s="5">
        <v>34.200000000000003</v>
      </c>
      <c r="AG294" s="5" t="s">
        <v>602</v>
      </c>
      <c r="AH294" s="5" t="s">
        <v>441</v>
      </c>
      <c r="AI294"/>
    </row>
    <row r="295" spans="1:35" hidden="1" x14ac:dyDescent="0.3">
      <c r="A295" s="5" t="str">
        <f>VLOOKUP(B295,base!A:M,11,FALSE)</f>
        <v>TRIFÁSICO</v>
      </c>
      <c r="B295" t="s">
        <v>285</v>
      </c>
      <c r="C295" s="1">
        <v>0</v>
      </c>
      <c r="D295" s="60">
        <v>62955505016080</v>
      </c>
      <c r="E295" s="63" t="s">
        <v>433</v>
      </c>
      <c r="F295" t="s">
        <v>434</v>
      </c>
      <c r="G295" s="4">
        <v>45901</v>
      </c>
      <c r="H295" s="4" t="str">
        <f>Faturamento!$B851&amp;Faturamento!$G851</f>
        <v>10/3139326-745689</v>
      </c>
      <c r="I295" t="s">
        <v>435</v>
      </c>
      <c r="J295">
        <v>258</v>
      </c>
      <c r="K295" s="3">
        <v>443.43655172413793</v>
      </c>
      <c r="L295" s="3">
        <v>370.59610645831799</v>
      </c>
      <c r="M295" s="5" t="s">
        <v>1489</v>
      </c>
      <c r="N295" s="3">
        <v>271.20655172413791</v>
      </c>
      <c r="O295" s="3">
        <v>198.37</v>
      </c>
      <c r="P295" s="4">
        <v>45933</v>
      </c>
      <c r="Q295" s="4">
        <v>45943</v>
      </c>
      <c r="R295" s="3">
        <f>O295</f>
        <v>198.37</v>
      </c>
      <c r="S295"/>
      <c r="T295" s="51" t="s">
        <v>1581</v>
      </c>
      <c r="U295" s="51" t="s">
        <v>1582</v>
      </c>
      <c r="V295" t="s">
        <v>568</v>
      </c>
      <c r="W295" s="3">
        <f>O295</f>
        <v>198.37</v>
      </c>
      <c r="X295" s="123">
        <f>IF(Faturamento!$V608="Pago",IFERROR(W295-R295,0),0)</f>
        <v>0</v>
      </c>
      <c r="Y295" s="4"/>
      <c r="Z295" s="4"/>
      <c r="AA295" s="5"/>
      <c r="AB295" s="5"/>
      <c r="AI295"/>
    </row>
    <row r="296" spans="1:35" hidden="1" x14ac:dyDescent="0.3">
      <c r="A296" s="5" t="str">
        <f>VLOOKUP(B296,base!A:M,11,FALSE)</f>
        <v>TRIFÁSICO</v>
      </c>
      <c r="B296" t="s">
        <v>315</v>
      </c>
      <c r="C296" s="1" t="s">
        <v>131</v>
      </c>
      <c r="D296" s="60">
        <v>62955505359360</v>
      </c>
      <c r="E296" s="63" t="s">
        <v>433</v>
      </c>
      <c r="F296" t="s">
        <v>434</v>
      </c>
      <c r="G296" s="4">
        <v>45870</v>
      </c>
      <c r="H296" s="4" t="str">
        <f>Faturamento!$B751&amp;Faturamento!$G751</f>
        <v>10/257864-945839</v>
      </c>
      <c r="I296" t="s">
        <v>435</v>
      </c>
      <c r="J296">
        <v>236</v>
      </c>
      <c r="K296" s="3">
        <v>438.5490410958904</v>
      </c>
      <c r="L296" s="3">
        <v>381.02861721528734</v>
      </c>
      <c r="M296" s="5" t="str">
        <f>IF(Faturamento!$S751&lt;&gt;"","Não emitido",IF(Faturamento!$I751="NÃO","Pendente Fatura", IF(Faturamento!$R751&lt;&gt;"","Aprovado",IF(Faturamento!$O751&lt;&gt;0,"Pendente Emissão","Processo de Calculo"))))</f>
        <v>Aprovado</v>
      </c>
      <c r="N296" s="3">
        <v>254.55904109589045</v>
      </c>
      <c r="O296" s="3">
        <v>197.04</v>
      </c>
      <c r="P296" s="4">
        <v>45910</v>
      </c>
      <c r="Q296" s="4">
        <v>45920</v>
      </c>
      <c r="R296" s="3">
        <v>197.04</v>
      </c>
      <c r="S296"/>
      <c r="T296" s="51" t="s">
        <v>1399</v>
      </c>
      <c r="U296" s="51" t="s">
        <v>1400</v>
      </c>
      <c r="V296" t="s">
        <v>568</v>
      </c>
      <c r="W296" s="3">
        <v>197.04</v>
      </c>
      <c r="X296" s="123">
        <f>IF(Faturamento!$V607="Pago",IFERROR(W296-R296,0),0)</f>
        <v>0</v>
      </c>
      <c r="Y296" s="4"/>
      <c r="Z296" s="4"/>
      <c r="AA296" s="5"/>
      <c r="AB296" s="5"/>
      <c r="AI296"/>
    </row>
    <row r="297" spans="1:35" hidden="1" x14ac:dyDescent="0.3">
      <c r="A297" s="5" t="str">
        <f>VLOOKUP(B297,base!A:M,11,FALSE)</f>
        <v>BIFÁSICO</v>
      </c>
      <c r="B297" s="37" t="s">
        <v>268</v>
      </c>
      <c r="C297" s="56">
        <v>67996859014</v>
      </c>
      <c r="D297" s="59">
        <v>62955505177504</v>
      </c>
      <c r="E297" s="37" t="s">
        <v>433</v>
      </c>
      <c r="F297" s="37" t="s">
        <v>434</v>
      </c>
      <c r="G297" s="52">
        <v>45839</v>
      </c>
      <c r="H297" s="52" t="str">
        <f>Faturamento!$B648&amp;Faturamento!$G648</f>
        <v>10/908866-745658</v>
      </c>
      <c r="I297" s="37" t="s">
        <v>435</v>
      </c>
      <c r="J297" s="37">
        <v>251</v>
      </c>
      <c r="K297" s="53">
        <v>366.47875000000005</v>
      </c>
      <c r="L297" s="53">
        <v>308.54406675000001</v>
      </c>
      <c r="M297" s="5" t="str">
        <f>IF(Faturamento!$S648&lt;&gt;"","Não emitido",IF(Faturamento!$I648="NÃO","Pendente Fatura", IF(Faturamento!$R648&lt;&gt;"","Aprovado",IF(Faturamento!$O648&lt;&gt;0,"Pendente Emissão","Processo de Calculo"))))</f>
        <v>Aprovado</v>
      </c>
      <c r="N297" s="53">
        <v>254.55874999999995</v>
      </c>
      <c r="O297" s="53">
        <v>196.62</v>
      </c>
      <c r="P297" s="52">
        <v>45910</v>
      </c>
      <c r="Q297" s="52">
        <v>45920</v>
      </c>
      <c r="R297" s="53">
        <v>196.62</v>
      </c>
      <c r="S297" s="37"/>
      <c r="T297" s="51" t="s">
        <v>1209</v>
      </c>
      <c r="U297" s="51" t="s">
        <v>1210</v>
      </c>
      <c r="V297" s="37" t="s">
        <v>369</v>
      </c>
      <c r="W297" s="53"/>
      <c r="X297" s="123">
        <f>IF(Faturamento!$V840="Pago",IFERROR(W297-R297,0),0)</f>
        <v>0</v>
      </c>
      <c r="Y297" s="52"/>
      <c r="Z297" s="196" t="s">
        <v>1795</v>
      </c>
      <c r="AA297" s="5"/>
      <c r="AB297" s="5"/>
      <c r="AI297"/>
    </row>
    <row r="298" spans="1:35" hidden="1" x14ac:dyDescent="0.3">
      <c r="A298" s="5" t="str">
        <f>VLOOKUP(B298,base!A:M,11,FALSE)</f>
        <v>BIFÁSICO</v>
      </c>
      <c r="B298" s="37" t="s">
        <v>153</v>
      </c>
      <c r="C298" s="125" t="s">
        <v>131</v>
      </c>
      <c r="D298" s="59">
        <v>62955505405140</v>
      </c>
      <c r="E298" s="37" t="s">
        <v>433</v>
      </c>
      <c r="F298" s="37" t="s">
        <v>434</v>
      </c>
      <c r="G298" s="52">
        <v>45901</v>
      </c>
      <c r="H298" s="52" t="str">
        <f>Faturamento!$B872&amp;Faturamento!$G872</f>
        <v>10/109074-545689</v>
      </c>
      <c r="I298" s="37" t="s">
        <v>435</v>
      </c>
      <c r="J298">
        <v>255</v>
      </c>
      <c r="K298" s="3">
        <v>345.72</v>
      </c>
      <c r="L298" s="3">
        <v>273.68705206383049</v>
      </c>
      <c r="M298" s="5" t="s">
        <v>1489</v>
      </c>
      <c r="N298" s="53">
        <v>268.20000000000005</v>
      </c>
      <c r="O298" s="53">
        <v>196.17</v>
      </c>
      <c r="P298" s="52">
        <v>45933</v>
      </c>
      <c r="Q298" s="52">
        <v>45943</v>
      </c>
      <c r="R298" s="53">
        <f>O298</f>
        <v>196.17</v>
      </c>
      <c r="S298" s="37"/>
      <c r="T298" s="51" t="s">
        <v>1623</v>
      </c>
      <c r="U298" s="51" t="s">
        <v>1624</v>
      </c>
      <c r="V298" s="37" t="s">
        <v>568</v>
      </c>
      <c r="W298" s="53">
        <v>196.17</v>
      </c>
      <c r="X298" s="123">
        <f>IF(Faturamento!$V887="Pago",IFERROR(W298-R298,0),0)</f>
        <v>0</v>
      </c>
      <c r="Y298" s="52">
        <v>45971</v>
      </c>
      <c r="Z298" s="52"/>
      <c r="AA298" s="5"/>
      <c r="AB298" s="5"/>
      <c r="AI298"/>
    </row>
    <row r="299" spans="1:35" hidden="1" x14ac:dyDescent="0.3">
      <c r="A299" s="5" t="str">
        <f>VLOOKUP(B299,base!A:M,11,FALSE)</f>
        <v>TRIFÁSICO</v>
      </c>
      <c r="B299" t="s">
        <v>164</v>
      </c>
      <c r="C299" s="1" t="s">
        <v>166</v>
      </c>
      <c r="D299" s="60">
        <v>62955505419443</v>
      </c>
      <c r="E299" s="63" t="s">
        <v>433</v>
      </c>
      <c r="F299" t="s">
        <v>434</v>
      </c>
      <c r="G299" s="4">
        <v>45717</v>
      </c>
      <c r="H299" s="4" t="str">
        <f>Faturamento!$B263&amp;Faturamento!$G263</f>
        <v>10/142353-245901</v>
      </c>
      <c r="I299" t="s">
        <v>435</v>
      </c>
      <c r="J299">
        <v>234</v>
      </c>
      <c r="K299" s="3">
        <v>412.16999999999996</v>
      </c>
      <c r="L299" s="3">
        <v>346.87</v>
      </c>
      <c r="M299" s="5" t="str">
        <f>IF(Faturamento!$S263&lt;&gt;"","Não emitido",IF(Faturamento!$I263="NÃO","Pendente Fatura", IF(Faturamento!$R263&lt;&gt;"","Aprovado",IF(Faturamento!$O263&lt;&gt;0,"Pendente Emissão","Processo de Calculo"))))</f>
        <v>Aprovado</v>
      </c>
      <c r="N299" s="3">
        <v>261.2</v>
      </c>
      <c r="O299" s="3">
        <v>195.9</v>
      </c>
      <c r="P299" s="4"/>
      <c r="Q299" s="4"/>
      <c r="R299" s="3">
        <v>195.9</v>
      </c>
      <c r="S299"/>
      <c r="T299" s="51" t="s">
        <v>803</v>
      </c>
      <c r="U299" s="51"/>
      <c r="V299" t="s">
        <v>568</v>
      </c>
      <c r="W299" s="3">
        <v>195.9</v>
      </c>
      <c r="X299" s="123">
        <f>IF(Faturamento!$V606="Pago",IFERROR(W299-R299,0),0)</f>
        <v>0</v>
      </c>
      <c r="Y299" s="4"/>
      <c r="Z299" s="4"/>
      <c r="AA299" s="5"/>
      <c r="AB299" s="5"/>
      <c r="AI299"/>
    </row>
    <row r="300" spans="1:35" hidden="1" x14ac:dyDescent="0.3">
      <c r="A300" s="5" t="e">
        <f>VLOOKUP(B300,base!A:M,11,FALSE)</f>
        <v>#N/A</v>
      </c>
      <c r="B300" t="s">
        <v>520</v>
      </c>
      <c r="C300" s="1" t="e">
        <v>#N/A</v>
      </c>
      <c r="D300" s="60" t="s">
        <v>1180</v>
      </c>
      <c r="E300" s="63" t="s">
        <v>433</v>
      </c>
      <c r="F300" t="s">
        <v>434</v>
      </c>
      <c r="G300" s="4">
        <v>45901</v>
      </c>
      <c r="H300" s="4" t="str">
        <f>Faturamento!$B845&amp;Faturamento!$G845</f>
        <v>10/8777-545689</v>
      </c>
      <c r="I300" t="s">
        <v>435</v>
      </c>
      <c r="J300">
        <v>253</v>
      </c>
      <c r="M300" s="5" t="s">
        <v>1536</v>
      </c>
      <c r="N300" s="3">
        <v>443.91888888888889</v>
      </c>
      <c r="O300" s="3">
        <v>194.42</v>
      </c>
      <c r="P300" s="4"/>
      <c r="Q300" s="4"/>
      <c r="S300" t="s">
        <v>1393</v>
      </c>
      <c r="T300" s="51" t="s">
        <v>1570</v>
      </c>
      <c r="U300" s="51"/>
      <c r="V300" s="37" t="s">
        <v>438</v>
      </c>
      <c r="W300" s="3"/>
      <c r="X300" s="123">
        <f>IF(Faturamento!$V881="Pago",IFERROR(W300-R300,0),0)</f>
        <v>0</v>
      </c>
      <c r="Y300" s="4"/>
      <c r="Z300" s="4"/>
      <c r="AA300" s="5"/>
      <c r="AB300" s="5"/>
      <c r="AI300"/>
    </row>
    <row r="301" spans="1:35" hidden="1" x14ac:dyDescent="0.3">
      <c r="A301" s="5" t="str">
        <f>VLOOKUP(B301,base!A:M,11,FALSE)</f>
        <v>TRIFÁSICO</v>
      </c>
      <c r="B301" s="37" t="s">
        <v>181</v>
      </c>
      <c r="C301" s="56">
        <v>67996150274</v>
      </c>
      <c r="D301" s="59">
        <v>62955505197360</v>
      </c>
      <c r="E301" s="37" t="s">
        <v>433</v>
      </c>
      <c r="F301" s="37" t="s">
        <v>434</v>
      </c>
      <c r="G301" s="52">
        <v>45658</v>
      </c>
      <c r="H301" s="52" t="str">
        <f>Faturamento!$B54&amp;Faturamento!$G54</f>
        <v>10/29964-445689</v>
      </c>
      <c r="I301" s="37" t="s">
        <v>435</v>
      </c>
      <c r="J301">
        <v>232</v>
      </c>
      <c r="K301" s="3">
        <v>447.26</v>
      </c>
      <c r="L301" s="3">
        <v>382.52249999999998</v>
      </c>
      <c r="M301" s="5" t="str">
        <f>IF(Faturamento!$S54&lt;&gt;"","Não emitido",IF(Faturamento!$I54="NÃO","Pendente Fatura", IF(Faturamento!$R54&lt;&gt;"","Aprovado",IF(Faturamento!$O54&lt;&gt;0,"Pendente Emissão","Processo de Calculo"))))</f>
        <v>Aprovado</v>
      </c>
      <c r="N301" s="53">
        <v>258.95000000000005</v>
      </c>
      <c r="O301" s="53">
        <v>194.21</v>
      </c>
      <c r="P301" s="52"/>
      <c r="Q301" s="52"/>
      <c r="R301" s="53">
        <v>194.21</v>
      </c>
      <c r="S301" s="37"/>
      <c r="T301" s="51" t="s">
        <v>592</v>
      </c>
      <c r="U301" s="51"/>
      <c r="V301" s="37" t="s">
        <v>369</v>
      </c>
      <c r="W301" s="53">
        <v>0</v>
      </c>
      <c r="X301" s="123">
        <f>IF(Faturamento!$V46="Pago",IFERROR(W301-R301,0),0)</f>
        <v>-194.21</v>
      </c>
      <c r="Y301" s="52"/>
      <c r="Z301" s="196" t="s">
        <v>1795</v>
      </c>
      <c r="AA301" s="5">
        <v>283032</v>
      </c>
      <c r="AB301" s="5">
        <v>502</v>
      </c>
      <c r="AC301" s="5" t="s">
        <v>434</v>
      </c>
      <c r="AD301" s="5" t="s">
        <v>593</v>
      </c>
      <c r="AE301" s="5">
        <v>53.1</v>
      </c>
      <c r="AG301" s="5" t="s">
        <v>594</v>
      </c>
      <c r="AH301" s="5" t="s">
        <v>441</v>
      </c>
      <c r="AI301"/>
    </row>
    <row r="302" spans="1:35" hidden="1" x14ac:dyDescent="0.3">
      <c r="A302" s="5" t="str">
        <f>VLOOKUP(B302,base!A:M,11,FALSE)</f>
        <v>TRIFÁSICO</v>
      </c>
      <c r="B302" t="s">
        <v>266</v>
      </c>
      <c r="C302" s="1">
        <v>67991060202</v>
      </c>
      <c r="D302" s="60">
        <v>62955505213233</v>
      </c>
      <c r="E302" s="63" t="s">
        <v>433</v>
      </c>
      <c r="F302" t="s">
        <v>434</v>
      </c>
      <c r="G302" s="4">
        <v>45809</v>
      </c>
      <c r="H302" s="4" t="str">
        <f>Faturamento!$B571&amp;Faturamento!$G571</f>
        <v>10/511753-645870</v>
      </c>
      <c r="I302" t="s">
        <v>435</v>
      </c>
      <c r="J302" s="37">
        <v>257</v>
      </c>
      <c r="K302" s="53">
        <v>366.53928571428571</v>
      </c>
      <c r="L302" s="53">
        <v>305.11432826594358</v>
      </c>
      <c r="M302" s="5" t="str">
        <f>IF(Faturamento!$S571&lt;&gt;"","Não emitido",IF(Faturamento!$I571="NÃO","Pendente Fatura", IF(Faturamento!$R571&lt;&gt;"","Aprovado",IF(Faturamento!$O571&lt;&gt;0,"Pendente Emissão","Processo de Calculo"))))</f>
        <v>Aprovado</v>
      </c>
      <c r="N302" s="3">
        <v>258.89928571428572</v>
      </c>
      <c r="O302" s="3">
        <v>194.17</v>
      </c>
      <c r="P302" s="4">
        <v>45860</v>
      </c>
      <c r="Q302" s="4">
        <v>45871</v>
      </c>
      <c r="R302" s="3">
        <v>194.17</v>
      </c>
      <c r="S302"/>
      <c r="T302" s="51" t="s">
        <v>1101</v>
      </c>
      <c r="U302" s="51" t="s">
        <v>1102</v>
      </c>
      <c r="V302" t="s">
        <v>568</v>
      </c>
      <c r="W302" s="3">
        <v>194.17</v>
      </c>
      <c r="X302" s="123">
        <f>IF(Faturamento!$V605="Pago",IFERROR(W302-R302,0),0)</f>
        <v>0</v>
      </c>
      <c r="Y302" s="4" t="s">
        <v>1015</v>
      </c>
      <c r="Z302" s="4"/>
      <c r="AA302" s="5"/>
      <c r="AB302" s="5"/>
      <c r="AI302"/>
    </row>
    <row r="303" spans="1:35" hidden="1" x14ac:dyDescent="0.3">
      <c r="A303" s="5" t="str">
        <f>VLOOKUP(B303,base!A:M,11,FALSE)</f>
        <v>TRIFÁSICO</v>
      </c>
      <c r="B303" t="s">
        <v>143</v>
      </c>
      <c r="C303" s="1" t="s">
        <v>144</v>
      </c>
      <c r="D303" s="60">
        <v>62955505149047</v>
      </c>
      <c r="E303" s="63" t="s">
        <v>433</v>
      </c>
      <c r="F303" t="s">
        <v>434</v>
      </c>
      <c r="G303" s="4">
        <v>45809</v>
      </c>
      <c r="H303" s="4" t="str">
        <f>Faturamento!$B547&amp;Faturamento!$G547</f>
        <v>10/1674177-945839</v>
      </c>
      <c r="I303" t="s">
        <v>435</v>
      </c>
      <c r="J303" s="37">
        <v>223</v>
      </c>
      <c r="K303" s="53">
        <v>441.11199999999997</v>
      </c>
      <c r="L303" s="53">
        <v>379.71961417167984</v>
      </c>
      <c r="M303" s="5" t="str">
        <f>IF(Faturamento!$S547&lt;&gt;"","Não emitido",IF(Faturamento!$I547="NÃO","Pendente Fatura", IF(Faturamento!$R547&lt;&gt;"","Aprovado",IF(Faturamento!$O547&lt;&gt;0,"Pendente Emissão","Processo de Calculo"))))</f>
        <v>Aprovado</v>
      </c>
      <c r="N303" s="3">
        <v>258.762</v>
      </c>
      <c r="O303" s="3">
        <v>194.07</v>
      </c>
      <c r="P303" s="4">
        <v>45860</v>
      </c>
      <c r="Q303" s="4">
        <v>45871</v>
      </c>
      <c r="R303" s="3">
        <v>194.07</v>
      </c>
      <c r="S303"/>
      <c r="T303" s="51" t="s">
        <v>1053</v>
      </c>
      <c r="U303" s="51" t="s">
        <v>1054</v>
      </c>
      <c r="V303" t="s">
        <v>568</v>
      </c>
      <c r="W303" s="3">
        <v>194.07</v>
      </c>
      <c r="X303" s="123">
        <f>IF(Faturamento!$V604="Pago",IFERROR(W303-R303,0),0)</f>
        <v>0</v>
      </c>
      <c r="Y303" s="4"/>
      <c r="Z303" s="4"/>
      <c r="AA303" s="5"/>
      <c r="AB303" s="5"/>
      <c r="AI303"/>
    </row>
    <row r="304" spans="1:35" hidden="1" x14ac:dyDescent="0.3">
      <c r="A304" s="5" t="str">
        <f>VLOOKUP(B304,base!A:M,11,FALSE)</f>
        <v>TRIFÁSICO</v>
      </c>
      <c r="B304" t="s">
        <v>264</v>
      </c>
      <c r="C304" s="56">
        <v>67992876000</v>
      </c>
      <c r="D304">
        <v>62955505248886</v>
      </c>
      <c r="E304" s="37" t="s">
        <v>433</v>
      </c>
      <c r="F304" t="s">
        <v>108</v>
      </c>
      <c r="G304" s="4">
        <v>45931</v>
      </c>
      <c r="H304" s="52" t="str">
        <f>Faturamento!$B917&amp;Faturamento!$G917</f>
        <v>10/10731-845748</v>
      </c>
      <c r="I304" s="37" t="s">
        <v>435</v>
      </c>
      <c r="J304">
        <v>291</v>
      </c>
      <c r="K304" s="3">
        <v>416.95249999999993</v>
      </c>
      <c r="L304" s="3">
        <v>330.78542628536542</v>
      </c>
      <c r="M304" s="5" t="s">
        <v>1489</v>
      </c>
      <c r="N304" s="53">
        <v>308.09249999999997</v>
      </c>
      <c r="O304" s="53">
        <v>193.68</v>
      </c>
      <c r="P304" s="52">
        <v>45967</v>
      </c>
      <c r="Q304" s="52">
        <v>45974</v>
      </c>
      <c r="R304" s="53">
        <v>193.68</v>
      </c>
      <c r="S304" s="37"/>
      <c r="T304" s="3" t="str">
        <f>D304&amp;R304</f>
        <v>62955505248886193,68</v>
      </c>
      <c r="U304" s="3" t="s">
        <v>1729</v>
      </c>
      <c r="V304" s="37" t="s">
        <v>568</v>
      </c>
      <c r="W304">
        <v>221.93</v>
      </c>
      <c r="X304" s="124">
        <f>IF(Faturamento!$V919="Pago",IFERROR(W304-R304,0),0)</f>
        <v>0</v>
      </c>
      <c r="Y304" s="175">
        <v>45995</v>
      </c>
      <c r="Z304" s="196" t="s">
        <v>1795</v>
      </c>
    </row>
    <row r="305" spans="1:35" hidden="1" x14ac:dyDescent="0.3">
      <c r="A305" s="5" t="str">
        <f>VLOOKUP(B305,base!A:M,11,FALSE)</f>
        <v>BIFÁSICO</v>
      </c>
      <c r="B305" s="37" t="s">
        <v>158</v>
      </c>
      <c r="C305" s="56">
        <v>0</v>
      </c>
      <c r="D305" s="59">
        <v>62955505197521</v>
      </c>
      <c r="E305" s="37" t="s">
        <v>433</v>
      </c>
      <c r="F305" s="37" t="s">
        <v>434</v>
      </c>
      <c r="G305" s="52">
        <v>45901</v>
      </c>
      <c r="H305" s="52" t="str">
        <f>Faturamento!$B870&amp;Faturamento!$G870</f>
        <v>10/512142-145689</v>
      </c>
      <c r="I305" s="37" t="s">
        <v>435</v>
      </c>
      <c r="J305">
        <v>252</v>
      </c>
      <c r="K305" s="3">
        <v>315.15999999999997</v>
      </c>
      <c r="L305" s="3">
        <v>244.0509645951519</v>
      </c>
      <c r="M305" s="5" t="s">
        <v>1489</v>
      </c>
      <c r="N305" s="53">
        <v>264.76</v>
      </c>
      <c r="O305" s="53">
        <v>193.65</v>
      </c>
      <c r="P305" s="52">
        <v>45933</v>
      </c>
      <c r="Q305" s="52">
        <v>45943</v>
      </c>
      <c r="R305" s="53">
        <f>O305</f>
        <v>193.65</v>
      </c>
      <c r="S305" s="37"/>
      <c r="T305" s="51" t="s">
        <v>1619</v>
      </c>
      <c r="U305" s="51" t="s">
        <v>1620</v>
      </c>
      <c r="V305" s="37" t="s">
        <v>568</v>
      </c>
      <c r="W305" s="53">
        <f>O305</f>
        <v>193.65</v>
      </c>
      <c r="X305" s="123">
        <f>IF(Faturamento!$V603="Pago",IFERROR(W305-R305,0),0)</f>
        <v>0</v>
      </c>
      <c r="Y305" s="52"/>
      <c r="Z305" s="52"/>
      <c r="AA305" s="5"/>
      <c r="AB305" s="5"/>
      <c r="AI305"/>
    </row>
    <row r="306" spans="1:35" hidden="1" x14ac:dyDescent="0.3">
      <c r="A306" s="5" t="str">
        <f>VLOOKUP(B306,base!A:M,11,FALSE)</f>
        <v>TRIFÁSICO</v>
      </c>
      <c r="B306" t="s">
        <v>191</v>
      </c>
      <c r="C306" s="1">
        <v>67991767866</v>
      </c>
      <c r="D306" s="60">
        <v>62955505461210</v>
      </c>
      <c r="E306" s="63" t="s">
        <v>433</v>
      </c>
      <c r="F306" t="s">
        <v>434</v>
      </c>
      <c r="G306" s="4">
        <v>45717</v>
      </c>
      <c r="H306" s="4" t="str">
        <f>Faturamento!$B257&amp;Faturamento!$G257</f>
        <v>10/81222-245778</v>
      </c>
      <c r="I306" t="s">
        <v>435</v>
      </c>
      <c r="J306">
        <v>248</v>
      </c>
      <c r="K306" s="3">
        <v>447.12999999999994</v>
      </c>
      <c r="L306" s="3">
        <v>382.65499999999992</v>
      </c>
      <c r="M306" s="5" t="str">
        <f>IF(Faturamento!$S257&lt;&gt;"","Não emitido",IF(Faturamento!$I257="NÃO","Pendente Fatura", IF(Faturamento!$R257&lt;&gt;"","Aprovado",IF(Faturamento!$O257&lt;&gt;0,"Pendente Emissão","Processo de Calculo"))))</f>
        <v>Aprovado</v>
      </c>
      <c r="N306" s="3">
        <v>257.90000000000003</v>
      </c>
      <c r="O306" s="3">
        <v>193.43</v>
      </c>
      <c r="P306" s="4"/>
      <c r="Q306" s="4"/>
      <c r="R306" s="3">
        <v>193.43</v>
      </c>
      <c r="S306"/>
      <c r="T306" s="51" t="s">
        <v>797</v>
      </c>
      <c r="U306" s="51"/>
      <c r="V306" t="s">
        <v>568</v>
      </c>
      <c r="W306" s="3">
        <v>193.43</v>
      </c>
      <c r="X306" s="123">
        <f>IF(Faturamento!$V602="Pago",IFERROR(W306-R306,0),0)</f>
        <v>0</v>
      </c>
      <c r="Y306" s="4"/>
      <c r="Z306" s="4"/>
      <c r="AA306" s="5"/>
      <c r="AB306" s="5"/>
      <c r="AI306"/>
    </row>
    <row r="307" spans="1:35" hidden="1" x14ac:dyDescent="0.3">
      <c r="A307" s="5" t="str">
        <f>VLOOKUP(B307,base!A:M,11,FALSE)</f>
        <v>TRIFÁSICO</v>
      </c>
      <c r="B307" s="37" t="s">
        <v>171</v>
      </c>
      <c r="C307" s="56">
        <v>67996266684</v>
      </c>
      <c r="D307" s="59">
        <v>62955505312487</v>
      </c>
      <c r="E307" s="37" t="s">
        <v>433</v>
      </c>
      <c r="F307" s="37" t="s">
        <v>434</v>
      </c>
      <c r="G307" s="52">
        <v>45839</v>
      </c>
      <c r="H307" s="52" t="str">
        <f>Faturamento!$B650&amp;Faturamento!$G650</f>
        <v>10/237441-145778</v>
      </c>
      <c r="I307" s="37" t="s">
        <v>435</v>
      </c>
      <c r="J307" s="37">
        <v>247</v>
      </c>
      <c r="K307" s="53">
        <v>354.72310344827582</v>
      </c>
      <c r="L307" s="53">
        <v>297.71190351724135</v>
      </c>
      <c r="M307" s="5" t="str">
        <f>IF(Faturamento!$S650&lt;&gt;"","Não emitido",IF(Faturamento!$I650="NÃO","Pendente Fatura", IF(Faturamento!$R650&lt;&gt;"","Aprovado",IF(Faturamento!$O650&lt;&gt;0,"Pendente Emissão","Processo de Calculo"))))</f>
        <v>Aprovado</v>
      </c>
      <c r="N307" s="53">
        <v>248.82310344827584</v>
      </c>
      <c r="O307" s="53">
        <v>191.81</v>
      </c>
      <c r="P307" s="52">
        <v>45910</v>
      </c>
      <c r="Q307" s="52">
        <v>45920</v>
      </c>
      <c r="R307" s="53">
        <v>191.81</v>
      </c>
      <c r="S307" s="37"/>
      <c r="T307" s="51" t="s">
        <v>1213</v>
      </c>
      <c r="U307" s="51" t="s">
        <v>1214</v>
      </c>
      <c r="V307" s="37" t="s">
        <v>568</v>
      </c>
      <c r="W307" s="53">
        <v>191.81</v>
      </c>
      <c r="X307" s="123">
        <f>IF(Faturamento!$V601="Pago",IFERROR(W307-R307,0),0)</f>
        <v>0</v>
      </c>
      <c r="Y307" s="52"/>
      <c r="Z307" s="52"/>
      <c r="AA307" s="5"/>
      <c r="AB307" s="5"/>
      <c r="AI307"/>
    </row>
    <row r="308" spans="1:35" hidden="1" x14ac:dyDescent="0.3">
      <c r="A308" s="5" t="str">
        <f>VLOOKUP(B308,base!A:M,11,FALSE)</f>
        <v>BIFÁSICO</v>
      </c>
      <c r="B308" s="37" t="s">
        <v>215</v>
      </c>
      <c r="C308" s="85">
        <v>67981311823</v>
      </c>
      <c r="D308" s="59">
        <v>62955505182176</v>
      </c>
      <c r="E308" s="37" t="s">
        <v>433</v>
      </c>
      <c r="F308" s="37" t="s">
        <v>434</v>
      </c>
      <c r="G308" s="52">
        <v>45689</v>
      </c>
      <c r="H308" s="52" t="str">
        <f>Faturamento!$B162&amp;Faturamento!$G162</f>
        <v>10/532723-445658</v>
      </c>
      <c r="I308" s="37" t="s">
        <v>435</v>
      </c>
      <c r="J308" s="37">
        <v>234</v>
      </c>
      <c r="K308" s="53">
        <v>332.25</v>
      </c>
      <c r="L308" s="53">
        <v>268.54999999999995</v>
      </c>
      <c r="M308" s="5" t="str">
        <f>IF(Faturamento!$S162&lt;&gt;"","Não emitido",IF(Faturamento!$I162="NÃO","Pendente Fatura", IF(Faturamento!$R162&lt;&gt;"","Aprovado",IF(Faturamento!$O162&lt;&gt;0,"Pendente Emissão","Processo de Calculo"))))</f>
        <v>Aprovado</v>
      </c>
      <c r="N308" s="53">
        <v>254.80000000000004</v>
      </c>
      <c r="O308" s="53">
        <v>191.1</v>
      </c>
      <c r="P308" s="52"/>
      <c r="Q308" s="52"/>
      <c r="R308" s="53">
        <v>191.1</v>
      </c>
      <c r="S308" s="37"/>
      <c r="T308" s="51" t="s">
        <v>723</v>
      </c>
      <c r="U308" s="51"/>
      <c r="V308" s="37" t="s">
        <v>568</v>
      </c>
      <c r="W308" s="53">
        <v>191.1</v>
      </c>
      <c r="X308" s="123">
        <f>IF(Faturamento!$V600="Pago",IFERROR(W308-R308,0),0)</f>
        <v>0</v>
      </c>
      <c r="Y308" s="52"/>
      <c r="Z308" s="52"/>
      <c r="AA308" s="5"/>
      <c r="AB308" s="5"/>
      <c r="AI308"/>
    </row>
    <row r="309" spans="1:35" hidden="1" x14ac:dyDescent="0.3">
      <c r="A309" s="5" t="str">
        <f>VLOOKUP(B309,base!A:M,11,FALSE)</f>
        <v>TRIFÁSICO</v>
      </c>
      <c r="B309" t="s">
        <v>283</v>
      </c>
      <c r="C309" s="56">
        <v>6796411024</v>
      </c>
      <c r="D309">
        <v>62955505182257</v>
      </c>
      <c r="E309" s="37" t="s">
        <v>433</v>
      </c>
      <c r="F309" t="s">
        <v>108</v>
      </c>
      <c r="G309" s="4">
        <v>45931</v>
      </c>
      <c r="H309" s="52" t="str">
        <f>Faturamento!$B908&amp;Faturamento!$G908</f>
        <v>10/78338-145717</v>
      </c>
      <c r="I309" s="37" t="s">
        <v>435</v>
      </c>
      <c r="J309">
        <v>248</v>
      </c>
      <c r="K309" s="3">
        <v>444.89152542372881</v>
      </c>
      <c r="L309" s="3">
        <v>370.75932162097502</v>
      </c>
      <c r="M309" s="5" t="s">
        <v>1489</v>
      </c>
      <c r="N309" s="53">
        <v>265.06152542372888</v>
      </c>
      <c r="O309" s="53">
        <v>190.93</v>
      </c>
      <c r="P309" s="52">
        <v>45967</v>
      </c>
      <c r="Q309" s="52">
        <v>45974</v>
      </c>
      <c r="R309" s="53">
        <v>190.93</v>
      </c>
      <c r="S309" s="37"/>
      <c r="T309" s="3" t="str">
        <f>D309&amp;R309</f>
        <v>62955505182257190,93</v>
      </c>
      <c r="U309" s="3" t="s">
        <v>1720</v>
      </c>
      <c r="V309" s="37" t="s">
        <v>568</v>
      </c>
      <c r="W309" s="13">
        <f>R309</f>
        <v>190.93</v>
      </c>
      <c r="X309" s="124">
        <f>IF(Faturamento!$V910="Pago",IFERROR(W309-R309,0),0)</f>
        <v>0</v>
      </c>
    </row>
    <row r="310" spans="1:35" hidden="1" x14ac:dyDescent="0.3">
      <c r="A310" s="5" t="str">
        <f>VLOOKUP(B310,base!A:M,11,FALSE)</f>
        <v>BIFÁSICO</v>
      </c>
      <c r="B310" t="s">
        <v>271</v>
      </c>
      <c r="C310" s="56">
        <v>67996687077</v>
      </c>
      <c r="D310">
        <v>62955505269026</v>
      </c>
      <c r="E310" s="37" t="s">
        <v>433</v>
      </c>
      <c r="F310" t="s">
        <v>108</v>
      </c>
      <c r="G310" s="4">
        <v>45931</v>
      </c>
      <c r="H310" s="52" t="str">
        <f>Faturamento!$B904&amp;Faturamento!$G904</f>
        <v>10/341308-545717</v>
      </c>
      <c r="I310" s="37" t="s">
        <v>435</v>
      </c>
      <c r="J310">
        <v>244</v>
      </c>
      <c r="K310" s="3">
        <v>373.48200000000003</v>
      </c>
      <c r="L310" s="3">
        <v>299.83630533140217</v>
      </c>
      <c r="M310" s="5" t="s">
        <v>1489</v>
      </c>
      <c r="N310" s="53">
        <v>263.322</v>
      </c>
      <c r="O310" s="53">
        <v>189.68</v>
      </c>
      <c r="P310" s="52">
        <v>45967</v>
      </c>
      <c r="Q310" s="52">
        <v>45974</v>
      </c>
      <c r="R310" s="53">
        <v>189.68</v>
      </c>
      <c r="S310" s="37"/>
      <c r="T310" s="3" t="str">
        <f>D310&amp;R310</f>
        <v>62955505269026189,68</v>
      </c>
      <c r="U310" s="3" t="s">
        <v>1716</v>
      </c>
      <c r="V310" s="37" t="s">
        <v>568</v>
      </c>
      <c r="W310" s="53">
        <v>189.68</v>
      </c>
      <c r="X310" s="124">
        <f>IF(Faturamento!$V906="Pago",IFERROR(W310-R310,0),0)</f>
        <v>0</v>
      </c>
      <c r="Y310" s="175">
        <v>45979</v>
      </c>
      <c r="Z310" s="175"/>
    </row>
    <row r="311" spans="1:35" hidden="1" x14ac:dyDescent="0.3">
      <c r="A311" s="5" t="str">
        <f>VLOOKUP(B311,base!A:M,11,FALSE)</f>
        <v>TRIFÁSICO</v>
      </c>
      <c r="B311" t="s">
        <v>307</v>
      </c>
      <c r="C311" s="56">
        <v>67996983476</v>
      </c>
      <c r="D311">
        <v>62955505182257</v>
      </c>
      <c r="E311" s="37" t="s">
        <v>433</v>
      </c>
      <c r="F311" t="s">
        <v>108</v>
      </c>
      <c r="G311" s="4">
        <v>45931</v>
      </c>
      <c r="H311" s="52" t="str">
        <f>Faturamento!$B923&amp;Faturamento!$G923</f>
        <v>10/513413-545778</v>
      </c>
      <c r="I311" s="37" t="s">
        <v>435</v>
      </c>
      <c r="J311">
        <v>245</v>
      </c>
      <c r="K311" s="3">
        <v>439.0018644067797</v>
      </c>
      <c r="L311" s="3">
        <v>366.57560911131429</v>
      </c>
      <c r="M311" s="5" t="s">
        <v>1489</v>
      </c>
      <c r="N311" s="53">
        <v>258.96186440677968</v>
      </c>
      <c r="O311" s="53">
        <v>186.54</v>
      </c>
      <c r="P311" s="52">
        <v>45967</v>
      </c>
      <c r="Q311" s="52">
        <v>45974</v>
      </c>
      <c r="R311" s="53">
        <v>186.54</v>
      </c>
      <c r="S311" s="37"/>
      <c r="T311" s="3" t="str">
        <f>D311&amp;R311</f>
        <v>62955505182257186,54</v>
      </c>
      <c r="U311" s="3" t="s">
        <v>1735</v>
      </c>
      <c r="V311" s="37" t="s">
        <v>568</v>
      </c>
      <c r="W311">
        <v>258.95999999999998</v>
      </c>
      <c r="X311" s="124">
        <f>IF(Faturamento!$V925="Pago",IFERROR(W311-R311,0),0)</f>
        <v>0</v>
      </c>
      <c r="Y311" s="175">
        <v>45993</v>
      </c>
      <c r="Z311" s="175"/>
    </row>
    <row r="312" spans="1:35" hidden="1" x14ac:dyDescent="0.3">
      <c r="A312" s="5" t="str">
        <f>VLOOKUP(B312,base!A:M,11,FALSE)</f>
        <v>TRIFÁSICO</v>
      </c>
      <c r="B312" s="37" t="s">
        <v>143</v>
      </c>
      <c r="C312" s="56" t="s">
        <v>144</v>
      </c>
      <c r="D312" s="59">
        <v>62955505149047</v>
      </c>
      <c r="E312" s="37" t="s">
        <v>433</v>
      </c>
      <c r="F312" s="37" t="s">
        <v>434</v>
      </c>
      <c r="G312" s="52">
        <v>45689</v>
      </c>
      <c r="H312" s="52" t="str">
        <f>Faturamento!$B146&amp;Faturamento!$G146</f>
        <v>10/1695011-545689</v>
      </c>
      <c r="I312" s="37" t="s">
        <v>435</v>
      </c>
      <c r="J312" s="37">
        <v>222</v>
      </c>
      <c r="K312" s="53">
        <v>428.26</v>
      </c>
      <c r="L312" s="53">
        <v>366.31</v>
      </c>
      <c r="M312" s="5" t="str">
        <f>IF(Faturamento!$S146&lt;&gt;"","Não emitido",IF(Faturamento!$I146="NÃO","Pendente Fatura", IF(Faturamento!$R146&lt;&gt;"","Aprovado",IF(Faturamento!$O146&lt;&gt;0,"Pendente Emissão","Processo de Calculo"))))</f>
        <v>Aprovado</v>
      </c>
      <c r="N312" s="53">
        <v>247.80000000000004</v>
      </c>
      <c r="O312" s="53">
        <v>185.85</v>
      </c>
      <c r="P312" s="52"/>
      <c r="Q312" s="52"/>
      <c r="R312" s="53">
        <v>185.85</v>
      </c>
      <c r="S312" s="37"/>
      <c r="T312" s="51" t="s">
        <v>707</v>
      </c>
      <c r="U312" s="51"/>
      <c r="V312" s="37" t="s">
        <v>568</v>
      </c>
      <c r="W312" s="53">
        <v>185.85</v>
      </c>
      <c r="X312" s="123">
        <f>IF(Faturamento!$V599="Pago",IFERROR(W312-R312,0),0)</f>
        <v>0</v>
      </c>
      <c r="Y312" s="52"/>
      <c r="Z312" s="52"/>
      <c r="AA312" s="5"/>
      <c r="AB312" s="5"/>
      <c r="AI312"/>
    </row>
    <row r="313" spans="1:35" hidden="1" x14ac:dyDescent="0.3">
      <c r="A313" s="5" t="str">
        <f>VLOOKUP(B313,base!A:M,11,FALSE)</f>
        <v>TRIFÁSICO</v>
      </c>
      <c r="B313" t="s">
        <v>143</v>
      </c>
      <c r="C313" s="1" t="s">
        <v>144</v>
      </c>
      <c r="D313" s="60">
        <v>62955505149047</v>
      </c>
      <c r="E313" s="63" t="s">
        <v>433</v>
      </c>
      <c r="F313" t="s">
        <v>434</v>
      </c>
      <c r="G313" s="4">
        <v>45748</v>
      </c>
      <c r="H313" s="4" t="str">
        <f>Faturamento!$B357&amp;Faturamento!$G357</f>
        <v>10/1266128-645778</v>
      </c>
      <c r="I313" t="s">
        <v>435</v>
      </c>
      <c r="J313" s="37">
        <v>238</v>
      </c>
      <c r="K313" s="53">
        <v>423</v>
      </c>
      <c r="L313" s="53">
        <v>361.16499985000002</v>
      </c>
      <c r="M313" s="5" t="str">
        <f>IF(Faturamento!$S357&lt;&gt;"","Não emitido",IF(Faturamento!$I357="NÃO","Pendente Fatura", IF(Faturamento!$R357&lt;&gt;"","Aprovado",IF(Faturamento!$O357&lt;&gt;0,"Pendente Emissão","Processo de Calculo"))))</f>
        <v>Aprovado</v>
      </c>
      <c r="N313" s="3">
        <v>247.34000060000002</v>
      </c>
      <c r="O313" s="3">
        <v>185.51</v>
      </c>
      <c r="P313" s="4"/>
      <c r="Q313" s="4"/>
      <c r="R313" s="3">
        <v>185.51</v>
      </c>
      <c r="S313"/>
      <c r="T313" s="51" t="s">
        <v>857</v>
      </c>
      <c r="U313" s="51"/>
      <c r="V313" t="s">
        <v>568</v>
      </c>
      <c r="W313" s="3">
        <v>185.51</v>
      </c>
      <c r="X313" s="123">
        <f>IF(Faturamento!$V598="Pago",IFERROR(W313-R313,0),0)</f>
        <v>0</v>
      </c>
      <c r="Y313" s="4"/>
      <c r="Z313" s="4"/>
      <c r="AA313" s="5"/>
      <c r="AB313" s="5"/>
      <c r="AI313"/>
    </row>
    <row r="314" spans="1:35" hidden="1" x14ac:dyDescent="0.3">
      <c r="A314" s="5" t="str">
        <f>VLOOKUP(B314,base!A:M,11,FALSE)</f>
        <v>TRIFÁSICO</v>
      </c>
      <c r="B314" t="s">
        <v>222</v>
      </c>
      <c r="C314" s="1">
        <v>67996150274</v>
      </c>
      <c r="D314" s="60">
        <v>62955505000167</v>
      </c>
      <c r="E314" s="63" t="s">
        <v>433</v>
      </c>
      <c r="F314" t="s">
        <v>434</v>
      </c>
      <c r="G314" s="4">
        <v>45658</v>
      </c>
      <c r="H314" s="4" t="str">
        <f>Faturamento!$B137&amp;Faturamento!$G137</f>
        <v>10/1695011-545901</v>
      </c>
      <c r="I314" t="s">
        <v>435</v>
      </c>
      <c r="J314">
        <v>246</v>
      </c>
      <c r="K314" s="3">
        <v>421.5</v>
      </c>
      <c r="L314" s="3">
        <v>359.9</v>
      </c>
      <c r="M314" s="5" t="str">
        <f>IF(Faturamento!$S137&lt;&gt;"","Não emitido",IF(Faturamento!$I137="NÃO","Pendente Fatura", IF(Faturamento!$R137&lt;&gt;"","Aprovado",IF(Faturamento!$O137&lt;&gt;0,"Pendente Emissão","Processo de Calculo"))))</f>
        <v>Aprovado</v>
      </c>
      <c r="N314" s="3">
        <v>246.40000000000006</v>
      </c>
      <c r="O314" s="3">
        <v>184.8</v>
      </c>
      <c r="P314" s="4"/>
      <c r="Q314" s="4"/>
      <c r="R314" s="3">
        <v>184.8</v>
      </c>
      <c r="S314"/>
      <c r="T314" s="51" t="s">
        <v>694</v>
      </c>
      <c r="U314" s="51"/>
      <c r="V314" t="s">
        <v>568</v>
      </c>
      <c r="W314" s="3">
        <v>184.8</v>
      </c>
      <c r="X314" s="123">
        <f>IF(Faturamento!$V597="Pago",IFERROR(W314-R314,0),0)</f>
        <v>0</v>
      </c>
      <c r="Y314" s="4"/>
      <c r="Z314" s="4"/>
      <c r="AA314" s="5"/>
      <c r="AB314" s="5"/>
      <c r="AI314"/>
    </row>
    <row r="315" spans="1:35" hidden="1" x14ac:dyDescent="0.3">
      <c r="A315" s="5" t="str">
        <f>VLOOKUP(B315,base!A:M,11,FALSE)</f>
        <v>TRIFÁSICO</v>
      </c>
      <c r="B315" t="s">
        <v>322</v>
      </c>
      <c r="C315" s="56">
        <v>67998363594</v>
      </c>
      <c r="D315">
        <v>62955505182257</v>
      </c>
      <c r="E315" s="37" t="s">
        <v>433</v>
      </c>
      <c r="F315" t="s">
        <v>108</v>
      </c>
      <c r="G315" s="4">
        <v>45931</v>
      </c>
      <c r="H315" s="52" t="str">
        <f>Faturamento!$B913&amp;Faturamento!$G913</f>
        <v>10/513413-545748</v>
      </c>
      <c r="I315" s="37" t="s">
        <v>435</v>
      </c>
      <c r="J315">
        <v>241</v>
      </c>
      <c r="K315" s="3">
        <v>432.69916666666666</v>
      </c>
      <c r="L315" s="3">
        <v>361.22737205342514</v>
      </c>
      <c r="M315" s="5" t="s">
        <v>1489</v>
      </c>
      <c r="N315" s="53">
        <v>255.54916666666665</v>
      </c>
      <c r="O315" s="53">
        <v>184.14</v>
      </c>
      <c r="P315" s="52">
        <v>45967</v>
      </c>
      <c r="Q315" s="52">
        <v>45974</v>
      </c>
      <c r="R315" s="53">
        <v>184.14</v>
      </c>
      <c r="S315" s="37"/>
      <c r="T315" s="3" t="str">
        <f>D315&amp;R315</f>
        <v>62955505182257184,14</v>
      </c>
      <c r="U315" s="3" t="s">
        <v>1725</v>
      </c>
      <c r="V315" s="37" t="s">
        <v>568</v>
      </c>
      <c r="W315" s="13">
        <f>R315</f>
        <v>184.14</v>
      </c>
      <c r="X315" s="124">
        <f>IF(Faturamento!$V915="Pago",IFERROR(W315-R315,0),0)</f>
        <v>0</v>
      </c>
    </row>
    <row r="316" spans="1:35" hidden="1" x14ac:dyDescent="0.3">
      <c r="A316" s="5" t="str">
        <f>VLOOKUP(B316,base!A:M,11,FALSE)</f>
        <v>BIFÁSICO</v>
      </c>
      <c r="B316" s="37" t="s">
        <v>107</v>
      </c>
      <c r="C316" s="56">
        <v>0</v>
      </c>
      <c r="D316" s="59">
        <v>62955505878987</v>
      </c>
      <c r="E316" s="37" t="s">
        <v>433</v>
      </c>
      <c r="F316" s="37" t="s">
        <v>434</v>
      </c>
      <c r="G316" s="52">
        <v>45839</v>
      </c>
      <c r="H316" s="52" t="str">
        <f>Faturamento!$B652&amp;Faturamento!$G652</f>
        <v>10/1695011-545748</v>
      </c>
      <c r="I316" s="37" t="s">
        <v>435</v>
      </c>
      <c r="J316" s="37">
        <v>205</v>
      </c>
      <c r="K316" s="53">
        <v>419.26100000000002</v>
      </c>
      <c r="L316" s="53">
        <v>364.56722260000004</v>
      </c>
      <c r="M316" s="5" t="str">
        <f>IF(Faturamento!$S652&lt;&gt;"","Não emitido",IF(Faturamento!$I652="NÃO","Pendente Fatura", IF(Faturamento!$R652&lt;&gt;"","Aprovado",IF(Faturamento!$O652&lt;&gt;0,"Pendente Emissão","Processo de Calculo"))))</f>
        <v>Aprovado</v>
      </c>
      <c r="N316" s="53">
        <v>238.42100000000002</v>
      </c>
      <c r="O316" s="53">
        <v>183.73</v>
      </c>
      <c r="P316" s="52">
        <v>45910</v>
      </c>
      <c r="Q316" s="52">
        <v>45920</v>
      </c>
      <c r="R316" s="53">
        <v>183.73</v>
      </c>
      <c r="S316" s="37"/>
      <c r="T316" s="51" t="s">
        <v>1217</v>
      </c>
      <c r="U316" s="51" t="s">
        <v>1218</v>
      </c>
      <c r="V316" s="37" t="s">
        <v>568</v>
      </c>
      <c r="W316" s="53">
        <v>183.73</v>
      </c>
      <c r="X316" s="123">
        <f>IF(Faturamento!$V596="Pago",IFERROR(W316-R316,0),0)</f>
        <v>0</v>
      </c>
      <c r="Y316" s="52">
        <v>45943</v>
      </c>
      <c r="Z316" s="52"/>
      <c r="AA316" s="5"/>
      <c r="AB316" s="5"/>
      <c r="AI316"/>
    </row>
    <row r="317" spans="1:35" hidden="1" x14ac:dyDescent="0.3">
      <c r="A317" s="5" t="str">
        <f>VLOOKUP(B317,base!A:M,11,FALSE)</f>
        <v>TRIFÁSICO</v>
      </c>
      <c r="B317" t="s">
        <v>194</v>
      </c>
      <c r="C317" s="1">
        <v>67996266684</v>
      </c>
      <c r="D317" s="60">
        <v>62955505016080</v>
      </c>
      <c r="E317" s="63" t="s">
        <v>433</v>
      </c>
      <c r="F317" t="s">
        <v>434</v>
      </c>
      <c r="G317" s="4">
        <v>45748</v>
      </c>
      <c r="H317" s="4" t="str">
        <f>Faturamento!$B339&amp;Faturamento!$G339</f>
        <v>10/1674177-945748</v>
      </c>
      <c r="I317" t="s">
        <v>435</v>
      </c>
      <c r="J317" s="37">
        <v>218</v>
      </c>
      <c r="K317" s="53">
        <v>1032.96</v>
      </c>
      <c r="L317" s="53">
        <v>971.83500000000004</v>
      </c>
      <c r="M317" s="5" t="str">
        <f>IF(Faturamento!$S339&lt;&gt;"","Não emitido",IF(Faturamento!$I339="NÃO","Pendente Fatura", IF(Faturamento!$R339&lt;&gt;"","Aprovado",IF(Faturamento!$O339&lt;&gt;0,"Pendente Emissão","Processo de Calculo"))))</f>
        <v>Aprovado</v>
      </c>
      <c r="N317" s="3">
        <v>244.50000000000003</v>
      </c>
      <c r="O317" s="3">
        <v>183.38</v>
      </c>
      <c r="P317" s="4"/>
      <c r="Q317" s="4"/>
      <c r="R317" s="3">
        <v>183.38</v>
      </c>
      <c r="S317"/>
      <c r="T317" s="51" t="s">
        <v>842</v>
      </c>
      <c r="U317" s="51"/>
      <c r="V317" t="s">
        <v>568</v>
      </c>
      <c r="W317" s="3">
        <v>183.38</v>
      </c>
      <c r="X317" s="123">
        <f>IF(Faturamento!$V595="Pago",IFERROR(W317-R317,0),0)</f>
        <v>0</v>
      </c>
      <c r="Y317" s="4"/>
      <c r="Z317" s="4"/>
      <c r="AA317" s="5"/>
      <c r="AB317" s="5"/>
      <c r="AI317"/>
    </row>
    <row r="318" spans="1:35" hidden="1" x14ac:dyDescent="0.3">
      <c r="A318" s="5" t="str">
        <f>VLOOKUP(B318,base!A:M,11,FALSE)</f>
        <v>TRIFÁSICO</v>
      </c>
      <c r="B318" t="s">
        <v>184</v>
      </c>
      <c r="C318" s="1">
        <v>67992637973</v>
      </c>
      <c r="D318" s="60">
        <v>62955505017213</v>
      </c>
      <c r="E318" s="63" t="s">
        <v>433</v>
      </c>
      <c r="F318" t="s">
        <v>434</v>
      </c>
      <c r="G318" s="4">
        <v>45658</v>
      </c>
      <c r="H318" s="4" t="str">
        <f>Faturamento!$B55&amp;Faturamento!$G55</f>
        <v>10/5202-745870</v>
      </c>
      <c r="I318" t="s">
        <v>435</v>
      </c>
      <c r="J318">
        <v>219</v>
      </c>
      <c r="K318" s="3">
        <v>398.97999999999996</v>
      </c>
      <c r="L318" s="3">
        <v>337.86500000000001</v>
      </c>
      <c r="M318" s="5" t="str">
        <f>IF(Faturamento!$S55&lt;&gt;"","Não emitido",IF(Faturamento!$I55="NÃO","Pendente Fatura", IF(Faturamento!$R55&lt;&gt;"","Aprovado",IF(Faturamento!$O55&lt;&gt;0,"Pendente Emissão","Processo de Calculo"))))</f>
        <v>Aprovado</v>
      </c>
      <c r="N318" s="3">
        <v>244.45999999999998</v>
      </c>
      <c r="O318" s="3">
        <v>183.35</v>
      </c>
      <c r="P318" s="4"/>
      <c r="Q318" s="4"/>
      <c r="R318" s="3">
        <v>183.35</v>
      </c>
      <c r="S318"/>
      <c r="T318" s="51" t="s">
        <v>595</v>
      </c>
      <c r="U318" s="51"/>
      <c r="V318" t="s">
        <v>568</v>
      </c>
      <c r="W318" s="3">
        <v>183.35</v>
      </c>
      <c r="X318" s="123">
        <f>IF(Faturamento!$V594="Pago",IFERROR(W318-R318,0),0)</f>
        <v>0</v>
      </c>
      <c r="Y318" s="4"/>
      <c r="Z318" s="4"/>
      <c r="AA318" s="5">
        <v>283032</v>
      </c>
      <c r="AB318" s="5">
        <v>502</v>
      </c>
      <c r="AC318" s="5" t="s">
        <v>434</v>
      </c>
      <c r="AD318" s="5" t="s">
        <v>596</v>
      </c>
      <c r="AE318" s="5">
        <v>119.1</v>
      </c>
      <c r="AG318" s="5" t="s">
        <v>597</v>
      </c>
      <c r="AH318" s="5" t="s">
        <v>138</v>
      </c>
      <c r="AI318"/>
    </row>
    <row r="319" spans="1:35" hidden="1" x14ac:dyDescent="0.3">
      <c r="A319" s="5" t="str">
        <f>VLOOKUP(B319,base!A:M,11,FALSE)</f>
        <v>TRIFÁSICO</v>
      </c>
      <c r="B319" s="37" t="s">
        <v>334</v>
      </c>
      <c r="C319" s="56" t="s">
        <v>336</v>
      </c>
      <c r="D319" s="59">
        <v>62955505015946</v>
      </c>
      <c r="E319" s="37" t="s">
        <v>433</v>
      </c>
      <c r="F319" s="37" t="s">
        <v>434</v>
      </c>
      <c r="G319" s="52">
        <v>45809</v>
      </c>
      <c r="H319" s="52" t="str">
        <f>Faturamento!$B574&amp;Faturamento!$G574</f>
        <v>10/384823-145839</v>
      </c>
      <c r="I319" s="37" t="s">
        <v>435</v>
      </c>
      <c r="J319" s="37">
        <v>241</v>
      </c>
      <c r="K319" s="53">
        <v>381.21762711864409</v>
      </c>
      <c r="L319" s="53">
        <v>323.40644550024945</v>
      </c>
      <c r="M319" s="5" t="str">
        <f>IF(Faturamento!$S574&lt;&gt;"","Não emitido",IF(Faturamento!$I574="NÃO","Pendente Fatura", IF(Faturamento!$R574&lt;&gt;"","Aprovado",IF(Faturamento!$O574&lt;&gt;0,"Pendente Emissão","Processo de Calculo"))))</f>
        <v>Aprovado</v>
      </c>
      <c r="N319" s="53">
        <v>243.66762711864408</v>
      </c>
      <c r="O319" s="53">
        <v>182.75</v>
      </c>
      <c r="P319" s="52">
        <v>45860</v>
      </c>
      <c r="Q319" s="52">
        <v>45871</v>
      </c>
      <c r="R319" s="53">
        <v>182.75</v>
      </c>
      <c r="S319" s="37"/>
      <c r="T319" s="51" t="s">
        <v>1107</v>
      </c>
      <c r="U319" s="51" t="s">
        <v>1108</v>
      </c>
      <c r="V319" s="37" t="s">
        <v>568</v>
      </c>
      <c r="W319" s="53">
        <v>182.75</v>
      </c>
      <c r="X319" s="123">
        <f>IF(Faturamento!$V593="Pago",IFERROR(W319-R319,0),0)</f>
        <v>0</v>
      </c>
      <c r="Y319" s="52" t="s">
        <v>1043</v>
      </c>
      <c r="Z319" s="52"/>
      <c r="AA319" s="5"/>
      <c r="AB319" s="5"/>
      <c r="AI319"/>
    </row>
    <row r="320" spans="1:35" hidden="1" x14ac:dyDescent="0.3">
      <c r="A320" s="5" t="str">
        <f>VLOOKUP(B320,base!A:M,11,FALSE)</f>
        <v>TRIFÁSICO</v>
      </c>
      <c r="B320" t="s">
        <v>206</v>
      </c>
      <c r="C320" s="1">
        <v>67992637973</v>
      </c>
      <c r="D320" s="60">
        <v>62955505017213</v>
      </c>
      <c r="E320" s="63" t="s">
        <v>433</v>
      </c>
      <c r="F320" t="s">
        <v>434</v>
      </c>
      <c r="G320" s="4">
        <v>45717</v>
      </c>
      <c r="H320" s="4" t="str">
        <f>Faturamento!$B261&amp;Faturamento!$G261</f>
        <v>10/3005226-045809</v>
      </c>
      <c r="I320" t="s">
        <v>435</v>
      </c>
      <c r="J320">
        <v>217</v>
      </c>
      <c r="K320" s="3">
        <v>396.75</v>
      </c>
      <c r="L320" s="3">
        <v>336.26750000000004</v>
      </c>
      <c r="M320" s="5" t="s">
        <v>1489</v>
      </c>
      <c r="N320" s="3">
        <v>241.93000000000004</v>
      </c>
      <c r="O320" s="3">
        <v>181.45</v>
      </c>
      <c r="P320" s="4"/>
      <c r="Q320" s="4"/>
      <c r="R320" s="3">
        <v>181.45</v>
      </c>
      <c r="S320"/>
      <c r="T320" s="51" t="s">
        <v>801</v>
      </c>
      <c r="U320" s="51"/>
      <c r="V320" t="s">
        <v>568</v>
      </c>
      <c r="W320" s="3">
        <v>181.45</v>
      </c>
      <c r="X320" s="123">
        <f>IF(Faturamento!$V592="Pago",IFERROR(W320-R320,0),0)</f>
        <v>0</v>
      </c>
      <c r="Y320" s="4"/>
      <c r="Z320" s="4"/>
      <c r="AA320" s="5"/>
      <c r="AB320" s="5"/>
      <c r="AI320"/>
    </row>
    <row r="321" spans="1:35" hidden="1" x14ac:dyDescent="0.3">
      <c r="A321" s="5" t="str">
        <f>VLOOKUP(B321,base!A:M,11,FALSE)</f>
        <v>TRIFÁSICO</v>
      </c>
      <c r="B321" s="37" t="s">
        <v>320</v>
      </c>
      <c r="C321" s="56">
        <v>67981263396</v>
      </c>
      <c r="D321" s="59">
        <v>62955505135500</v>
      </c>
      <c r="E321" s="37" t="s">
        <v>433</v>
      </c>
      <c r="F321" s="37" t="s">
        <v>434</v>
      </c>
      <c r="G321" s="52">
        <v>45839</v>
      </c>
      <c r="H321" s="52" t="str">
        <f>Faturamento!$B662&amp;Faturamento!$G662</f>
        <v>10/1548741-645931</v>
      </c>
      <c r="I321" s="37" t="s">
        <v>435</v>
      </c>
      <c r="J321" s="37">
        <v>231</v>
      </c>
      <c r="K321" s="53">
        <v>405.39901639344259</v>
      </c>
      <c r="L321" s="53">
        <v>352.07980003278681</v>
      </c>
      <c r="M321" s="5" t="str">
        <f>IF(Faturamento!$S662&lt;&gt;"","Não emitido",IF(Faturamento!$I662="NÃO","Pendente Fatura", IF(Faturamento!$R662&lt;&gt;"","Aprovado",IF(Faturamento!$O662&lt;&gt;0,"Pendente Emissão","Processo de Calculo"))))</f>
        <v>Aprovado</v>
      </c>
      <c r="N321" s="53">
        <v>234.44901639344266</v>
      </c>
      <c r="O321" s="53">
        <v>181.13</v>
      </c>
      <c r="P321" s="52">
        <v>45910</v>
      </c>
      <c r="Q321" s="52">
        <v>45920</v>
      </c>
      <c r="R321" s="53">
        <v>181.13</v>
      </c>
      <c r="S321" s="37"/>
      <c r="T321" s="51" t="s">
        <v>1237</v>
      </c>
      <c r="U321" s="51" t="s">
        <v>1238</v>
      </c>
      <c r="V321" s="37" t="s">
        <v>568</v>
      </c>
      <c r="W321" s="53">
        <v>181.13</v>
      </c>
      <c r="X321" s="123">
        <f>IF(Faturamento!$V591="Pago",IFERROR(W321-R321,0),0)</f>
        <v>0</v>
      </c>
      <c r="Y321" s="52"/>
      <c r="Z321" s="52"/>
      <c r="AA321" s="5"/>
      <c r="AB321" s="5"/>
      <c r="AI321"/>
    </row>
    <row r="322" spans="1:35" hidden="1" x14ac:dyDescent="0.3">
      <c r="A322" s="5" t="str">
        <f>VLOOKUP(B322,base!A:M,11,FALSE)</f>
        <v>TRIFÁSICO</v>
      </c>
      <c r="B322" s="37" t="s">
        <v>177</v>
      </c>
      <c r="C322" s="56" t="s">
        <v>179</v>
      </c>
      <c r="D322" s="59">
        <v>62955505015350</v>
      </c>
      <c r="E322" s="37" t="s">
        <v>433</v>
      </c>
      <c r="F322" s="37" t="s">
        <v>434</v>
      </c>
      <c r="G322" s="52">
        <v>45748</v>
      </c>
      <c r="H322" s="52" t="str">
        <f>Faturamento!$B350&amp;Faturamento!$G350</f>
        <v>10/395471-645748</v>
      </c>
      <c r="I322" s="37" t="s">
        <v>435</v>
      </c>
      <c r="J322" s="37">
        <v>232</v>
      </c>
      <c r="K322" s="53">
        <v>420.36</v>
      </c>
      <c r="L322" s="53">
        <v>360.01750000000004</v>
      </c>
      <c r="M322" s="5" t="str">
        <f>IF(Faturamento!$S350&lt;&gt;"","Não emitido",IF(Faturamento!$I350="NÃO","Pendente Fatura", IF(Faturamento!$R350&lt;&gt;"","Aprovado",IF(Faturamento!$O350&lt;&gt;0,"Pendente Emissão","Processo de Calculo"))))</f>
        <v>Aprovado</v>
      </c>
      <c r="N322" s="53">
        <v>241.37</v>
      </c>
      <c r="O322" s="53">
        <v>181.03</v>
      </c>
      <c r="P322" s="52"/>
      <c r="Q322" s="52"/>
      <c r="R322" s="53">
        <v>181.03</v>
      </c>
      <c r="S322" s="37"/>
      <c r="T322" s="51" t="s">
        <v>852</v>
      </c>
      <c r="U322" s="51"/>
      <c r="V322" s="37" t="s">
        <v>568</v>
      </c>
      <c r="W322" s="53">
        <v>181.03</v>
      </c>
      <c r="X322" s="123">
        <f>IF(Faturamento!$V590="Pago",IFERROR(W322-R322,0),0)</f>
        <v>0</v>
      </c>
      <c r="Y322" s="52"/>
      <c r="Z322" s="52"/>
      <c r="AA322" s="5"/>
      <c r="AB322" s="5"/>
      <c r="AI322"/>
    </row>
    <row r="323" spans="1:35" hidden="1" x14ac:dyDescent="0.3">
      <c r="A323" s="5" t="str">
        <f>VLOOKUP(B323,base!A:M,11,FALSE)</f>
        <v>BIFÁSICO</v>
      </c>
      <c r="B323" t="s">
        <v>198</v>
      </c>
      <c r="C323" s="1" t="s">
        <v>166</v>
      </c>
      <c r="D323" s="60">
        <v>62955505419443</v>
      </c>
      <c r="E323" s="63" t="s">
        <v>433</v>
      </c>
      <c r="F323" t="s">
        <v>434</v>
      </c>
      <c r="G323" s="4">
        <v>45809</v>
      </c>
      <c r="H323" s="4" t="str">
        <f>Faturamento!$B559&amp;Faturamento!$G559</f>
        <v>10/150263-245778</v>
      </c>
      <c r="I323" t="s">
        <v>435</v>
      </c>
      <c r="J323" s="37">
        <v>218</v>
      </c>
      <c r="K323" s="53">
        <v>327.48600000000005</v>
      </c>
      <c r="L323" s="53">
        <v>270.36798685036933</v>
      </c>
      <c r="M323" s="5" t="str">
        <f>IF(Faturamento!$S559&lt;&gt;"","Não emitido",IF(Faturamento!$I559="NÃO","Pendente Fatura", IF(Faturamento!$R559&lt;&gt;"","Aprovado",IF(Faturamento!$O559&lt;&gt;0,"Pendente Emissão","Processo de Calculo"))))</f>
        <v>Aprovado</v>
      </c>
      <c r="N323" s="3">
        <v>240.74599999999998</v>
      </c>
      <c r="O323" s="3">
        <v>180.56</v>
      </c>
      <c r="P323" s="4">
        <v>45860</v>
      </c>
      <c r="Q323" s="4">
        <v>45871</v>
      </c>
      <c r="R323" s="3">
        <v>180.56</v>
      </c>
      <c r="S323"/>
      <c r="T323" s="51" t="s">
        <v>1077</v>
      </c>
      <c r="U323" s="51" t="s">
        <v>1078</v>
      </c>
      <c r="V323" t="s">
        <v>568</v>
      </c>
      <c r="W323" s="3">
        <v>180.56</v>
      </c>
      <c r="X323" s="123">
        <f>IF(Faturamento!$V589="Pago",IFERROR(W323-R323,0),0)</f>
        <v>0</v>
      </c>
      <c r="Y323" s="4" t="s">
        <v>1031</v>
      </c>
      <c r="Z323" s="4"/>
      <c r="AA323" s="5"/>
      <c r="AB323" s="5"/>
      <c r="AI323"/>
    </row>
    <row r="324" spans="1:35" hidden="1" x14ac:dyDescent="0.3">
      <c r="A324" s="5" t="str">
        <f>VLOOKUP(B324,base!A:M,11,FALSE)</f>
        <v>BIFÁSICO</v>
      </c>
      <c r="B324" s="37" t="s">
        <v>208</v>
      </c>
      <c r="C324" s="56">
        <v>0</v>
      </c>
      <c r="D324" s="59">
        <v>62955505016594</v>
      </c>
      <c r="E324" s="37" t="s">
        <v>433</v>
      </c>
      <c r="F324" s="37" t="s">
        <v>434</v>
      </c>
      <c r="G324" s="52">
        <v>45870</v>
      </c>
      <c r="H324" s="52" t="str">
        <f>Faturamento!$B780&amp;Faturamento!$G780</f>
        <v>10/252817-245839</v>
      </c>
      <c r="I324" s="37" t="s">
        <v>435</v>
      </c>
      <c r="J324">
        <v>230</v>
      </c>
      <c r="K324" s="3">
        <v>326.41166666666669</v>
      </c>
      <c r="L324" s="3">
        <v>273.73751366681478</v>
      </c>
      <c r="M324" s="5" t="s">
        <v>1489</v>
      </c>
      <c r="N324" s="53">
        <v>233.11166666666668</v>
      </c>
      <c r="O324" s="53">
        <v>180.44</v>
      </c>
      <c r="P324" s="52">
        <v>45910</v>
      </c>
      <c r="Q324" s="52">
        <v>45920</v>
      </c>
      <c r="R324" s="53">
        <v>180.44</v>
      </c>
      <c r="S324" s="37"/>
      <c r="T324" s="51" t="s">
        <v>1456</v>
      </c>
      <c r="U324" s="51" t="s">
        <v>1457</v>
      </c>
      <c r="V324" s="37" t="s">
        <v>568</v>
      </c>
      <c r="W324" s="53">
        <v>180.44</v>
      </c>
      <c r="X324" s="123">
        <f>IF(Faturamento!$V588="Pago",IFERROR(W324-R324,0),0)</f>
        <v>0</v>
      </c>
      <c r="Y324" s="52"/>
      <c r="Z324" s="52"/>
      <c r="AA324" s="5"/>
      <c r="AB324" s="5"/>
      <c r="AI324"/>
    </row>
    <row r="325" spans="1:35" hidden="1" x14ac:dyDescent="0.3">
      <c r="A325" s="5" t="str">
        <f>VLOOKUP(B325,base!A:M,11,FALSE)</f>
        <v>TRIFÁSICO</v>
      </c>
      <c r="B325" t="s">
        <v>290</v>
      </c>
      <c r="C325" s="1">
        <v>0</v>
      </c>
      <c r="D325" s="60">
        <v>62955505354481</v>
      </c>
      <c r="E325" s="63" t="s">
        <v>433</v>
      </c>
      <c r="F325" t="s">
        <v>434</v>
      </c>
      <c r="G325" s="4">
        <v>45870</v>
      </c>
      <c r="H325" s="4" t="str">
        <f>Faturamento!$B763&amp;Faturamento!$G763</f>
        <v>10/135237-645931</v>
      </c>
      <c r="I325" t="s">
        <v>435</v>
      </c>
      <c r="J325">
        <v>228</v>
      </c>
      <c r="K325" s="3">
        <v>368.28645161290319</v>
      </c>
      <c r="L325" s="3">
        <v>315.87333219991456</v>
      </c>
      <c r="M325" s="5" t="str">
        <f>IF(Faturamento!$S763&lt;&gt;"","Não emitido",IF(Faturamento!$I763="NÃO","Pendente Fatura", IF(Faturamento!$R763&lt;&gt;"","Aprovado",IF(Faturamento!$O763&lt;&gt;0,"Pendente Emissão","Processo de Calculo"))))</f>
        <v>Aprovado</v>
      </c>
      <c r="N325" s="3">
        <v>231.95645161290324</v>
      </c>
      <c r="O325" s="3">
        <v>179.54</v>
      </c>
      <c r="P325" s="4">
        <v>45910</v>
      </c>
      <c r="Q325" s="4">
        <v>45920</v>
      </c>
      <c r="R325" s="3">
        <v>179.54</v>
      </c>
      <c r="S325"/>
      <c r="T325" s="51" t="s">
        <v>1422</v>
      </c>
      <c r="U325" s="51" t="s">
        <v>1423</v>
      </c>
      <c r="V325" t="s">
        <v>568</v>
      </c>
      <c r="W325" s="3">
        <v>179.54</v>
      </c>
      <c r="X325" s="123">
        <f>IF(Faturamento!$V587="Pago",IFERROR(W325-R325,0),0)</f>
        <v>0</v>
      </c>
      <c r="Y325" s="4"/>
      <c r="Z325" s="4"/>
      <c r="AA325" s="5"/>
      <c r="AB325" s="5"/>
      <c r="AI325"/>
    </row>
    <row r="326" spans="1:35" hidden="1" x14ac:dyDescent="0.3">
      <c r="A326" s="5" t="e">
        <f>VLOOKUP(B326,base!A:M,11,FALSE)</f>
        <v>#N/A</v>
      </c>
      <c r="B326" s="37" t="s">
        <v>520</v>
      </c>
      <c r="C326" s="56" t="e">
        <v>#N/A</v>
      </c>
      <c r="D326" s="59" t="s">
        <v>1180</v>
      </c>
      <c r="E326" s="37" t="s">
        <v>433</v>
      </c>
      <c r="F326" s="37" t="s">
        <v>434</v>
      </c>
      <c r="G326" s="52">
        <v>45870</v>
      </c>
      <c r="H326" s="52" t="str">
        <f>Faturamento!$B748&amp;Faturamento!$G748</f>
        <v>10/175073-645717</v>
      </c>
      <c r="I326" s="37" t="s">
        <v>435</v>
      </c>
      <c r="J326">
        <v>225</v>
      </c>
      <c r="M326" s="5" t="str">
        <f>IF(Faturamento!$S748&lt;&gt;"","Não emitido",IF(Faturamento!$I748="NÃO","Pendente Fatura", IF(Faturamento!$R748&lt;&gt;"","Aprovado",IF(Faturamento!$O748&lt;&gt;0,"Pendente Emissão","Processo de Calculo"))))</f>
        <v>Aprovado</v>
      </c>
      <c r="N326" s="53">
        <v>452.94999999999993</v>
      </c>
      <c r="O326" s="53">
        <v>178.11</v>
      </c>
      <c r="P326" s="52"/>
      <c r="Q326" s="52"/>
      <c r="R326" s="53"/>
      <c r="S326" s="37" t="s">
        <v>1393</v>
      </c>
      <c r="T326" s="51" t="s">
        <v>1394</v>
      </c>
      <c r="U326" s="51" t="e">
        <v>#N/A</v>
      </c>
      <c r="V326" s="37" t="s">
        <v>438</v>
      </c>
      <c r="W326" s="53"/>
      <c r="X326" s="123">
        <f>IF(Faturamento!$V863="Pago",IFERROR(W326-R326,0),0)</f>
        <v>0</v>
      </c>
      <c r="Y326" s="52"/>
      <c r="Z326" s="52"/>
      <c r="AA326" s="5"/>
      <c r="AB326" s="5"/>
      <c r="AI326"/>
    </row>
    <row r="327" spans="1:35" hidden="1" x14ac:dyDescent="0.3">
      <c r="A327" s="5" t="str">
        <f>VLOOKUP(B327,base!A:M,11,FALSE)</f>
        <v>BIFÁSICO</v>
      </c>
      <c r="B327" s="37" t="s">
        <v>130</v>
      </c>
      <c r="C327" s="56" t="s">
        <v>132</v>
      </c>
      <c r="D327" s="59">
        <v>62955505000167</v>
      </c>
      <c r="E327" s="37" t="s">
        <v>433</v>
      </c>
      <c r="F327" s="37" t="s">
        <v>434</v>
      </c>
      <c r="G327" s="52">
        <v>45839</v>
      </c>
      <c r="H327" s="52" t="str">
        <f>Faturamento!$B674&amp;Faturamento!$G674</f>
        <v>10/129490-945931</v>
      </c>
      <c r="I327" s="37" t="s">
        <v>435</v>
      </c>
      <c r="J327" s="37">
        <v>227</v>
      </c>
      <c r="K327" s="53">
        <v>277.87416666666667</v>
      </c>
      <c r="L327" s="53">
        <v>225.49889683333333</v>
      </c>
      <c r="M327" s="5" t="str">
        <f>IF(Faturamento!$S674&lt;&gt;"","Não emitido",IF(Faturamento!$I674="NÃO","Pendente Fatura", IF(Faturamento!$R674&lt;&gt;"","Aprovado",IF(Faturamento!$O674&lt;&gt;0,"Pendente Emissão","Processo de Calculo"))))</f>
        <v>Aprovado</v>
      </c>
      <c r="N327" s="53">
        <v>230.33416666666665</v>
      </c>
      <c r="O327" s="53">
        <v>177.96</v>
      </c>
      <c r="P327" s="52">
        <v>45910</v>
      </c>
      <c r="Q327" s="52">
        <v>45920</v>
      </c>
      <c r="R327" s="53">
        <v>177.96</v>
      </c>
      <c r="S327" s="37"/>
      <c r="T327" s="51" t="s">
        <v>1261</v>
      </c>
      <c r="U327" s="51" t="s">
        <v>1262</v>
      </c>
      <c r="V327" s="37" t="s">
        <v>568</v>
      </c>
      <c r="W327" s="53">
        <v>177.96</v>
      </c>
      <c r="X327" s="123">
        <f>IF(Faturamento!$V586="Pago",IFERROR(W327-R327,0),0)</f>
        <v>0</v>
      </c>
      <c r="Y327" s="52"/>
      <c r="Z327" s="52"/>
      <c r="AA327" s="5"/>
      <c r="AB327" s="5"/>
      <c r="AI327"/>
    </row>
    <row r="328" spans="1:35" hidden="1" x14ac:dyDescent="0.3">
      <c r="A328" s="5" t="str">
        <f>VLOOKUP(B328,base!A:M,11,FALSE)</f>
        <v>TRIFÁSICO</v>
      </c>
      <c r="B328" t="s">
        <v>285</v>
      </c>
      <c r="C328" s="1">
        <v>67996266684</v>
      </c>
      <c r="D328" s="60">
        <v>62955505016080</v>
      </c>
      <c r="E328" s="63" t="s">
        <v>433</v>
      </c>
      <c r="F328" t="s">
        <v>434</v>
      </c>
      <c r="G328" s="4">
        <v>45809</v>
      </c>
      <c r="H328" s="4" t="str">
        <f>Faturamento!$B567&amp;Faturamento!$G567</f>
        <v>10/2794432-145748</v>
      </c>
      <c r="I328" t="s">
        <v>435</v>
      </c>
      <c r="J328" s="37">
        <v>237</v>
      </c>
      <c r="K328" s="53">
        <v>576.48878787878789</v>
      </c>
      <c r="L328" s="53">
        <v>520.35946354116936</v>
      </c>
      <c r="M328" s="5" t="str">
        <f>IF(Faturamento!$S567&lt;&gt;"","Não emitido",IF(Faturamento!$I567="NÃO","Pendente Fatura", IF(Faturamento!$R567&lt;&gt;"","Aprovado",IF(Faturamento!$O567&lt;&gt;0,"Pendente Emissão","Processo de Calculo"))))</f>
        <v>Aprovado</v>
      </c>
      <c r="N328" s="3">
        <v>236.57878787878786</v>
      </c>
      <c r="O328" s="3">
        <v>177.43</v>
      </c>
      <c r="P328" s="4">
        <v>45860</v>
      </c>
      <c r="Q328" s="4">
        <v>45871</v>
      </c>
      <c r="R328" s="3">
        <v>177.43</v>
      </c>
      <c r="S328"/>
      <c r="T328" s="51" t="s">
        <v>1093</v>
      </c>
      <c r="U328" s="51" t="s">
        <v>1094</v>
      </c>
      <c r="V328" t="s">
        <v>568</v>
      </c>
      <c r="W328" s="3">
        <v>177.43</v>
      </c>
      <c r="X328" s="123">
        <f>IF(Faturamento!$V585="Pago",IFERROR(W328-R328,0),0)</f>
        <v>0</v>
      </c>
      <c r="Y328" s="4" t="s">
        <v>1018</v>
      </c>
      <c r="Z328" s="4"/>
      <c r="AA328" s="5"/>
      <c r="AB328" s="5"/>
      <c r="AI328"/>
    </row>
    <row r="329" spans="1:35" hidden="1" x14ac:dyDescent="0.3">
      <c r="A329" s="5" t="str">
        <f>VLOOKUP(B329,base!A:M,11,FALSE)</f>
        <v>BIFÁSICO</v>
      </c>
      <c r="B329" t="s">
        <v>127</v>
      </c>
      <c r="C329" s="1">
        <v>67996446178</v>
      </c>
      <c r="D329" s="60">
        <v>62955505016918</v>
      </c>
      <c r="E329" s="63" t="s">
        <v>433</v>
      </c>
      <c r="F329" t="s">
        <v>434</v>
      </c>
      <c r="G329" s="4">
        <v>45809</v>
      </c>
      <c r="H329" s="4" t="str">
        <f>Faturamento!$B565&amp;Faturamento!$G565</f>
        <v>10/72605-945870</v>
      </c>
      <c r="I329" t="s">
        <v>435</v>
      </c>
      <c r="J329" s="37">
        <v>237</v>
      </c>
      <c r="K329" s="53">
        <v>543.52815789473686</v>
      </c>
      <c r="L329" s="53">
        <v>487.39898302351577</v>
      </c>
      <c r="M329" s="5" t="str">
        <f>IF(Faturamento!$S565&lt;&gt;"","Não emitido",IF(Faturamento!$I565="NÃO","Pendente Fatura", IF(Faturamento!$R565&lt;&gt;"","Aprovado",IF(Faturamento!$O565&lt;&gt;0,"Pendente Emissão","Processo de Calculo"))))</f>
        <v>Aprovado</v>
      </c>
      <c r="N329" s="3">
        <v>236.57815789473682</v>
      </c>
      <c r="O329" s="3">
        <v>177.43</v>
      </c>
      <c r="P329" s="4">
        <v>45860</v>
      </c>
      <c r="Q329" s="4">
        <v>45871</v>
      </c>
      <c r="R329" s="3">
        <v>177.43</v>
      </c>
      <c r="S329"/>
      <c r="T329" s="51" t="s">
        <v>1089</v>
      </c>
      <c r="U329" s="51" t="s">
        <v>1090</v>
      </c>
      <c r="V329" t="s">
        <v>568</v>
      </c>
      <c r="W329" s="3">
        <v>236.58</v>
      </c>
      <c r="X329" s="123">
        <f>IF(Faturamento!$V665="Pago",IFERROR(W329-R329,0),0)</f>
        <v>59.150000000000006</v>
      </c>
      <c r="Y329" s="4">
        <v>45929</v>
      </c>
      <c r="Z329" s="4"/>
      <c r="AA329" s="5"/>
      <c r="AB329" s="5"/>
      <c r="AI329"/>
    </row>
    <row r="330" spans="1:35" hidden="1" x14ac:dyDescent="0.3">
      <c r="A330" s="5" t="str">
        <f>VLOOKUP(B330,base!A:M,11,FALSE)</f>
        <v>TRIFÁSICO</v>
      </c>
      <c r="B330" s="37" t="s">
        <v>255</v>
      </c>
      <c r="C330" s="56">
        <v>67999361728</v>
      </c>
      <c r="D330" s="59">
        <v>62955505182257</v>
      </c>
      <c r="E330" s="37" t="s">
        <v>433</v>
      </c>
      <c r="F330" s="37" t="s">
        <v>434</v>
      </c>
      <c r="G330" s="52">
        <v>45809</v>
      </c>
      <c r="H330" s="52" t="str">
        <f>Faturamento!$B570&amp;Faturamento!$G570</f>
        <v>10/1698130-045901</v>
      </c>
      <c r="I330" s="37" t="s">
        <v>435</v>
      </c>
      <c r="J330" s="37">
        <v>237</v>
      </c>
      <c r="K330" s="53">
        <v>562.81016393442633</v>
      </c>
      <c r="L330" s="53">
        <v>506.74219922834834</v>
      </c>
      <c r="M330" s="5" t="str">
        <f>IF(Faturamento!$S570&lt;&gt;"","Não emitido",IF(Faturamento!$I570="NÃO","Pendente Fatura", IF(Faturamento!$R570&lt;&gt;"","Aprovado",IF(Faturamento!$O570&lt;&gt;0,"Pendente Emissão","Processo de Calculo"))))</f>
        <v>Aprovado</v>
      </c>
      <c r="N330" s="53">
        <v>236.3201639344262</v>
      </c>
      <c r="O330" s="53">
        <v>177.24</v>
      </c>
      <c r="P330" s="52">
        <v>45860</v>
      </c>
      <c r="Q330" s="52">
        <v>45871</v>
      </c>
      <c r="R330" s="53">
        <v>177.24</v>
      </c>
      <c r="S330" s="37"/>
      <c r="T330" s="51" t="s">
        <v>1099</v>
      </c>
      <c r="U330" s="51" t="s">
        <v>1100</v>
      </c>
      <c r="V330" s="37" t="s">
        <v>568</v>
      </c>
      <c r="W330" s="53">
        <v>177.24</v>
      </c>
      <c r="X330" s="123">
        <f>IF(Faturamento!$V584="Pago",IFERROR(W330-R330,0),0)</f>
        <v>0</v>
      </c>
      <c r="Y330" s="52" t="s">
        <v>1031</v>
      </c>
      <c r="Z330" s="52"/>
      <c r="AA330" s="5"/>
      <c r="AB330" s="5"/>
      <c r="AI330"/>
    </row>
    <row r="331" spans="1:35" hidden="1" x14ac:dyDescent="0.3">
      <c r="A331" s="5" t="str">
        <f>VLOOKUP(B331,base!A:M,11,FALSE)</f>
        <v>TRIFÁSICO</v>
      </c>
      <c r="B331" t="s">
        <v>315</v>
      </c>
      <c r="C331" s="1">
        <v>67996446178</v>
      </c>
      <c r="D331" s="60">
        <v>62955505359360</v>
      </c>
      <c r="E331" s="63" t="s">
        <v>433</v>
      </c>
      <c r="F331" t="s">
        <v>434</v>
      </c>
      <c r="G331" s="4">
        <v>45809</v>
      </c>
      <c r="H331" s="4" t="str">
        <f>Faturamento!$B539&amp;Faturamento!$G539</f>
        <v>10/2794432-145717</v>
      </c>
      <c r="I331" t="s">
        <v>435</v>
      </c>
      <c r="J331" s="37">
        <v>221</v>
      </c>
      <c r="K331" s="53">
        <v>409.99797297297306</v>
      </c>
      <c r="L331" s="53">
        <v>354.01593961403671</v>
      </c>
      <c r="M331" s="5" t="str">
        <f>IF(Faturamento!$S539&lt;&gt;"","Não emitido",IF(Faturamento!$I539="NÃO","Pendente Fatura", IF(Faturamento!$R539&lt;&gt;"","Aprovado",IF(Faturamento!$O539&lt;&gt;0,"Pendente Emissão","Processo de Calculo"))))</f>
        <v>Aprovado</v>
      </c>
      <c r="N331" s="3">
        <v>235.95797297297298</v>
      </c>
      <c r="O331" s="3">
        <v>176.97</v>
      </c>
      <c r="P331" s="4">
        <v>45860</v>
      </c>
      <c r="Q331" s="4">
        <v>45871</v>
      </c>
      <c r="R331" s="3">
        <v>176.97</v>
      </c>
      <c r="S331"/>
      <c r="T331" s="51" t="s">
        <v>1034</v>
      </c>
      <c r="U331" s="51" t="s">
        <v>1035</v>
      </c>
      <c r="V331" t="s">
        <v>369</v>
      </c>
      <c r="W331" s="3">
        <v>0</v>
      </c>
      <c r="X331" s="123">
        <f>IF(Faturamento!$V201="Pago",IFERROR(W331-R331,0),0)</f>
        <v>-176.97</v>
      </c>
      <c r="Y331" s="4"/>
      <c r="Z331" s="196" t="s">
        <v>1795</v>
      </c>
      <c r="AA331" s="5"/>
      <c r="AB331" s="5"/>
      <c r="AI331"/>
    </row>
    <row r="332" spans="1:35" hidden="1" x14ac:dyDescent="0.3">
      <c r="A332" s="5" t="str">
        <f>VLOOKUP(B332,base!A:M,11,FALSE)</f>
        <v>TRIFÁSICO</v>
      </c>
      <c r="B332" s="37" t="s">
        <v>330</v>
      </c>
      <c r="C332" s="56" t="s">
        <v>332</v>
      </c>
      <c r="D332" s="59">
        <v>62955505016837</v>
      </c>
      <c r="E332" s="37" t="s">
        <v>433</v>
      </c>
      <c r="F332" s="37" t="s">
        <v>434</v>
      </c>
      <c r="G332" s="52">
        <v>45778</v>
      </c>
      <c r="H332" s="52" t="str">
        <f>Faturamento!$B520&amp;Faturamento!$G520</f>
        <v>10/1674177-945658</v>
      </c>
      <c r="I332" s="37" t="s">
        <v>435</v>
      </c>
      <c r="J332">
        <v>242</v>
      </c>
      <c r="K332" s="3">
        <v>394.76866666666672</v>
      </c>
      <c r="L332" s="3">
        <v>335.8415</v>
      </c>
      <c r="M332" s="5" t="str">
        <f>IF(Faturamento!$S520&lt;&gt;"","Não emitido",IF(Faturamento!$I520="NÃO","Pendente Fatura", IF(Faturamento!$R520&lt;&gt;"","Aprovado",IF(Faturamento!$O520&lt;&gt;0,"Pendente Emissão","Processo de Calculo"))))</f>
        <v>Aprovado</v>
      </c>
      <c r="N332" s="53">
        <v>235.70866666666669</v>
      </c>
      <c r="O332" s="53">
        <v>176.78</v>
      </c>
      <c r="P332" s="52"/>
      <c r="Q332" s="52"/>
      <c r="R332" s="53">
        <v>176.78</v>
      </c>
      <c r="S332" s="37"/>
      <c r="T332" s="51" t="s">
        <v>1005</v>
      </c>
      <c r="U332" s="51"/>
      <c r="V332" s="37" t="s">
        <v>568</v>
      </c>
      <c r="W332" s="53">
        <v>176.78</v>
      </c>
      <c r="X332" s="123">
        <f>IF(Faturamento!$V583="Pago",IFERROR(W332-R332,0),0)</f>
        <v>0</v>
      </c>
      <c r="Y332" s="52">
        <v>45902</v>
      </c>
      <c r="Z332" s="52"/>
      <c r="AA332" s="5"/>
      <c r="AB332" s="5"/>
      <c r="AI332"/>
    </row>
    <row r="333" spans="1:35" hidden="1" x14ac:dyDescent="0.3">
      <c r="A333" s="5" t="str">
        <f>VLOOKUP(B333,base!A:M,11,FALSE)</f>
        <v>BIFÁSICO</v>
      </c>
      <c r="B333" s="37" t="s">
        <v>268</v>
      </c>
      <c r="C333" s="56">
        <v>67996859014</v>
      </c>
      <c r="D333" s="59">
        <v>62955505177504</v>
      </c>
      <c r="E333" s="37" t="s">
        <v>433</v>
      </c>
      <c r="F333" s="37" t="s">
        <v>434</v>
      </c>
      <c r="G333" s="52">
        <v>45748</v>
      </c>
      <c r="H333" s="52" t="str">
        <f>Faturamento!$B402&amp;Faturamento!$G402</f>
        <v>10/1674177-945778</v>
      </c>
      <c r="I333" s="37" t="s">
        <v>435</v>
      </c>
      <c r="J333" s="37">
        <v>240</v>
      </c>
      <c r="K333" s="53">
        <v>434.76</v>
      </c>
      <c r="L333" s="53">
        <v>376.31500000000005</v>
      </c>
      <c r="M333" s="5" t="str">
        <f>IF(Faturamento!$S402&lt;&gt;"","Não emitido",IF(Faturamento!$I402="NÃO","Pendente Fatura", IF(Faturamento!$R402&lt;&gt;"","Aprovado",IF(Faturamento!$O402&lt;&gt;0,"Pendente Emissão","Processo de Calculo"))))</f>
        <v>Aprovado</v>
      </c>
      <c r="N333" s="53">
        <v>233.77999999999997</v>
      </c>
      <c r="O333" s="53">
        <v>175.34</v>
      </c>
      <c r="P333" s="52"/>
      <c r="Q333" s="52"/>
      <c r="R333" s="53">
        <v>175.34</v>
      </c>
      <c r="S333" s="37"/>
      <c r="T333" s="51" t="s">
        <v>900</v>
      </c>
      <c r="U333" s="51" t="e">
        <v>#N/A</v>
      </c>
      <c r="V333" s="37" t="s">
        <v>369</v>
      </c>
      <c r="W333" s="53">
        <v>0</v>
      </c>
      <c r="X333" s="123">
        <f>IF(Faturamento!$V163="Pago",IFERROR(W333-R333,0),0)</f>
        <v>-175.34</v>
      </c>
      <c r="Y333" s="52"/>
      <c r="Z333" s="196" t="s">
        <v>1795</v>
      </c>
      <c r="AA333" s="5"/>
      <c r="AB333" s="5"/>
      <c r="AI333"/>
    </row>
    <row r="334" spans="1:35" hidden="1" x14ac:dyDescent="0.3">
      <c r="A334" s="5" t="str">
        <f>VLOOKUP(B334,base!A:M,11,FALSE)</f>
        <v>BIFÁSICO</v>
      </c>
      <c r="B334" s="37" t="s">
        <v>271</v>
      </c>
      <c r="C334" s="56">
        <v>67996687077</v>
      </c>
      <c r="D334" s="59">
        <v>62955505269026</v>
      </c>
      <c r="E334" s="37" t="s">
        <v>433</v>
      </c>
      <c r="F334" s="37" t="s">
        <v>434</v>
      </c>
      <c r="G334" s="52">
        <v>45748</v>
      </c>
      <c r="H334" s="52" t="str">
        <f>Faturamento!$B414&amp;Faturamento!$G414</f>
        <v>10/280638-845901</v>
      </c>
      <c r="I334" s="37" t="s">
        <v>435</v>
      </c>
      <c r="J334" s="37">
        <v>240</v>
      </c>
      <c r="K334" s="53">
        <v>391.84000000000003</v>
      </c>
      <c r="L334" s="53">
        <v>333.39500000000004</v>
      </c>
      <c r="M334" s="5" t="str">
        <f>IF(Faturamento!$S414&lt;&gt;"","Não emitido",IF(Faturamento!$I414="NÃO","Pendente Fatura", IF(Faturamento!$R414&lt;&gt;"","Aprovado",IF(Faturamento!$O414&lt;&gt;0,"Pendente Emissão","Processo de Calculo"))))</f>
        <v>Aprovado</v>
      </c>
      <c r="N334" s="53">
        <v>233.77999999999997</v>
      </c>
      <c r="O334" s="53">
        <v>175.34</v>
      </c>
      <c r="P334" s="52"/>
      <c r="Q334" s="52"/>
      <c r="R334" s="53">
        <v>175.34</v>
      </c>
      <c r="S334" s="37"/>
      <c r="T334" s="51" t="s">
        <v>911</v>
      </c>
      <c r="U334" s="51"/>
      <c r="V334" s="37" t="s">
        <v>568</v>
      </c>
      <c r="W334" s="53">
        <v>233.77999999999997</v>
      </c>
      <c r="X334" s="123">
        <f>IF(Faturamento!$V167="Pago",IFERROR(W334-R334,0),0)</f>
        <v>58.439999999999969</v>
      </c>
      <c r="Y334" s="52">
        <v>45973</v>
      </c>
      <c r="Z334" s="52"/>
      <c r="AA334" s="5"/>
      <c r="AB334" s="5"/>
      <c r="AI334"/>
    </row>
    <row r="335" spans="1:35" hidden="1" x14ac:dyDescent="0.3">
      <c r="A335" s="5" t="str">
        <f>VLOOKUP(B335,base!A:M,11,FALSE)</f>
        <v>TRIFÁSICO</v>
      </c>
      <c r="B335" s="37" t="s">
        <v>247</v>
      </c>
      <c r="C335" s="56">
        <v>67999516782</v>
      </c>
      <c r="D335" s="59">
        <v>62955505375721</v>
      </c>
      <c r="E335" s="37" t="s">
        <v>433</v>
      </c>
      <c r="F335" s="37" t="s">
        <v>434</v>
      </c>
      <c r="G335" s="52">
        <v>45717</v>
      </c>
      <c r="H335" s="52" t="str">
        <f>Faturamento!$B314&amp;Faturamento!$G314</f>
        <v>10/260761-245658</v>
      </c>
      <c r="I335" s="37" t="s">
        <v>435</v>
      </c>
      <c r="J335">
        <v>240</v>
      </c>
      <c r="K335" s="3">
        <v>505.81</v>
      </c>
      <c r="L335" s="3">
        <v>447.36500000000001</v>
      </c>
      <c r="M335" s="5" t="str">
        <f>IF(Faturamento!$S314&lt;&gt;"","Não emitido",IF(Faturamento!$I314="NÃO","Pendente Fatura", IF(Faturamento!$R314&lt;&gt;"","Aprovado",IF(Faturamento!$O314&lt;&gt;0,"Pendente Emissão","Processo de Calculo"))))</f>
        <v>Aprovado</v>
      </c>
      <c r="N335" s="53">
        <v>233.78</v>
      </c>
      <c r="O335" s="53">
        <v>175.34</v>
      </c>
      <c r="P335" s="52"/>
      <c r="Q335" s="52"/>
      <c r="R335" s="53">
        <v>175.34</v>
      </c>
      <c r="S335" s="37"/>
      <c r="T335" s="51" t="s">
        <v>833</v>
      </c>
      <c r="U335" s="51"/>
      <c r="V335" s="37" t="s">
        <v>568</v>
      </c>
      <c r="W335" s="53">
        <v>175.34</v>
      </c>
      <c r="X335" s="123">
        <f>IF(Faturamento!$V580="Pago",IFERROR(W335-R335,0),0)</f>
        <v>0</v>
      </c>
      <c r="Y335" s="52"/>
      <c r="Z335" s="52"/>
      <c r="AA335" s="5"/>
      <c r="AB335" s="5"/>
      <c r="AI335"/>
    </row>
    <row r="336" spans="1:35" hidden="1" x14ac:dyDescent="0.3">
      <c r="A336" s="5" t="str">
        <f>VLOOKUP(B336,base!A:M,11,FALSE)</f>
        <v>BIFÁSICO</v>
      </c>
      <c r="B336" t="s">
        <v>153</v>
      </c>
      <c r="C336" s="1" t="s">
        <v>154</v>
      </c>
      <c r="D336" s="60">
        <v>62955505405140</v>
      </c>
      <c r="E336" s="63" t="s">
        <v>433</v>
      </c>
      <c r="F336" t="s">
        <v>434</v>
      </c>
      <c r="G336" s="4">
        <v>45717</v>
      </c>
      <c r="H336" s="4" t="str">
        <f>Faturamento!$B315&amp;Faturamento!$G315</f>
        <v>10/69319-245931</v>
      </c>
      <c r="I336" t="s">
        <v>435</v>
      </c>
      <c r="J336">
        <v>240</v>
      </c>
      <c r="K336" s="3">
        <v>392.86</v>
      </c>
      <c r="L336" s="3">
        <v>334.41500000000002</v>
      </c>
      <c r="M336" s="5" t="str">
        <f>IF(Faturamento!$S315&lt;&gt;"","Não emitido",IF(Faturamento!$I315="NÃO","Pendente Fatura", IF(Faturamento!$R315&lt;&gt;"","Aprovado",IF(Faturamento!$O315&lt;&gt;0,"Pendente Emissão","Processo de Calculo"))))</f>
        <v>Aprovado</v>
      </c>
      <c r="N336" s="3">
        <v>233.78</v>
      </c>
      <c r="O336" s="3">
        <v>175.34</v>
      </c>
      <c r="P336" s="4"/>
      <c r="Q336" s="4"/>
      <c r="R336" s="3">
        <v>175.34</v>
      </c>
      <c r="S336"/>
      <c r="T336" s="51" t="s">
        <v>834</v>
      </c>
      <c r="U336" s="51"/>
      <c r="V336" t="s">
        <v>568</v>
      </c>
      <c r="W336" s="3">
        <v>175.34</v>
      </c>
      <c r="X336" s="123">
        <f>IF(Faturamento!$V581="Pago",IFERROR(W336-R336,0),0)</f>
        <v>0</v>
      </c>
      <c r="Y336" s="4"/>
      <c r="Z336" s="4"/>
      <c r="AA336" s="5"/>
      <c r="AB336" s="5"/>
      <c r="AI336"/>
    </row>
    <row r="337" spans="1:35" hidden="1" x14ac:dyDescent="0.3">
      <c r="A337" s="5" t="str">
        <f>VLOOKUP(B337,base!A:M,11,FALSE)</f>
        <v>BIFÁSICO</v>
      </c>
      <c r="B337" t="s">
        <v>130</v>
      </c>
      <c r="C337" s="1" t="s">
        <v>132</v>
      </c>
      <c r="D337" s="60">
        <v>62955505000167</v>
      </c>
      <c r="E337" s="63" t="s">
        <v>433</v>
      </c>
      <c r="F337" t="s">
        <v>434</v>
      </c>
      <c r="G337" s="4">
        <v>45748</v>
      </c>
      <c r="H337" s="4" t="str">
        <f>Faturamento!$B421&amp;Faturamento!$G421</f>
        <v>10/1266128-645901</v>
      </c>
      <c r="I337" t="s">
        <v>435</v>
      </c>
      <c r="J337" s="37">
        <v>240</v>
      </c>
      <c r="K337" s="53">
        <v>396.18</v>
      </c>
      <c r="L337" s="53">
        <v>337.73500200000001</v>
      </c>
      <c r="M337" s="5" t="str">
        <f>IF(Faturamento!$S421&lt;&gt;"","Não emitido",IF(Faturamento!$I421="NÃO","Pendente Fatura", IF(Faturamento!$R421&lt;&gt;"","Aprovado",IF(Faturamento!$O421&lt;&gt;0,"Pendente Emissão","Processo de Calculo"))))</f>
        <v>Aprovado</v>
      </c>
      <c r="N337" s="3">
        <v>233.77999199999999</v>
      </c>
      <c r="O337" s="3">
        <v>175.33</v>
      </c>
      <c r="P337" s="4"/>
      <c r="Q337" s="4"/>
      <c r="R337" s="3">
        <v>175.33</v>
      </c>
      <c r="S337"/>
      <c r="T337" s="51" t="s">
        <v>917</v>
      </c>
      <c r="U337" s="51" t="e">
        <v>#N/A</v>
      </c>
      <c r="V337" t="s">
        <v>369</v>
      </c>
      <c r="W337" s="3"/>
      <c r="X337" s="123">
        <f>IF(Faturamento!$V172="Pago",IFERROR(W337-R337,0),0)</f>
        <v>-175.33</v>
      </c>
      <c r="Y337" s="4"/>
      <c r="Z337" s="196" t="s">
        <v>1795</v>
      </c>
      <c r="AA337" s="5"/>
      <c r="AB337" s="5"/>
      <c r="AI337"/>
    </row>
    <row r="338" spans="1:35" hidden="1" x14ac:dyDescent="0.3">
      <c r="A338" s="5" t="str">
        <f>VLOOKUP(B338,base!A:M,11,FALSE)</f>
        <v>TRIFÁSICO</v>
      </c>
      <c r="B338" t="s">
        <v>326</v>
      </c>
      <c r="C338" s="1" t="s">
        <v>328</v>
      </c>
      <c r="D338" s="60">
        <v>62955505058599</v>
      </c>
      <c r="E338" s="63" t="s">
        <v>433</v>
      </c>
      <c r="F338" t="s">
        <v>434</v>
      </c>
      <c r="G338" s="4">
        <v>45748</v>
      </c>
      <c r="H338" s="4" t="str">
        <f>Faturamento!$B383&amp;Faturamento!$G383</f>
        <v>10/239312-245901</v>
      </c>
      <c r="I338" t="s">
        <v>435</v>
      </c>
      <c r="J338" s="37">
        <v>240</v>
      </c>
      <c r="K338" s="53">
        <v>542.41999999999996</v>
      </c>
      <c r="L338" s="53">
        <v>483.995</v>
      </c>
      <c r="M338" s="5" t="str">
        <f>IF(Faturamento!$S383&lt;&gt;"","Não emitido",IF(Faturamento!$I383="NÃO","Pendente Fatura", IF(Faturamento!$R383&lt;&gt;"","Aprovado",IF(Faturamento!$O383&lt;&gt;0,"Pendente Emissão","Processo de Calculo"))))</f>
        <v>Aprovado</v>
      </c>
      <c r="N338" s="3">
        <v>233.7</v>
      </c>
      <c r="O338" s="3">
        <v>175.28</v>
      </c>
      <c r="P338" s="4"/>
      <c r="Q338" s="4"/>
      <c r="R338" s="3">
        <v>175.28</v>
      </c>
      <c r="S338"/>
      <c r="T338" s="51" t="s">
        <v>881</v>
      </c>
      <c r="U338" s="51" t="e">
        <v>#N/A</v>
      </c>
      <c r="V338" t="s">
        <v>369</v>
      </c>
      <c r="W338" s="3">
        <v>0</v>
      </c>
      <c r="X338" s="123">
        <f>IF(Faturamento!$V162="Pago",IFERROR(W338-R338,0),0)</f>
        <v>-175.28</v>
      </c>
      <c r="Y338" s="4"/>
      <c r="Z338" s="196" t="s">
        <v>1795</v>
      </c>
      <c r="AA338" s="5"/>
      <c r="AB338" s="5"/>
      <c r="AI338"/>
    </row>
    <row r="339" spans="1:35" hidden="1" x14ac:dyDescent="0.3">
      <c r="A339" s="5" t="str">
        <f>VLOOKUP(B339,base!A:M,11,FALSE)</f>
        <v>TRIFÁSICO</v>
      </c>
      <c r="B339" s="37" t="s">
        <v>186</v>
      </c>
      <c r="C339" s="56" t="s">
        <v>403</v>
      </c>
      <c r="D339" s="59">
        <v>62955505016160</v>
      </c>
      <c r="E339" s="37" t="s">
        <v>433</v>
      </c>
      <c r="F339" s="37" t="s">
        <v>434</v>
      </c>
      <c r="G339" s="52">
        <v>45748</v>
      </c>
      <c r="H339" s="52" t="str">
        <f>Faturamento!$B400&amp;Faturamento!$G400</f>
        <v>10/280638-845748</v>
      </c>
      <c r="I339" s="37" t="s">
        <v>435</v>
      </c>
      <c r="J339" s="37">
        <v>240</v>
      </c>
      <c r="K339" s="53">
        <v>712.28</v>
      </c>
      <c r="L339" s="53">
        <v>653.85500000000002</v>
      </c>
      <c r="M339" s="5" t="str">
        <f>IF(Faturamento!$S400&lt;&gt;"","Não emitido",IF(Faturamento!$I400="NÃO","Pendente Fatura", IF(Faturamento!$R400&lt;&gt;"","Aprovado",IF(Faturamento!$O400&lt;&gt;0,"Pendente Emissão","Processo de Calculo"))))</f>
        <v>Aprovado</v>
      </c>
      <c r="N339" s="53">
        <v>233.70000000000002</v>
      </c>
      <c r="O339" s="53">
        <v>175.28</v>
      </c>
      <c r="P339" s="52"/>
      <c r="Q339" s="52"/>
      <c r="R339" s="53">
        <v>175.28</v>
      </c>
      <c r="S339" s="37"/>
      <c r="T339" s="51" t="s">
        <v>898</v>
      </c>
      <c r="U339" s="51" t="e">
        <v>#N/A</v>
      </c>
      <c r="V339" s="37" t="s">
        <v>568</v>
      </c>
      <c r="W339" s="53">
        <v>175.28</v>
      </c>
      <c r="X339" s="123">
        <f>IF(Faturamento!$V579="Pago",IFERROR(W339-R339,0),0)</f>
        <v>0</v>
      </c>
      <c r="Y339" s="52">
        <v>45838</v>
      </c>
      <c r="Z339" s="52"/>
      <c r="AA339" s="5"/>
      <c r="AB339" s="5"/>
      <c r="AI339"/>
    </row>
    <row r="340" spans="1:35" hidden="1" x14ac:dyDescent="0.3">
      <c r="A340" s="5" t="str">
        <f>VLOOKUP(B340,base!A:M,11,FALSE)</f>
        <v>TRIFÁSICO</v>
      </c>
      <c r="B340" t="s">
        <v>283</v>
      </c>
      <c r="C340" s="1">
        <v>6796411024</v>
      </c>
      <c r="D340" s="60">
        <v>62955505182257</v>
      </c>
      <c r="E340" s="63" t="s">
        <v>433</v>
      </c>
      <c r="F340" t="s">
        <v>434</v>
      </c>
      <c r="G340" s="4">
        <v>45748</v>
      </c>
      <c r="H340" s="4" t="str">
        <f>Faturamento!$B393&amp;Faturamento!$G393</f>
        <v>10/78338-145901</v>
      </c>
      <c r="I340" t="s">
        <v>435</v>
      </c>
      <c r="J340" s="37">
        <v>240</v>
      </c>
      <c r="K340" s="53">
        <v>523.89</v>
      </c>
      <c r="L340" s="53">
        <v>465.47749999999996</v>
      </c>
      <c r="M340" s="5" t="str">
        <f>IF(Faturamento!$S393&lt;&gt;"","Não emitido",IF(Faturamento!$I393="NÃO","Pendente Fatura", IF(Faturamento!$R393&lt;&gt;"","Aprovado",IF(Faturamento!$O393&lt;&gt;0,"Pendente Emissão","Processo de Calculo"))))</f>
        <v>Aprovado</v>
      </c>
      <c r="N340" s="3">
        <v>233.65</v>
      </c>
      <c r="O340" s="3">
        <v>175.24</v>
      </c>
      <c r="P340" s="4"/>
      <c r="Q340" s="4"/>
      <c r="R340" s="3">
        <v>175.24</v>
      </c>
      <c r="S340"/>
      <c r="T340" s="51" t="s">
        <v>891</v>
      </c>
      <c r="U340" s="51"/>
      <c r="V340" t="s">
        <v>568</v>
      </c>
      <c r="W340" s="3">
        <v>175.24</v>
      </c>
      <c r="X340" s="123">
        <f>IF(Faturamento!$V576="Pago",IFERROR(W340-R340,0),0)</f>
        <v>0</v>
      </c>
      <c r="Y340" s="4"/>
      <c r="Z340" s="4"/>
      <c r="AA340" s="5"/>
      <c r="AB340" s="5"/>
      <c r="AI340"/>
    </row>
    <row r="341" spans="1:35" hidden="1" x14ac:dyDescent="0.3">
      <c r="A341" s="5" t="str">
        <f>VLOOKUP(B341,base!A:M,11,FALSE)</f>
        <v>TRIFÁSICO</v>
      </c>
      <c r="B341" s="37" t="s">
        <v>320</v>
      </c>
      <c r="C341" s="56">
        <v>67981263396</v>
      </c>
      <c r="D341" s="59">
        <v>62955505135500</v>
      </c>
      <c r="E341" s="37" t="s">
        <v>433</v>
      </c>
      <c r="F341" s="37" t="s">
        <v>434</v>
      </c>
      <c r="G341" s="52">
        <v>45748</v>
      </c>
      <c r="H341" s="52" t="str">
        <f>Faturamento!$B410&amp;Faturamento!$G410</f>
        <v>10/113971-645931</v>
      </c>
      <c r="I341" s="37" t="s">
        <v>435</v>
      </c>
      <c r="J341" s="37">
        <v>240</v>
      </c>
      <c r="K341" s="53">
        <v>508.71</v>
      </c>
      <c r="L341" s="53">
        <v>450.2974999999999</v>
      </c>
      <c r="M341" s="5" t="str">
        <f>IF(Faturamento!$S410&lt;&gt;"","Não emitido",IF(Faturamento!$I410="NÃO","Pendente Fatura", IF(Faturamento!$R410&lt;&gt;"","Aprovado",IF(Faturamento!$O410&lt;&gt;0,"Pendente Emissão","Processo de Calculo"))))</f>
        <v>Aprovado</v>
      </c>
      <c r="N341" s="53">
        <v>233.65</v>
      </c>
      <c r="O341" s="53">
        <v>175.24</v>
      </c>
      <c r="P341" s="52"/>
      <c r="Q341" s="52"/>
      <c r="R341" s="53">
        <v>175.24</v>
      </c>
      <c r="S341" s="37"/>
      <c r="T341" s="51" t="s">
        <v>907</v>
      </c>
      <c r="U341" s="51"/>
      <c r="V341" s="37" t="s">
        <v>568</v>
      </c>
      <c r="W341" s="53">
        <v>175.24</v>
      </c>
      <c r="X341" s="123">
        <f>IF(Faturamento!$V577="Pago",IFERROR(W341-R341,0),0)</f>
        <v>0</v>
      </c>
      <c r="Y341" s="52"/>
      <c r="Z341" s="52"/>
      <c r="AA341" s="5"/>
      <c r="AB341" s="5"/>
      <c r="AI341"/>
    </row>
    <row r="342" spans="1:35" hidden="1" x14ac:dyDescent="0.3">
      <c r="A342" s="5" t="str">
        <f>VLOOKUP(B342,base!A:M,11,FALSE)</f>
        <v>BIFÁSICO</v>
      </c>
      <c r="B342" t="s">
        <v>208</v>
      </c>
      <c r="C342" s="1">
        <v>67996711972</v>
      </c>
      <c r="D342" s="60">
        <v>62955505016594</v>
      </c>
      <c r="E342" s="63" t="s">
        <v>433</v>
      </c>
      <c r="F342" t="s">
        <v>434</v>
      </c>
      <c r="G342" s="4">
        <v>45748</v>
      </c>
      <c r="H342" s="4" t="str">
        <f>Faturamento!$B419&amp;Faturamento!$G419</f>
        <v>10/10232-745931</v>
      </c>
      <c r="I342" t="s">
        <v>435</v>
      </c>
      <c r="J342" s="37">
        <v>240</v>
      </c>
      <c r="K342" s="53">
        <v>355.68</v>
      </c>
      <c r="L342" s="53">
        <v>297.26750400000003</v>
      </c>
      <c r="M342" s="5" t="str">
        <f>IF(Faturamento!$S419&lt;&gt;"","Não emitido",IF(Faturamento!$I419="NÃO","Pendente Fatura", IF(Faturamento!$R419&lt;&gt;"","Aprovado",IF(Faturamento!$O419&lt;&gt;0,"Pendente Emissão","Processo de Calculo"))))</f>
        <v>Aprovado</v>
      </c>
      <c r="N342" s="3">
        <v>233.64998399999999</v>
      </c>
      <c r="O342" s="3">
        <v>175.24</v>
      </c>
      <c r="P342" s="4"/>
      <c r="Q342" s="4"/>
      <c r="R342" s="3">
        <v>175.24</v>
      </c>
      <c r="S342"/>
      <c r="T342" s="51" t="s">
        <v>916</v>
      </c>
      <c r="U342" s="51"/>
      <c r="V342" t="s">
        <v>568</v>
      </c>
      <c r="W342" s="3">
        <v>175.24</v>
      </c>
      <c r="X342" s="123">
        <f>IF(Faturamento!$V578="Pago",IFERROR(W342-R342,0),0)</f>
        <v>0</v>
      </c>
      <c r="Y342" s="4"/>
      <c r="Z342" s="4"/>
      <c r="AA342" s="5"/>
      <c r="AB342" s="5"/>
      <c r="AI342"/>
    </row>
    <row r="343" spans="1:35" hidden="1" x14ac:dyDescent="0.3">
      <c r="A343" s="5" t="e">
        <f>VLOOKUP(B343,base!A:M,11,FALSE)</f>
        <v>#N/A</v>
      </c>
      <c r="B343" t="s">
        <v>520</v>
      </c>
      <c r="C343" s="1" t="e">
        <v>#N/A</v>
      </c>
      <c r="D343" s="60">
        <v>62955505057789</v>
      </c>
      <c r="E343" s="63" t="s">
        <v>433</v>
      </c>
      <c r="F343" t="s">
        <v>434</v>
      </c>
      <c r="G343" s="4">
        <v>45778</v>
      </c>
      <c r="H343" s="4" t="str">
        <f>Faturamento!$B475&amp;Faturamento!$G475</f>
        <v>10/109074-545809</v>
      </c>
      <c r="I343" t="s">
        <v>435</v>
      </c>
      <c r="J343">
        <v>206</v>
      </c>
      <c r="K343" s="3">
        <v>336.60559999999998</v>
      </c>
      <c r="L343" s="3">
        <v>278.19420000000002</v>
      </c>
      <c r="M343" s="5" t="str">
        <f>IF(Faturamento!$S475&lt;&gt;"","Não emitido",IF(Faturamento!$I475="NÃO","Pendente Fatura", IF(Faturamento!$R475&lt;&gt;"","Aprovado",IF(Faturamento!$O475&lt;&gt;0,"Pendente Emissão","Processo de Calculo"))))</f>
        <v>Aprovado</v>
      </c>
      <c r="N343" s="3">
        <v>233.6456</v>
      </c>
      <c r="O343" s="3">
        <v>175.23</v>
      </c>
      <c r="P343" s="4"/>
      <c r="Q343" s="4"/>
      <c r="R343" s="3">
        <v>175.23</v>
      </c>
      <c r="S343"/>
      <c r="T343" s="51" t="s">
        <v>967</v>
      </c>
      <c r="U343" s="51"/>
      <c r="V343" t="s">
        <v>568</v>
      </c>
      <c r="W343" s="3">
        <v>233.65</v>
      </c>
      <c r="X343" s="123">
        <f>IF(Faturamento!$V185="Pago",IFERROR(W343-R343,0),0)</f>
        <v>58.420000000000016</v>
      </c>
      <c r="Y343" s="4">
        <v>45966</v>
      </c>
      <c r="Z343" s="4"/>
      <c r="AA343" s="5"/>
      <c r="AB343" s="5"/>
      <c r="AI343"/>
    </row>
    <row r="344" spans="1:35" hidden="1" x14ac:dyDescent="0.3">
      <c r="A344" s="5" t="str">
        <f>VLOOKUP(B344,base!A:M,11,FALSE)</f>
        <v>BIFÁSICO</v>
      </c>
      <c r="B344" s="37" t="s">
        <v>257</v>
      </c>
      <c r="C344" s="56">
        <v>67993249456</v>
      </c>
      <c r="D344" s="59">
        <v>62955505239119</v>
      </c>
      <c r="E344" s="37" t="s">
        <v>433</v>
      </c>
      <c r="F344" s="37" t="s">
        <v>434</v>
      </c>
      <c r="G344" s="52">
        <v>45748</v>
      </c>
      <c r="H344" s="52" t="str">
        <f>Faturamento!$B416&amp;Faturamento!$G416</f>
        <v>10/78338-145748</v>
      </c>
      <c r="I344" s="37" t="s">
        <v>435</v>
      </c>
      <c r="J344" s="37">
        <v>240</v>
      </c>
      <c r="K344" s="53">
        <v>376.61</v>
      </c>
      <c r="L344" s="53">
        <v>318.20500040000002</v>
      </c>
      <c r="M344" s="5" t="str">
        <f>IF(Faturamento!$S416&lt;&gt;"","Não emitido",IF(Faturamento!$I416="NÃO","Pendente Fatura", IF(Faturamento!$R416&lt;&gt;"","Aprovado",IF(Faturamento!$O416&lt;&gt;0,"Pendente Emissão","Processo de Calculo"))))</f>
        <v>Aprovado</v>
      </c>
      <c r="N344" s="53">
        <v>233.61999840000001</v>
      </c>
      <c r="O344" s="53">
        <v>175.21</v>
      </c>
      <c r="P344" s="52"/>
      <c r="Q344" s="52"/>
      <c r="R344" s="53">
        <v>175.21</v>
      </c>
      <c r="S344" s="37"/>
      <c r="T344" s="51" t="s">
        <v>914</v>
      </c>
      <c r="U344" s="51" t="e">
        <v>#N/A</v>
      </c>
      <c r="V344" s="37" t="s">
        <v>912</v>
      </c>
      <c r="W344" s="53">
        <v>0</v>
      </c>
      <c r="X344" s="123">
        <f>IF(Faturamento!$V168="Pago",IFERROR(W344-R344,0),0)</f>
        <v>-175.21</v>
      </c>
      <c r="Y344" s="52"/>
      <c r="Z344" s="52"/>
      <c r="AA344" s="5"/>
      <c r="AB344" s="5"/>
      <c r="AI344"/>
    </row>
    <row r="345" spans="1:35" hidden="1" x14ac:dyDescent="0.3">
      <c r="A345" s="5" t="str">
        <f>VLOOKUP(B345,base!A:M,11,FALSE)</f>
        <v>TRIFÁSICO</v>
      </c>
      <c r="B345" t="s">
        <v>274</v>
      </c>
      <c r="C345" s="1">
        <v>67992021114</v>
      </c>
      <c r="D345" s="60">
        <v>62955505357405</v>
      </c>
      <c r="E345" s="63" t="s">
        <v>433</v>
      </c>
      <c r="F345" t="s">
        <v>434</v>
      </c>
      <c r="G345" s="4">
        <v>45748</v>
      </c>
      <c r="H345" s="4" t="str">
        <f>Faturamento!$B385&amp;Faturamento!$G385</f>
        <v>10/10232-745717</v>
      </c>
      <c r="I345" t="s">
        <v>435</v>
      </c>
      <c r="J345" s="37">
        <v>240</v>
      </c>
      <c r="K345" s="53">
        <v>490.76</v>
      </c>
      <c r="L345" s="53">
        <v>432.36499999999995</v>
      </c>
      <c r="M345" s="5" t="str">
        <f>IF(Faturamento!$S385&lt;&gt;"","Não emitido",IF(Faturamento!$I385="NÃO","Pendente Fatura", IF(Faturamento!$R385&lt;&gt;"","Aprovado",IF(Faturamento!$O385&lt;&gt;0,"Pendente Emissão","Processo de Calculo"))))</f>
        <v>Aprovado</v>
      </c>
      <c r="N345" s="3">
        <v>233.58</v>
      </c>
      <c r="O345" s="3">
        <v>175.19</v>
      </c>
      <c r="P345" s="4"/>
      <c r="Q345" s="4"/>
      <c r="R345" s="3">
        <v>175.19</v>
      </c>
      <c r="S345"/>
      <c r="T345" s="51" t="s">
        <v>883</v>
      </c>
      <c r="U345" s="51"/>
      <c r="V345" t="s">
        <v>568</v>
      </c>
      <c r="W345" s="3">
        <v>175.19</v>
      </c>
      <c r="X345" s="123">
        <f>IF(Faturamento!$V574="Pago",IFERROR(W345-R345,0),0)</f>
        <v>0</v>
      </c>
      <c r="Y345" s="4"/>
      <c r="Z345" s="4"/>
      <c r="AA345" s="5"/>
      <c r="AB345" s="5"/>
      <c r="AI345"/>
    </row>
    <row r="346" spans="1:35" hidden="1" x14ac:dyDescent="0.3">
      <c r="A346" s="5" t="str">
        <f>VLOOKUP(B346,base!A:M,11,FALSE)</f>
        <v>TRIFÁSICO</v>
      </c>
      <c r="B346" s="37" t="s">
        <v>290</v>
      </c>
      <c r="C346" s="56">
        <v>67992637973</v>
      </c>
      <c r="D346" s="59">
        <v>62955505354481</v>
      </c>
      <c r="E346" s="37" t="s">
        <v>433</v>
      </c>
      <c r="F346" s="37" t="s">
        <v>434</v>
      </c>
      <c r="G346" s="52">
        <v>45748</v>
      </c>
      <c r="H346" s="52" t="str">
        <f>Faturamento!$B390&amp;Faturamento!$G390</f>
        <v>10/156956-545778</v>
      </c>
      <c r="I346" s="37" t="s">
        <v>435</v>
      </c>
      <c r="J346" s="37">
        <v>240</v>
      </c>
      <c r="K346" s="53">
        <v>765.53</v>
      </c>
      <c r="L346" s="53">
        <v>707.13499999999999</v>
      </c>
      <c r="M346" s="5" t="str">
        <f>IF(Faturamento!$S390&lt;&gt;"","Não emitido",IF(Faturamento!$I390="NÃO","Pendente Fatura", IF(Faturamento!$R390&lt;&gt;"","Aprovado",IF(Faturamento!$O390&lt;&gt;0,"Pendente Emissão","Processo de Calculo"))))</f>
        <v>Aprovado</v>
      </c>
      <c r="N346" s="53">
        <v>233.58</v>
      </c>
      <c r="O346" s="53">
        <v>175.19</v>
      </c>
      <c r="P346" s="52"/>
      <c r="Q346" s="52"/>
      <c r="R346" s="53">
        <v>175.19</v>
      </c>
      <c r="S346" s="37"/>
      <c r="T346" s="51" t="s">
        <v>888</v>
      </c>
      <c r="U346" s="51"/>
      <c r="V346" s="37" t="s">
        <v>568</v>
      </c>
      <c r="W346" s="53">
        <v>175.19</v>
      </c>
      <c r="X346" s="123">
        <f>IF(Faturamento!$V575="Pago",IFERROR(W346-R346,0),0)</f>
        <v>0</v>
      </c>
      <c r="Y346" s="52"/>
      <c r="Z346" s="52"/>
      <c r="AA346" s="5"/>
      <c r="AB346" s="5"/>
      <c r="AI346"/>
    </row>
    <row r="347" spans="1:35" hidden="1" x14ac:dyDescent="0.3">
      <c r="A347" s="5" t="str">
        <f>VLOOKUP(B347,base!A:M,11,FALSE)</f>
        <v>TRIFÁSICO</v>
      </c>
      <c r="B347" s="37" t="s">
        <v>322</v>
      </c>
      <c r="C347" s="56">
        <v>67998363594</v>
      </c>
      <c r="D347" s="59">
        <v>62955505182257</v>
      </c>
      <c r="E347" s="37" t="s">
        <v>433</v>
      </c>
      <c r="F347" s="37" t="s">
        <v>434</v>
      </c>
      <c r="G347" s="52">
        <v>45748</v>
      </c>
      <c r="H347" s="52" t="str">
        <f>Faturamento!$B392&amp;Faturamento!$G392</f>
        <v>10/435964-245689</v>
      </c>
      <c r="I347" s="37" t="s">
        <v>435</v>
      </c>
      <c r="J347" s="37">
        <v>240</v>
      </c>
      <c r="K347" s="53">
        <v>419.26</v>
      </c>
      <c r="L347" s="53">
        <v>360.88499999999999</v>
      </c>
      <c r="M347" s="5" t="str">
        <f>IF(Faturamento!$S392&lt;&gt;"","Não emitido",IF(Faturamento!$I392="NÃO","Pendente Fatura", IF(Faturamento!$R392&lt;&gt;"","Aprovado",IF(Faturamento!$O392&lt;&gt;0,"Pendente Emissão","Processo de Calculo"))))</f>
        <v>Aprovado</v>
      </c>
      <c r="N347" s="53">
        <v>233.5</v>
      </c>
      <c r="O347" s="53">
        <v>175.13</v>
      </c>
      <c r="P347" s="52"/>
      <c r="Q347" s="52"/>
      <c r="R347" s="53">
        <v>175.13</v>
      </c>
      <c r="S347" s="37"/>
      <c r="T347" s="51" t="s">
        <v>890</v>
      </c>
      <c r="U347" s="51"/>
      <c r="V347" s="37" t="s">
        <v>568</v>
      </c>
      <c r="W347" s="53">
        <v>233.5</v>
      </c>
      <c r="X347" s="123">
        <f>IF(Faturamento!$V663="Pago",IFERROR(W347-R347,0),0)</f>
        <v>58.370000000000005</v>
      </c>
      <c r="Y347" s="52">
        <v>45919</v>
      </c>
      <c r="Z347" s="52"/>
      <c r="AA347" s="5"/>
      <c r="AB347" s="5"/>
      <c r="AI347"/>
    </row>
    <row r="348" spans="1:35" hidden="1" x14ac:dyDescent="0.3">
      <c r="A348" s="5" t="str">
        <f>VLOOKUP(B348,base!A:M,11,FALSE)</f>
        <v>BIFÁSICO</v>
      </c>
      <c r="B348" t="s">
        <v>158</v>
      </c>
      <c r="C348" s="1">
        <v>67996266684</v>
      </c>
      <c r="D348" s="60">
        <v>62955505197521</v>
      </c>
      <c r="E348" s="63" t="s">
        <v>433</v>
      </c>
      <c r="F348" t="s">
        <v>434</v>
      </c>
      <c r="G348" s="4">
        <v>45748</v>
      </c>
      <c r="H348" s="4" t="str">
        <f>Faturamento!$B409&amp;Faturamento!$G409</f>
        <v>10/40190-145778</v>
      </c>
      <c r="I348" t="s">
        <v>435</v>
      </c>
      <c r="J348" s="37">
        <v>240</v>
      </c>
      <c r="K348" s="53">
        <v>323.52</v>
      </c>
      <c r="L348" s="53">
        <v>265.15749999999997</v>
      </c>
      <c r="M348" s="5" t="str">
        <f>IF(Faturamento!$S409&lt;&gt;"","Não emitido",IF(Faturamento!$I409="NÃO","Pendente Fatura", IF(Faturamento!$R409&lt;&gt;"","Aprovado",IF(Faturamento!$O409&lt;&gt;0,"Pendente Emissão","Processo de Calculo"))))</f>
        <v>Aprovado</v>
      </c>
      <c r="N348" s="3">
        <v>233.45</v>
      </c>
      <c r="O348" s="3">
        <v>175.09</v>
      </c>
      <c r="P348" s="4"/>
      <c r="Q348" s="4"/>
      <c r="R348" s="3">
        <v>175.09</v>
      </c>
      <c r="S348"/>
      <c r="T348" s="51" t="s">
        <v>906</v>
      </c>
      <c r="U348" s="51" t="e">
        <v>#N/A</v>
      </c>
      <c r="V348" t="s">
        <v>369</v>
      </c>
      <c r="W348" s="3">
        <v>0</v>
      </c>
      <c r="X348" s="123">
        <f>IF(Faturamento!$V165="Pago",IFERROR(W348-R348,0),0)</f>
        <v>-175.09</v>
      </c>
      <c r="Y348" s="4"/>
      <c r="Z348" s="196" t="s">
        <v>1795</v>
      </c>
      <c r="AA348" s="5"/>
      <c r="AB348" s="5"/>
      <c r="AI348"/>
    </row>
    <row r="349" spans="1:35" hidden="1" x14ac:dyDescent="0.3">
      <c r="A349" s="5" t="str">
        <f>VLOOKUP(B349,base!A:M,11,FALSE)</f>
        <v>TRIFÁSICO</v>
      </c>
      <c r="B349" s="37" t="s">
        <v>338</v>
      </c>
      <c r="C349" s="56" t="s">
        <v>341</v>
      </c>
      <c r="D349" s="59">
        <v>62955505122432</v>
      </c>
      <c r="E349" s="37" t="s">
        <v>433</v>
      </c>
      <c r="F349" s="37" t="s">
        <v>434</v>
      </c>
      <c r="G349" s="52">
        <v>45748</v>
      </c>
      <c r="H349" s="52" t="str">
        <f>Faturamento!$B388&amp;Faturamento!$G388</f>
        <v>10/13786-945870</v>
      </c>
      <c r="I349" s="37" t="s">
        <v>435</v>
      </c>
      <c r="J349" s="37">
        <v>240</v>
      </c>
      <c r="K349" s="53">
        <v>818.53</v>
      </c>
      <c r="L349" s="53">
        <v>760.1674999999999</v>
      </c>
      <c r="M349" s="5" t="str">
        <f>IF(Faturamento!$S388&lt;&gt;"","Não emitido",IF(Faturamento!$I388="NÃO","Pendente Fatura", IF(Faturamento!$R388&lt;&gt;"","Aprovado",IF(Faturamento!$O388&lt;&gt;0,"Pendente Emissão","Processo de Calculo"))))</f>
        <v>Aprovado</v>
      </c>
      <c r="N349" s="53">
        <v>233.45</v>
      </c>
      <c r="O349" s="53">
        <v>175.09</v>
      </c>
      <c r="P349" s="52"/>
      <c r="Q349" s="52"/>
      <c r="R349" s="53">
        <v>175.09</v>
      </c>
      <c r="S349" s="37"/>
      <c r="T349" s="51" t="s">
        <v>886</v>
      </c>
      <c r="U349" s="51"/>
      <c r="V349" s="37" t="s">
        <v>568</v>
      </c>
      <c r="W349" s="53">
        <v>175.09</v>
      </c>
      <c r="X349" s="123">
        <f>IF(Faturamento!$V573="Pago",IFERROR(W349-R349,0),0)</f>
        <v>0</v>
      </c>
      <c r="Y349" s="52"/>
      <c r="Z349" s="52"/>
      <c r="AA349" s="5"/>
      <c r="AB349" s="5"/>
      <c r="AI349"/>
    </row>
    <row r="350" spans="1:35" hidden="1" x14ac:dyDescent="0.3">
      <c r="A350" s="5" t="str">
        <f>VLOOKUP(B350,base!A:M,11,FALSE)</f>
        <v>TRIFÁSICO</v>
      </c>
      <c r="B350" s="37" t="s">
        <v>264</v>
      </c>
      <c r="C350" s="56">
        <v>67992876000</v>
      </c>
      <c r="D350" s="59">
        <v>62955505248886</v>
      </c>
      <c r="E350" s="37" t="s">
        <v>433</v>
      </c>
      <c r="F350" s="37" t="s">
        <v>434</v>
      </c>
      <c r="G350" s="52">
        <v>45748</v>
      </c>
      <c r="H350" s="52" t="str">
        <f>Faturamento!$B426&amp;Faturamento!$G426</f>
        <v>10/2247256-745870</v>
      </c>
      <c r="I350" s="37" t="s">
        <v>435</v>
      </c>
      <c r="J350" s="37">
        <v>240</v>
      </c>
      <c r="K350" s="53">
        <v>342.43</v>
      </c>
      <c r="L350" s="53">
        <v>284.0675</v>
      </c>
      <c r="M350" s="5" t="s">
        <v>1489</v>
      </c>
      <c r="N350" s="53">
        <v>233.45</v>
      </c>
      <c r="O350" s="53">
        <v>175.09</v>
      </c>
      <c r="P350" s="52"/>
      <c r="Q350" s="52"/>
      <c r="R350" s="53">
        <v>175.09</v>
      </c>
      <c r="S350" s="37"/>
      <c r="T350" s="51" t="s">
        <v>922</v>
      </c>
      <c r="U350" s="51" t="e">
        <v>#N/A</v>
      </c>
      <c r="V350" s="37" t="s">
        <v>568</v>
      </c>
      <c r="W350" s="53">
        <v>233.45</v>
      </c>
      <c r="X350" s="123">
        <f>IF(Faturamento!$V662="Pago",IFERROR(W350-R350,0),0)</f>
        <v>0</v>
      </c>
      <c r="Y350" s="52">
        <v>45929</v>
      </c>
      <c r="Z350" s="52"/>
      <c r="AA350" s="5"/>
      <c r="AB350" s="5"/>
      <c r="AI350"/>
    </row>
    <row r="351" spans="1:35" hidden="1" x14ac:dyDescent="0.3">
      <c r="A351" s="5" t="str">
        <f>VLOOKUP(B351,base!A:M,11,FALSE)</f>
        <v>BIFÁSICO</v>
      </c>
      <c r="B351" t="s">
        <v>297</v>
      </c>
      <c r="C351" s="1">
        <v>67996266684</v>
      </c>
      <c r="D351" s="60">
        <v>62955505016080</v>
      </c>
      <c r="E351" s="63" t="s">
        <v>433</v>
      </c>
      <c r="F351" t="s">
        <v>434</v>
      </c>
      <c r="G351" s="4">
        <v>45809</v>
      </c>
      <c r="H351" s="4" t="str">
        <f>Faturamento!$B543&amp;Faturamento!$G543</f>
        <v>10/512142-145658</v>
      </c>
      <c r="I351" t="s">
        <v>435</v>
      </c>
      <c r="J351" s="37">
        <v>210</v>
      </c>
      <c r="K351" s="53">
        <v>347.17648648648651</v>
      </c>
      <c r="L351" s="53">
        <v>292.5305472648862</v>
      </c>
      <c r="M351" s="5" t="str">
        <f>IF(Faturamento!$S543&lt;&gt;"","Não emitido",IF(Faturamento!$I543="NÃO","Pendente Fatura", IF(Faturamento!$R543&lt;&gt;"","Aprovado",IF(Faturamento!$O543&lt;&gt;0,"Pendente Emissão","Processo de Calculo"))))</f>
        <v>Aprovado</v>
      </c>
      <c r="N351" s="3">
        <v>230.32648648648649</v>
      </c>
      <c r="O351" s="3">
        <v>172.74</v>
      </c>
      <c r="P351" s="4">
        <v>45860</v>
      </c>
      <c r="Q351" s="4">
        <v>45871</v>
      </c>
      <c r="R351" s="3">
        <v>172.74</v>
      </c>
      <c r="S351"/>
      <c r="T351" s="51" t="s">
        <v>1044</v>
      </c>
      <c r="U351" s="51" t="s">
        <v>1045</v>
      </c>
      <c r="V351" t="s">
        <v>568</v>
      </c>
      <c r="W351" s="3">
        <v>172.74</v>
      </c>
      <c r="X351" s="123">
        <f>IF(Faturamento!$V572="Pago",IFERROR(W351-R351,0),0)</f>
        <v>0</v>
      </c>
      <c r="Y351" s="4" t="s">
        <v>1046</v>
      </c>
      <c r="Z351" s="4"/>
      <c r="AA351" s="5"/>
      <c r="AB351" s="5"/>
      <c r="AI351"/>
    </row>
    <row r="352" spans="1:35" hidden="1" x14ac:dyDescent="0.3">
      <c r="A352" s="5" t="str">
        <f>VLOOKUP(B352,base!A:M,11,FALSE)</f>
        <v>TRIFÁSICO</v>
      </c>
      <c r="B352" s="37" t="s">
        <v>315</v>
      </c>
      <c r="C352" s="56">
        <v>67996446178</v>
      </c>
      <c r="D352" s="59">
        <v>62955505359360</v>
      </c>
      <c r="E352" s="37" t="s">
        <v>433</v>
      </c>
      <c r="F352" s="37" t="s">
        <v>434</v>
      </c>
      <c r="G352" s="52">
        <v>45839</v>
      </c>
      <c r="H352" s="52" t="str">
        <f>Faturamento!$B660&amp;Faturamento!$G660</f>
        <v>10/1130988-745778</v>
      </c>
      <c r="I352" s="37" t="s">
        <v>435</v>
      </c>
      <c r="J352" s="37">
        <v>209</v>
      </c>
      <c r="K352" s="53">
        <v>392.80759999999992</v>
      </c>
      <c r="L352" s="53">
        <v>342.32868055999995</v>
      </c>
      <c r="M352" s="5" t="str">
        <f>IF(Faturamento!$S660&lt;&gt;"","Não emitido",IF(Faturamento!$I660="NÃO","Pendente Fatura", IF(Faturamento!$R660&lt;&gt;"","Aprovado",IF(Faturamento!$O660&lt;&gt;0,"Pendente Emissão","Processo de Calculo"))))</f>
        <v>Aprovado</v>
      </c>
      <c r="N352" s="53">
        <v>223.05760000000001</v>
      </c>
      <c r="O352" s="53">
        <v>172.58</v>
      </c>
      <c r="P352" s="52">
        <v>45910</v>
      </c>
      <c r="Q352" s="52">
        <v>45920</v>
      </c>
      <c r="R352" s="53">
        <v>172.58</v>
      </c>
      <c r="S352" s="37"/>
      <c r="T352" s="51" t="s">
        <v>1233</v>
      </c>
      <c r="U352" s="51" t="s">
        <v>1234</v>
      </c>
      <c r="V352" s="37" t="s">
        <v>369</v>
      </c>
      <c r="W352" s="53"/>
      <c r="X352" s="123">
        <f>IF(Faturamento!$V841="Pago",IFERROR(W352-R352,0),0)</f>
        <v>0</v>
      </c>
      <c r="Y352" s="52"/>
      <c r="Z352" s="196" t="s">
        <v>1795</v>
      </c>
      <c r="AA352" s="5"/>
      <c r="AB352" s="5"/>
      <c r="AI352"/>
    </row>
    <row r="353" spans="1:35" hidden="1" x14ac:dyDescent="0.3">
      <c r="A353" s="5" t="str">
        <f>VLOOKUP(B353,base!A:M,11,FALSE)</f>
        <v>TRIFÁSICO</v>
      </c>
      <c r="B353" t="s">
        <v>285</v>
      </c>
      <c r="C353" s="1">
        <v>67996266684</v>
      </c>
      <c r="D353" s="60">
        <v>62955505016080</v>
      </c>
      <c r="E353" s="63" t="s">
        <v>433</v>
      </c>
      <c r="F353" t="s">
        <v>434</v>
      </c>
      <c r="G353" s="4">
        <v>45839</v>
      </c>
      <c r="H353" s="4" t="str">
        <f>Faturamento!$B655&amp;Faturamento!$G655</f>
        <v>10/3125732-245809</v>
      </c>
      <c r="I353" t="s">
        <v>435</v>
      </c>
      <c r="J353" s="37">
        <v>218</v>
      </c>
      <c r="K353" s="53">
        <v>388.47952380952376</v>
      </c>
      <c r="L353" s="53">
        <v>338.16303704761901</v>
      </c>
      <c r="M353" s="5" t="str">
        <f>IF(Faturamento!$S655&lt;&gt;"","Não emitido",IF(Faturamento!$I655="NÃO","Pendente Fatura", IF(Faturamento!$R655&lt;&gt;"","Aprovado",IF(Faturamento!$O655&lt;&gt;0,"Pendente Emissão","Processo de Calculo"))))</f>
        <v>Aprovado</v>
      </c>
      <c r="N353" s="3">
        <v>222.35952380952372</v>
      </c>
      <c r="O353" s="3">
        <v>172.04</v>
      </c>
      <c r="P353" s="4">
        <v>45910</v>
      </c>
      <c r="Q353" s="4">
        <v>45920</v>
      </c>
      <c r="R353" s="3">
        <v>172.04</v>
      </c>
      <c r="S353"/>
      <c r="T353" s="51" t="s">
        <v>1223</v>
      </c>
      <c r="U353" s="51" t="s">
        <v>1224</v>
      </c>
      <c r="V353" t="s">
        <v>568</v>
      </c>
      <c r="W353" s="3">
        <v>172.04</v>
      </c>
      <c r="X353" s="123">
        <f>IF(Faturamento!$V571="Pago",IFERROR(W353-R353,0),0)</f>
        <v>0</v>
      </c>
      <c r="Y353" s="4"/>
      <c r="Z353" s="4"/>
      <c r="AA353" s="5"/>
      <c r="AB353" s="5"/>
      <c r="AI353"/>
    </row>
    <row r="354" spans="1:35" hidden="1" x14ac:dyDescent="0.3">
      <c r="A354" s="5" t="str">
        <f>VLOOKUP(B354,base!A:M,11,FALSE)</f>
        <v>BIFÁSICO</v>
      </c>
      <c r="B354" t="s">
        <v>257</v>
      </c>
      <c r="C354" s="1">
        <v>0</v>
      </c>
      <c r="D354" s="60">
        <v>62955505239119</v>
      </c>
      <c r="E354" s="63" t="s">
        <v>433</v>
      </c>
      <c r="F354" t="s">
        <v>434</v>
      </c>
      <c r="G354" s="4">
        <v>45870</v>
      </c>
      <c r="H354" s="4" t="str">
        <f>Faturamento!$B779&amp;Faturamento!$G779</f>
        <v>10/530195-745870</v>
      </c>
      <c r="I354" t="s">
        <v>435</v>
      </c>
      <c r="J354">
        <v>219</v>
      </c>
      <c r="K354" s="3">
        <v>276.94928571428568</v>
      </c>
      <c r="L354" s="3">
        <v>226.72960753506365</v>
      </c>
      <c r="M354" s="5" t="s">
        <v>1489</v>
      </c>
      <c r="N354" s="3">
        <v>222.24928571428569</v>
      </c>
      <c r="O354" s="3">
        <v>172.03</v>
      </c>
      <c r="P354" s="4">
        <v>45910</v>
      </c>
      <c r="Q354" s="4">
        <v>45920</v>
      </c>
      <c r="R354" s="3">
        <v>172.03</v>
      </c>
      <c r="S354"/>
      <c r="T354" s="51" t="s">
        <v>1454</v>
      </c>
      <c r="U354" s="51" t="s">
        <v>1455</v>
      </c>
      <c r="V354" t="s">
        <v>912</v>
      </c>
      <c r="W354" s="3">
        <v>0</v>
      </c>
      <c r="X354" s="123">
        <f>IF(Faturamento!$V235="Pago",IFERROR(W354-R354,0),0)</f>
        <v>-172.03</v>
      </c>
      <c r="Y354" s="4"/>
      <c r="Z354" s="4"/>
      <c r="AA354" s="5"/>
      <c r="AB354" s="5"/>
      <c r="AI354"/>
    </row>
    <row r="355" spans="1:35" hidden="1" x14ac:dyDescent="0.3">
      <c r="A355" s="5" t="str">
        <f>VLOOKUP(B355,base!A:M,11,FALSE)</f>
        <v>TRIFÁSICO</v>
      </c>
      <c r="B355" t="s">
        <v>345</v>
      </c>
      <c r="C355" s="1">
        <v>0</v>
      </c>
      <c r="D355" s="60">
        <v>62955505402710</v>
      </c>
      <c r="E355" s="63" t="s">
        <v>433</v>
      </c>
      <c r="F355" t="s">
        <v>434</v>
      </c>
      <c r="G355" s="4">
        <v>45870</v>
      </c>
      <c r="H355" s="4" t="str">
        <f>Faturamento!$B729&amp;Faturamento!$G729</f>
        <v>10/10232-745870</v>
      </c>
      <c r="I355" t="s">
        <v>435</v>
      </c>
      <c r="J355">
        <v>188</v>
      </c>
      <c r="K355" s="3">
        <v>399.8304</v>
      </c>
      <c r="L355" s="3">
        <v>349.68729678684036</v>
      </c>
      <c r="M355" s="5" t="str">
        <f>IF(Faturamento!$S729&lt;&gt;"","Não emitido",IF(Faturamento!$I729="NÃO","Pendente Fatura", IF(Faturamento!$R729&lt;&gt;"","Aprovado",IF(Faturamento!$O729&lt;&gt;0,"Pendente Emissão","Processo de Calculo"))))</f>
        <v>Aprovado</v>
      </c>
      <c r="N355" s="3">
        <v>221.91039999999998</v>
      </c>
      <c r="O355" s="3">
        <v>171.77</v>
      </c>
      <c r="P355" s="4">
        <v>45910</v>
      </c>
      <c r="Q355" s="4">
        <v>45920</v>
      </c>
      <c r="R355" s="3">
        <v>171.77</v>
      </c>
      <c r="S355"/>
      <c r="T355" s="51" t="s">
        <v>1361</v>
      </c>
      <c r="U355" s="51" t="s">
        <v>1362</v>
      </c>
      <c r="V355" t="s">
        <v>568</v>
      </c>
      <c r="W355" s="3">
        <v>171.77</v>
      </c>
      <c r="X355" s="123">
        <f>IF(Faturamento!$V569="Pago",IFERROR(W355-R355,0),0)</f>
        <v>0</v>
      </c>
      <c r="Y355" s="4"/>
      <c r="Z355" s="4"/>
      <c r="AA355" s="5"/>
      <c r="AB355" s="5"/>
      <c r="AI355"/>
    </row>
    <row r="356" spans="1:35" hidden="1" x14ac:dyDescent="0.3">
      <c r="A356" s="5" t="str">
        <f>VLOOKUP(B356,base!A:M,11,FALSE)</f>
        <v>TRIFÁSICO</v>
      </c>
      <c r="B356" t="s">
        <v>283</v>
      </c>
      <c r="C356" s="1">
        <v>0</v>
      </c>
      <c r="D356" s="60">
        <v>62955505182257</v>
      </c>
      <c r="E356" s="63" t="s">
        <v>433</v>
      </c>
      <c r="F356" t="s">
        <v>434</v>
      </c>
      <c r="G356" s="4">
        <v>45901</v>
      </c>
      <c r="H356" s="4" t="str">
        <f>Faturamento!$B861&amp;Faturamento!$G861</f>
        <v>10/24514-245689</v>
      </c>
      <c r="I356" t="s">
        <v>435</v>
      </c>
      <c r="J356">
        <v>223</v>
      </c>
      <c r="K356" s="3">
        <v>408.35546875000006</v>
      </c>
      <c r="L356" s="3">
        <v>345.39097242315347</v>
      </c>
      <c r="M356" s="5" t="s">
        <v>1489</v>
      </c>
      <c r="N356" s="3">
        <v>234.43546874999998</v>
      </c>
      <c r="O356" s="3">
        <v>171.47</v>
      </c>
      <c r="P356" s="4">
        <v>45933</v>
      </c>
      <c r="Q356" s="4">
        <v>45943</v>
      </c>
      <c r="R356" s="3">
        <f>O356</f>
        <v>171.47</v>
      </c>
      <c r="S356"/>
      <c r="T356" s="51" t="s">
        <v>1601</v>
      </c>
      <c r="U356" s="51" t="s">
        <v>1602</v>
      </c>
      <c r="V356" t="s">
        <v>568</v>
      </c>
      <c r="W356" s="3">
        <f>O356</f>
        <v>171.47</v>
      </c>
      <c r="X356" s="123">
        <f>IF(Faturamento!$V568="Pago",IFERROR(W356-R356,0),0)</f>
        <v>0</v>
      </c>
      <c r="Y356" s="4"/>
      <c r="Z356" s="4"/>
      <c r="AA356" s="5"/>
      <c r="AB356" s="5"/>
      <c r="AI356"/>
    </row>
    <row r="357" spans="1:35" hidden="1" x14ac:dyDescent="0.3">
      <c r="A357" s="5" t="str">
        <f>VLOOKUP(B357,base!A:M,11,FALSE)</f>
        <v>TRIFÁSICO</v>
      </c>
      <c r="B357" s="37" t="s">
        <v>146</v>
      </c>
      <c r="C357" s="56">
        <v>67991306665</v>
      </c>
      <c r="D357" s="59">
        <v>62955505379395</v>
      </c>
      <c r="E357" s="37" t="s">
        <v>433</v>
      </c>
      <c r="F357" s="37" t="s">
        <v>434</v>
      </c>
      <c r="G357" s="52">
        <v>45778</v>
      </c>
      <c r="H357" s="52" t="str">
        <f>Faturamento!$B500&amp;Faturamento!$G500</f>
        <v>10/435964-245839</v>
      </c>
      <c r="I357" s="37" t="s">
        <v>435</v>
      </c>
      <c r="J357">
        <v>230</v>
      </c>
      <c r="K357" s="3">
        <v>330.39333333333332</v>
      </c>
      <c r="L357" s="3">
        <v>273.90499999999997</v>
      </c>
      <c r="M357" s="5" t="str">
        <f>IF(Faturamento!$S500&lt;&gt;"","Não emitido",IF(Faturamento!$I500="NÃO","Pendente Fatura", IF(Faturamento!$R500&lt;&gt;"","Aprovado",IF(Faturamento!$O500&lt;&gt;0,"Pendente Emissão","Processo de Calculo"))))</f>
        <v>Aprovado</v>
      </c>
      <c r="N357" s="53">
        <v>225.95333333333338</v>
      </c>
      <c r="O357" s="53">
        <v>169.47</v>
      </c>
      <c r="P357" s="52"/>
      <c r="Q357" s="52"/>
      <c r="R357" s="53">
        <v>169.47</v>
      </c>
      <c r="S357" s="37"/>
      <c r="T357" s="51" t="s">
        <v>988</v>
      </c>
      <c r="U357" s="51"/>
      <c r="V357" s="37" t="s">
        <v>568</v>
      </c>
      <c r="W357" s="53">
        <v>169.47</v>
      </c>
      <c r="X357" s="123">
        <f>IF(Faturamento!$V567="Pago",IFERROR(W357-R357,0),0)</f>
        <v>0</v>
      </c>
      <c r="Y357" s="52"/>
      <c r="Z357" s="52"/>
      <c r="AA357" s="5"/>
      <c r="AB357" s="5"/>
      <c r="AI357"/>
    </row>
    <row r="358" spans="1:35" hidden="1" x14ac:dyDescent="0.3">
      <c r="A358" s="5" t="str">
        <f>VLOOKUP(B358,base!A:M,11,FALSE)</f>
        <v>BIFÁSICO</v>
      </c>
      <c r="B358" t="s">
        <v>215</v>
      </c>
      <c r="C358" s="85">
        <v>67981311823</v>
      </c>
      <c r="D358" s="60">
        <v>62955505182176</v>
      </c>
      <c r="E358" s="63" t="s">
        <v>433</v>
      </c>
      <c r="F358" t="s">
        <v>434</v>
      </c>
      <c r="G358" s="4">
        <v>45717</v>
      </c>
      <c r="H358" s="4" t="str">
        <f>Faturamento!$B273&amp;Faturamento!$G273</f>
        <v>10/435964-245778</v>
      </c>
      <c r="I358" t="s">
        <v>435</v>
      </c>
      <c r="J358">
        <v>212</v>
      </c>
      <c r="K358" s="3">
        <v>299.44</v>
      </c>
      <c r="L358" s="3">
        <v>243.05499999999998</v>
      </c>
      <c r="M358" s="5" t="str">
        <f>IF(Faturamento!$S273&lt;&gt;"","Não emitido",IF(Faturamento!$I273="NÃO","Pendente Fatura", IF(Faturamento!$R273&lt;&gt;"","Aprovado",IF(Faturamento!$O273&lt;&gt;0,"Pendente Emissão","Processo de Calculo"))))</f>
        <v>Aprovado</v>
      </c>
      <c r="N358" s="3">
        <v>225.54</v>
      </c>
      <c r="O358" s="3">
        <v>169.16</v>
      </c>
      <c r="P358" s="4"/>
      <c r="Q358" s="4"/>
      <c r="R358" s="3">
        <v>169.16</v>
      </c>
      <c r="S358"/>
      <c r="T358" s="51" t="s">
        <v>813</v>
      </c>
      <c r="U358" s="51"/>
      <c r="V358" t="s">
        <v>369</v>
      </c>
      <c r="W358" s="3"/>
      <c r="X358" s="123">
        <f>IF(Faturamento!$V832="Pago",IFERROR(W358-R358,0),0)</f>
        <v>0</v>
      </c>
      <c r="Y358" s="4"/>
      <c r="Z358" s="196" t="s">
        <v>1795</v>
      </c>
      <c r="AA358" s="5"/>
      <c r="AB358" s="5"/>
      <c r="AI358">
        <f>VLOOKUP(B358,'[1]Conciliação - 032025'!$A:$L,12,FALSE)</f>
        <v>0</v>
      </c>
    </row>
    <row r="359" spans="1:35" hidden="1" x14ac:dyDescent="0.3">
      <c r="A359" s="5" t="str">
        <f>VLOOKUP(B359,base!A:M,11,FALSE)</f>
        <v>TRIFÁSICO</v>
      </c>
      <c r="B359" s="37" t="s">
        <v>294</v>
      </c>
      <c r="C359" s="56">
        <v>67992637973</v>
      </c>
      <c r="D359" s="59">
        <v>62955505367117</v>
      </c>
      <c r="E359" s="37" t="s">
        <v>433</v>
      </c>
      <c r="F359" s="37" t="s">
        <v>434</v>
      </c>
      <c r="G359" s="52">
        <v>45839</v>
      </c>
      <c r="H359" s="52" t="str">
        <f>Faturamento!$B664&amp;Faturamento!$G664</f>
        <v>10/226667-445901</v>
      </c>
      <c r="I359" s="37" t="s">
        <v>435</v>
      </c>
      <c r="J359" s="37">
        <v>187</v>
      </c>
      <c r="K359" s="53">
        <v>393.7081</v>
      </c>
      <c r="L359" s="53">
        <v>343.81174185999998</v>
      </c>
      <c r="M359" s="5" t="str">
        <f>IF(Faturamento!$S664&lt;&gt;"","Não emitido",IF(Faturamento!$I664="NÃO","Pendente Fatura", IF(Faturamento!$R664&lt;&gt;"","Aprovado",IF(Faturamento!$O664&lt;&gt;0,"Pendente Emissão","Processo de Calculo"))))</f>
        <v>Aprovado</v>
      </c>
      <c r="N359" s="53">
        <v>218.2081</v>
      </c>
      <c r="O359" s="53">
        <v>168.31</v>
      </c>
      <c r="P359" s="52">
        <v>45910</v>
      </c>
      <c r="Q359" s="52">
        <v>45920</v>
      </c>
      <c r="R359" s="53">
        <v>168.31</v>
      </c>
      <c r="S359" s="37"/>
      <c r="T359" s="51" t="s">
        <v>1241</v>
      </c>
      <c r="U359" s="51" t="s">
        <v>1242</v>
      </c>
      <c r="V359" s="37" t="s">
        <v>568</v>
      </c>
      <c r="W359" s="53">
        <v>218.21</v>
      </c>
      <c r="X359" s="123">
        <f>IF(Faturamento!$V638="Pago",IFERROR(W359-R359,0),0)</f>
        <v>0</v>
      </c>
      <c r="Y359" s="52">
        <v>45911</v>
      </c>
      <c r="Z359" s="52"/>
      <c r="AA359" s="5"/>
      <c r="AB359" s="5"/>
      <c r="AI359"/>
    </row>
    <row r="360" spans="1:35" hidden="1" x14ac:dyDescent="0.3">
      <c r="A360" s="5" t="str">
        <f>VLOOKUP(B360,base!A:M,11,FALSE)</f>
        <v>BIFÁSICO</v>
      </c>
      <c r="B360" t="s">
        <v>297</v>
      </c>
      <c r="C360" s="1">
        <v>67996266684</v>
      </c>
      <c r="D360" s="60">
        <v>62955505016080</v>
      </c>
      <c r="E360" s="63" t="s">
        <v>433</v>
      </c>
      <c r="F360" t="s">
        <v>434</v>
      </c>
      <c r="G360" s="4">
        <v>45658</v>
      </c>
      <c r="H360" s="4" t="str">
        <f>Faturamento!$B79&amp;Faturamento!$G79</f>
        <v>10/1081489-545901</v>
      </c>
      <c r="I360" t="s">
        <v>435</v>
      </c>
      <c r="J360">
        <v>201</v>
      </c>
      <c r="K360" s="3">
        <v>341.47</v>
      </c>
      <c r="L360" s="3">
        <v>285.38</v>
      </c>
      <c r="M360" s="5" t="str">
        <f>IF(Faturamento!$S79&lt;&gt;"","Não emitido",IF(Faturamento!$I79="NÃO","Pendente Fatura", IF(Faturamento!$R79&lt;&gt;"","Aprovado",IF(Faturamento!$O79&lt;&gt;0,"Pendente Emissão","Processo de Calculo"))))</f>
        <v>Aprovado</v>
      </c>
      <c r="N360" s="3">
        <v>224.35999999999999</v>
      </c>
      <c r="O360" s="3">
        <v>168.27</v>
      </c>
      <c r="P360" s="4"/>
      <c r="Q360" s="4"/>
      <c r="R360" s="3">
        <v>168.27</v>
      </c>
      <c r="S360"/>
      <c r="T360" s="51" t="s">
        <v>638</v>
      </c>
      <c r="U360" s="51"/>
      <c r="V360" t="s">
        <v>568</v>
      </c>
      <c r="W360" s="3">
        <v>168.27</v>
      </c>
      <c r="X360" s="123">
        <f>IF(Faturamento!$V566="Pago",IFERROR(W360-R360,0),0)</f>
        <v>0</v>
      </c>
      <c r="Y360" s="4"/>
      <c r="Z360" s="4"/>
      <c r="AA360" s="5"/>
      <c r="AB360" s="5"/>
      <c r="AI360"/>
    </row>
    <row r="361" spans="1:35" hidden="1" x14ac:dyDescent="0.3">
      <c r="A361" s="5" t="str">
        <f>VLOOKUP(B361,base!A:M,11,FALSE)</f>
        <v>BIFÁSICO</v>
      </c>
      <c r="B361" t="s">
        <v>153</v>
      </c>
      <c r="D361" s="60">
        <v>62955505405140</v>
      </c>
      <c r="E361" s="63" t="s">
        <v>433</v>
      </c>
      <c r="F361" t="s">
        <v>434</v>
      </c>
      <c r="G361" s="4">
        <v>45870</v>
      </c>
      <c r="H361" s="4" t="str">
        <f>Faturamento!$B777&amp;Faturamento!$G777</f>
        <v>10/452884-045931</v>
      </c>
      <c r="I361" t="s">
        <v>435</v>
      </c>
      <c r="J361">
        <v>209</v>
      </c>
      <c r="K361" s="3">
        <v>291.21624999999995</v>
      </c>
      <c r="L361" s="3">
        <v>242.62417721137479</v>
      </c>
      <c r="M361" s="5" t="str">
        <f>IF(Faturamento!$S777&lt;&gt;"","Não emitido",IF(Faturamento!$I777="NÃO","Pendente Fatura", IF(Faturamento!$R777&lt;&gt;"","Aprovado",IF(Faturamento!$O777&lt;&gt;0,"Pendente Emissão","Processo de Calculo"))))</f>
        <v>Aprovado</v>
      </c>
      <c r="N361" s="3">
        <v>215.04624999999999</v>
      </c>
      <c r="O361" s="3">
        <v>166.45</v>
      </c>
      <c r="P361" s="4">
        <v>45910</v>
      </c>
      <c r="Q361" s="4">
        <v>45920</v>
      </c>
      <c r="R361" s="3">
        <v>166.45</v>
      </c>
      <c r="S361"/>
      <c r="T361" s="51" t="s">
        <v>1450</v>
      </c>
      <c r="U361" s="51" t="s">
        <v>1451</v>
      </c>
      <c r="V361" s="37" t="s">
        <v>568</v>
      </c>
      <c r="W361" s="3">
        <v>166.45</v>
      </c>
      <c r="X361" s="123">
        <f>IF(Faturamento!$V565="Pago",IFERROR(W361-R361,0),0)</f>
        <v>0</v>
      </c>
      <c r="Y361" s="4">
        <v>45931</v>
      </c>
      <c r="Z361" s="4"/>
      <c r="AA361" s="5"/>
      <c r="AB361" s="5"/>
      <c r="AI361"/>
    </row>
    <row r="362" spans="1:35" hidden="1" x14ac:dyDescent="0.3">
      <c r="A362" s="5" t="str">
        <f>VLOOKUP(B362,base!A:M,11,FALSE)</f>
        <v>TRIFÁSICO</v>
      </c>
      <c r="B362" t="s">
        <v>213</v>
      </c>
      <c r="C362" s="56">
        <v>67992637973</v>
      </c>
      <c r="D362">
        <v>62955505274020</v>
      </c>
      <c r="E362" s="37" t="s">
        <v>433</v>
      </c>
      <c r="F362" t="s">
        <v>108</v>
      </c>
      <c r="G362" s="4">
        <v>45931</v>
      </c>
      <c r="H362" s="52" t="str">
        <f>Faturamento!$B924&amp;Faturamento!$G924</f>
        <v>10/104720-845778</v>
      </c>
      <c r="I362" s="37" t="s">
        <v>435</v>
      </c>
      <c r="J362">
        <v>218</v>
      </c>
      <c r="K362" s="3">
        <v>389.18718749999999</v>
      </c>
      <c r="L362" s="3">
        <v>324.60724268942704</v>
      </c>
      <c r="M362" s="5" t="s">
        <v>1489</v>
      </c>
      <c r="N362" s="53">
        <v>230.90718749999999</v>
      </c>
      <c r="O362" s="53">
        <v>166.33</v>
      </c>
      <c r="P362" s="52">
        <v>45967</v>
      </c>
      <c r="Q362" s="52">
        <v>45974</v>
      </c>
      <c r="R362" s="53">
        <v>166.33</v>
      </c>
      <c r="S362" s="37"/>
      <c r="T362" s="3" t="str">
        <f>D362&amp;R362</f>
        <v>62955505274020166,33</v>
      </c>
      <c r="U362" s="3" t="s">
        <v>1736</v>
      </c>
      <c r="V362" s="37" t="s">
        <v>568</v>
      </c>
      <c r="W362" s="13">
        <f>R362</f>
        <v>166.33</v>
      </c>
      <c r="X362" s="124">
        <f>IF(Faturamento!$V926="Pago",IFERROR(W362-R362,0),0)</f>
        <v>0</v>
      </c>
    </row>
    <row r="363" spans="1:35" hidden="1" x14ac:dyDescent="0.3">
      <c r="A363" s="5" t="str">
        <f>VLOOKUP(B363,base!A:M,11,FALSE)</f>
        <v>TRIFÁSICO</v>
      </c>
      <c r="B363" s="37" t="s">
        <v>143</v>
      </c>
      <c r="C363" s="56" t="s">
        <v>144</v>
      </c>
      <c r="D363" s="59">
        <v>62955505149047</v>
      </c>
      <c r="E363" s="37" t="s">
        <v>433</v>
      </c>
      <c r="F363" s="37" t="s">
        <v>434</v>
      </c>
      <c r="G363" s="52">
        <v>45778</v>
      </c>
      <c r="H363" s="52" t="str">
        <f>Faturamento!$B454&amp;Faturamento!$G454</f>
        <v>10/3030784-745870</v>
      </c>
      <c r="I363" s="37" t="s">
        <v>435</v>
      </c>
      <c r="J363">
        <v>208</v>
      </c>
      <c r="K363" s="3">
        <v>390.31164705882355</v>
      </c>
      <c r="L363" s="3">
        <v>335.01623529411768</v>
      </c>
      <c r="M363" s="5" t="str">
        <f>IF(Faturamento!$S454&lt;&gt;"","Não emitido",IF(Faturamento!$I454="NÃO","Pendente Fatura", IF(Faturamento!$R454&lt;&gt;"","Aprovado",IF(Faturamento!$O454&lt;&gt;0,"Pendente Emissão","Processo de Calculo"))))</f>
        <v>Aprovado</v>
      </c>
      <c r="N363" s="53">
        <v>221.18164705882353</v>
      </c>
      <c r="O363" s="53">
        <v>165.89</v>
      </c>
      <c r="P363" s="52"/>
      <c r="Q363" s="52"/>
      <c r="R363" s="53">
        <v>165.89</v>
      </c>
      <c r="S363" s="37"/>
      <c r="T363" s="51" t="s">
        <v>947</v>
      </c>
      <c r="U363" s="51"/>
      <c r="V363" s="37" t="s">
        <v>568</v>
      </c>
      <c r="W363" s="53">
        <v>221.18</v>
      </c>
      <c r="X363" s="123">
        <f>IF(Faturamento!$V642="Pago",IFERROR(W363-R363,0),0)</f>
        <v>55.29000000000002</v>
      </c>
      <c r="Y363" s="52">
        <v>45922</v>
      </c>
      <c r="Z363" s="52"/>
      <c r="AA363" s="5"/>
      <c r="AB363" s="5"/>
      <c r="AI363"/>
    </row>
    <row r="364" spans="1:35" hidden="1" x14ac:dyDescent="0.3">
      <c r="A364" s="5" t="str">
        <f>VLOOKUP(B364,base!A:M,11,FALSE)</f>
        <v>BIFÁSICO</v>
      </c>
      <c r="B364" t="s">
        <v>215</v>
      </c>
      <c r="C364" s="85">
        <v>67981311823</v>
      </c>
      <c r="D364" s="60">
        <v>62955505182176</v>
      </c>
      <c r="E364" s="63" t="s">
        <v>433</v>
      </c>
      <c r="F364" t="s">
        <v>434</v>
      </c>
      <c r="G364" s="4">
        <v>45658</v>
      </c>
      <c r="H364" s="4" t="str">
        <f>Faturamento!$B65&amp;Faturamento!$G65</f>
        <v>10/2599101-945778</v>
      </c>
      <c r="I364" t="s">
        <v>435</v>
      </c>
      <c r="J364">
        <v>198</v>
      </c>
      <c r="K364" s="3">
        <v>298.09999999999997</v>
      </c>
      <c r="L364" s="3">
        <v>242.8475</v>
      </c>
      <c r="M364" s="5" t="str">
        <f>IF(Faturamento!$S65&lt;&gt;"","Não emitido",IF(Faturamento!$I65="NÃO","Pendente Fatura", IF(Faturamento!$R65&lt;&gt;"","Aprovado",IF(Faturamento!$O65&lt;&gt;0,"Pendente Emissão","Processo de Calculo"))))</f>
        <v>Aprovado</v>
      </c>
      <c r="N364" s="3">
        <v>221.01</v>
      </c>
      <c r="O364" s="3">
        <v>165.76</v>
      </c>
      <c r="P364" s="4"/>
      <c r="Q364" s="4"/>
      <c r="R364" s="3">
        <v>165.76</v>
      </c>
      <c r="S364"/>
      <c r="T364" s="51" t="s">
        <v>623</v>
      </c>
      <c r="U364" s="51"/>
      <c r="V364" t="s">
        <v>369</v>
      </c>
      <c r="W364" s="3">
        <v>0</v>
      </c>
      <c r="X364" s="123">
        <f>IF(Faturamento!$V47="Pago",IFERROR(W364-R364,0),0)</f>
        <v>-165.76</v>
      </c>
      <c r="Y364" s="4"/>
      <c r="Z364" s="196" t="s">
        <v>1795</v>
      </c>
      <c r="AA364" s="5">
        <v>283032</v>
      </c>
      <c r="AB364" s="5">
        <v>502</v>
      </c>
      <c r="AC364" s="5" t="s">
        <v>434</v>
      </c>
      <c r="AD364" s="5" t="s">
        <v>624</v>
      </c>
      <c r="AE364" s="5">
        <v>59.57</v>
      </c>
      <c r="AG364" s="5" t="s">
        <v>625</v>
      </c>
      <c r="AH364" s="5" t="s">
        <v>135</v>
      </c>
      <c r="AI364"/>
    </row>
    <row r="365" spans="1:35" hidden="1" x14ac:dyDescent="0.3">
      <c r="A365" s="5" t="str">
        <f>VLOOKUP(B365,base!A:M,11,FALSE)</f>
        <v>BIFÁSICO</v>
      </c>
      <c r="B365" t="s">
        <v>161</v>
      </c>
      <c r="C365" s="1">
        <v>67992899434</v>
      </c>
      <c r="D365" s="60">
        <v>62955505113875</v>
      </c>
      <c r="E365" s="63" t="s">
        <v>433</v>
      </c>
      <c r="F365" t="s">
        <v>434</v>
      </c>
      <c r="G365" s="4">
        <v>45809</v>
      </c>
      <c r="H365" s="4" t="str">
        <f>Faturamento!$B563&amp;Faturamento!$G563</f>
        <v>10/532081-745778</v>
      </c>
      <c r="I365" t="s">
        <v>435</v>
      </c>
      <c r="J365" s="37">
        <v>217</v>
      </c>
      <c r="K365" s="53">
        <v>441.53801886792451</v>
      </c>
      <c r="L365" s="53">
        <v>389.48016001683652</v>
      </c>
      <c r="M365" s="5" t="str">
        <f>IF(Faturamento!$S563&lt;&gt;"","Não emitido",IF(Faturamento!$I563="NÃO","Pendente Fatura", IF(Faturamento!$R563&lt;&gt;"","Aprovado",IF(Faturamento!$O563&lt;&gt;0,"Pendente Emissão","Processo de Calculo"))))</f>
        <v>Aprovado</v>
      </c>
      <c r="N365" s="3">
        <v>219.41801886792456</v>
      </c>
      <c r="O365" s="3">
        <v>164.56</v>
      </c>
      <c r="P365" s="4">
        <v>45860</v>
      </c>
      <c r="Q365" s="4">
        <v>45871</v>
      </c>
      <c r="R365" s="3">
        <v>164.56</v>
      </c>
      <c r="S365"/>
      <c r="T365" s="51" t="s">
        <v>1085</v>
      </c>
      <c r="U365" s="51" t="s">
        <v>1086</v>
      </c>
      <c r="V365" t="s">
        <v>568</v>
      </c>
      <c r="W365" s="3">
        <v>164.56</v>
      </c>
      <c r="X365" s="123">
        <f>IF(Faturamento!$V563="Pago",IFERROR(W365-R365,0),0)</f>
        <v>0</v>
      </c>
      <c r="Y365" s="4"/>
      <c r="Z365" s="4"/>
      <c r="AA365" s="5"/>
      <c r="AB365" s="5"/>
      <c r="AI365"/>
    </row>
    <row r="366" spans="1:35" hidden="1" x14ac:dyDescent="0.3">
      <c r="A366" s="5" t="str">
        <f>VLOOKUP(B366,base!A:M,11,FALSE)</f>
        <v>TRIFÁSICO</v>
      </c>
      <c r="B366" s="37" t="s">
        <v>334</v>
      </c>
      <c r="C366" s="56">
        <v>0</v>
      </c>
      <c r="D366" s="59">
        <v>62955505015946</v>
      </c>
      <c r="E366" s="37" t="s">
        <v>433</v>
      </c>
      <c r="F366" s="37" t="s">
        <v>434</v>
      </c>
      <c r="G366" s="52">
        <v>45870</v>
      </c>
      <c r="H366" s="52" t="str">
        <f>Faturamento!$B774&amp;Faturamento!$G774</f>
        <v>10/3030784-745839</v>
      </c>
      <c r="I366" s="37" t="s">
        <v>435</v>
      </c>
      <c r="J366">
        <v>207</v>
      </c>
      <c r="K366" s="3">
        <v>352.28090909090906</v>
      </c>
      <c r="L366" s="3">
        <v>304.54643545461596</v>
      </c>
      <c r="M366" s="5" t="str">
        <f>IF(Faturamento!$S774&lt;&gt;"","Não emitido",IF(Faturamento!$I774="NÃO","Pendente Fatura", IF(Faturamento!$R774&lt;&gt;"","Aprovado",IF(Faturamento!$O774&lt;&gt;0,"Pendente Emissão","Processo de Calculo"))))</f>
        <v>Aprovado</v>
      </c>
      <c r="N366" s="53">
        <v>211.25090909090912</v>
      </c>
      <c r="O366" s="53">
        <v>163.52000000000001</v>
      </c>
      <c r="P366" s="52">
        <v>45910</v>
      </c>
      <c r="Q366" s="52">
        <v>45920</v>
      </c>
      <c r="R366" s="53">
        <v>163.52000000000001</v>
      </c>
      <c r="S366" s="37"/>
      <c r="T366" s="51" t="s">
        <v>1444</v>
      </c>
      <c r="U366" s="51" t="s">
        <v>1445</v>
      </c>
      <c r="V366" s="37" t="s">
        <v>568</v>
      </c>
      <c r="W366" s="53">
        <v>163.52000000000001</v>
      </c>
      <c r="X366" s="123">
        <f>IF(Faturamento!$V562="Pago",IFERROR(W366-R366,0),0)</f>
        <v>0</v>
      </c>
      <c r="Y366" s="52"/>
      <c r="Z366" s="52"/>
      <c r="AA366" s="5"/>
      <c r="AB366" s="5"/>
      <c r="AI366"/>
    </row>
    <row r="367" spans="1:35" hidden="1" x14ac:dyDescent="0.3">
      <c r="A367" s="5" t="str">
        <f>VLOOKUP(B367,base!A:M,11,FALSE)</f>
        <v>TRIFÁSICO</v>
      </c>
      <c r="B367" t="s">
        <v>191</v>
      </c>
      <c r="C367" s="56">
        <v>67991767866</v>
      </c>
      <c r="D367">
        <v>62955505461210</v>
      </c>
      <c r="E367" s="37" t="s">
        <v>433</v>
      </c>
      <c r="F367" t="s">
        <v>108</v>
      </c>
      <c r="G367" s="4">
        <v>45931</v>
      </c>
      <c r="H367" s="52" t="str">
        <f>Faturamento!$B961&amp;Faturamento!$G961</f>
        <v>10/162736-345839</v>
      </c>
      <c r="I367" s="37" t="s">
        <v>435</v>
      </c>
      <c r="J367">
        <v>184</v>
      </c>
      <c r="K367" s="3">
        <v>421.93799999999999</v>
      </c>
      <c r="L367" s="3">
        <v>358.89326693247807</v>
      </c>
      <c r="M367" s="5" t="s">
        <v>1489</v>
      </c>
      <c r="N367" s="53">
        <v>225.41800000000001</v>
      </c>
      <c r="O367" s="53">
        <v>162.31</v>
      </c>
      <c r="P367" s="52">
        <v>45967</v>
      </c>
      <c r="Q367" s="52">
        <v>45974</v>
      </c>
      <c r="R367" s="53">
        <v>162.31</v>
      </c>
      <c r="S367" s="37"/>
      <c r="T367" s="3" t="str">
        <f>D367&amp;R367</f>
        <v>62955505461210162,31</v>
      </c>
      <c r="U367" s="3" t="s">
        <v>1773</v>
      </c>
      <c r="V367" s="37" t="s">
        <v>568</v>
      </c>
      <c r="W367" s="13">
        <f>R367</f>
        <v>162.31</v>
      </c>
      <c r="X367" s="124">
        <f>IF(Faturamento!$V963="Pago",IFERROR(W367-R367,0),0)</f>
        <v>0</v>
      </c>
    </row>
    <row r="368" spans="1:35" hidden="1" x14ac:dyDescent="0.3">
      <c r="A368" s="5" t="str">
        <f>VLOOKUP(B368,base!A:M,11,FALSE)</f>
        <v>BIFÁSICO</v>
      </c>
      <c r="B368" s="37" t="s">
        <v>276</v>
      </c>
      <c r="C368" s="56" t="s">
        <v>278</v>
      </c>
      <c r="D368" s="59">
        <v>62955505000167</v>
      </c>
      <c r="E368" s="37" t="s">
        <v>433</v>
      </c>
      <c r="F368" s="37" t="s">
        <v>434</v>
      </c>
      <c r="G368" s="52">
        <v>45689</v>
      </c>
      <c r="H368" s="52" t="str">
        <f>Faturamento!$B172&amp;Faturamento!$G172</f>
        <v>10/504844-245901</v>
      </c>
      <c r="I368" s="37" t="s">
        <v>435</v>
      </c>
      <c r="J368" s="37">
        <v>203</v>
      </c>
      <c r="K368" s="53">
        <v>271.96999999999997</v>
      </c>
      <c r="L368" s="53">
        <v>217.88</v>
      </c>
      <c r="M368" s="5" t="str">
        <f>IF(Faturamento!$S172&lt;&gt;"","Não emitido",IF(Faturamento!$I172="NÃO","Pendente Fatura", IF(Faturamento!$R172&lt;&gt;"","Aprovado",IF(Faturamento!$O172&lt;&gt;0,"Pendente Emissão","Processo de Calculo"))))</f>
        <v>Aprovado</v>
      </c>
      <c r="N368" s="53">
        <v>216.36</v>
      </c>
      <c r="O368" s="53">
        <v>162.27000000000001</v>
      </c>
      <c r="P368" s="52"/>
      <c r="Q368" s="52"/>
      <c r="R368" s="53">
        <v>162.27000000000001</v>
      </c>
      <c r="S368" s="37"/>
      <c r="T368" s="51" t="s">
        <v>732</v>
      </c>
      <c r="U368" s="51"/>
      <c r="V368" s="37" t="s">
        <v>568</v>
      </c>
      <c r="W368" s="53">
        <v>162.27000000000001</v>
      </c>
      <c r="X368" s="123">
        <f>IF(Faturamento!$V561="Pago",IFERROR(W368-R368,0),0)</f>
        <v>0</v>
      </c>
      <c r="Y368" s="52"/>
      <c r="Z368" s="52"/>
      <c r="AA368" s="5"/>
      <c r="AB368" s="5"/>
      <c r="AI368"/>
    </row>
    <row r="369" spans="1:35" hidden="1" x14ac:dyDescent="0.3">
      <c r="A369" s="5" t="str">
        <f>VLOOKUP(B369,base!A:M,11,FALSE)</f>
        <v>TRIFÁSICO</v>
      </c>
      <c r="B369" t="s">
        <v>315</v>
      </c>
      <c r="C369" s="56">
        <v>67996446178</v>
      </c>
      <c r="D369">
        <v>62955505359360</v>
      </c>
      <c r="E369" s="37" t="s">
        <v>433</v>
      </c>
      <c r="F369" t="s">
        <v>108</v>
      </c>
      <c r="G369" s="4">
        <v>45931</v>
      </c>
      <c r="H369" s="52" t="str">
        <f>Faturamento!$B949&amp;Faturamento!$G949</f>
        <v>10/61344-845809</v>
      </c>
      <c r="I369" s="37" t="s">
        <v>435</v>
      </c>
      <c r="J369">
        <v>329</v>
      </c>
      <c r="K369" s="3">
        <v>581.92768292682922</v>
      </c>
      <c r="L369" s="3">
        <v>475.80124967596942</v>
      </c>
      <c r="M369" s="5" t="s">
        <v>1489</v>
      </c>
      <c r="N369" s="53">
        <v>379.45768292682931</v>
      </c>
      <c r="O369" s="53">
        <v>273.33</v>
      </c>
      <c r="P369" s="52">
        <v>45967</v>
      </c>
      <c r="Q369" s="52">
        <v>45974</v>
      </c>
      <c r="R369" s="53">
        <v>273.33</v>
      </c>
      <c r="S369" s="37"/>
      <c r="T369" s="3" t="str">
        <f>D369&amp;R369</f>
        <v>62955505359360273,33</v>
      </c>
      <c r="U369" s="3" t="s">
        <v>1761</v>
      </c>
      <c r="V369" s="37" t="s">
        <v>369</v>
      </c>
      <c r="X369" s="124">
        <f>IF(Faturamento!$V951="Pago",IFERROR(W369-R369,0),0)</f>
        <v>0</v>
      </c>
      <c r="Z369" s="196" t="s">
        <v>1795</v>
      </c>
    </row>
    <row r="370" spans="1:35" hidden="1" x14ac:dyDescent="0.3">
      <c r="A370" s="5" t="str">
        <f>VLOOKUP(B370,base!A:M,11,FALSE)</f>
        <v>TRIFÁSICO</v>
      </c>
      <c r="B370" s="37" t="s">
        <v>283</v>
      </c>
      <c r="C370" s="56">
        <v>0</v>
      </c>
      <c r="D370" s="59">
        <v>62955505182257</v>
      </c>
      <c r="E370" s="37" t="s">
        <v>433</v>
      </c>
      <c r="F370" s="37" t="s">
        <v>434</v>
      </c>
      <c r="G370" s="52">
        <v>45870</v>
      </c>
      <c r="H370" s="52" t="str">
        <f>Faturamento!$B764&amp;Faturamento!$G764</f>
        <v>10/908866-745778</v>
      </c>
      <c r="I370" s="37" t="s">
        <v>435</v>
      </c>
      <c r="J370">
        <v>206</v>
      </c>
      <c r="K370" s="3">
        <v>362.82848484848489</v>
      </c>
      <c r="L370" s="3">
        <v>315.64138469632741</v>
      </c>
      <c r="M370" s="5" t="str">
        <f>IF(Faturamento!$S764&lt;&gt;"","Não emitido",IF(Faturamento!$I764="NÃO","Pendente Fatura", IF(Faturamento!$R764&lt;&gt;"","Aprovado",IF(Faturamento!$O764&lt;&gt;0,"Pendente Emissão","Processo de Calculo"))))</f>
        <v>Aprovado</v>
      </c>
      <c r="N370" s="53">
        <v>208.82848484848483</v>
      </c>
      <c r="O370" s="53">
        <v>161.63999999999999</v>
      </c>
      <c r="P370" s="52">
        <v>45910</v>
      </c>
      <c r="Q370" s="52">
        <v>45920</v>
      </c>
      <c r="R370" s="53">
        <v>161.63999999999999</v>
      </c>
      <c r="S370" s="37"/>
      <c r="T370" s="51" t="s">
        <v>1424</v>
      </c>
      <c r="U370" s="51" t="s">
        <v>1425</v>
      </c>
      <c r="V370" s="37" t="s">
        <v>568</v>
      </c>
      <c r="W370" s="53">
        <v>161.63999999999999</v>
      </c>
      <c r="X370" s="123">
        <f>IF(Faturamento!$V560="Pago",IFERROR(W370-R370,0),0)</f>
        <v>0</v>
      </c>
      <c r="Y370" s="52"/>
      <c r="Z370" s="52"/>
      <c r="AA370" s="5"/>
      <c r="AB370" s="5"/>
      <c r="AI370"/>
    </row>
    <row r="371" spans="1:35" hidden="1" x14ac:dyDescent="0.3">
      <c r="A371" s="5" t="str">
        <f>VLOOKUP(B371,base!A:M,11,FALSE)</f>
        <v>BIFÁSICO</v>
      </c>
      <c r="B371" t="s">
        <v>257</v>
      </c>
      <c r="C371" s="1">
        <v>67993249456</v>
      </c>
      <c r="D371" s="60">
        <v>62955505239119</v>
      </c>
      <c r="E371" s="63" t="s">
        <v>433</v>
      </c>
      <c r="F371" t="s">
        <v>434</v>
      </c>
      <c r="G371" s="4">
        <v>45839</v>
      </c>
      <c r="H371" s="4" t="str">
        <f>Faturamento!$B665&amp;Faturamento!$G665</f>
        <v>10/76927-345839</v>
      </c>
      <c r="I371" t="s">
        <v>435</v>
      </c>
      <c r="J371" s="37">
        <v>207</v>
      </c>
      <c r="K371" s="53">
        <v>264.59200000000004</v>
      </c>
      <c r="L371" s="53">
        <v>216.82357920000004</v>
      </c>
      <c r="M371" s="5" t="str">
        <f>IF(Faturamento!$S665&lt;&gt;"","Não emitido",IF(Faturamento!$I665="NÃO","Pendente Fatura", IF(Faturamento!$R665&lt;&gt;"","Aprovado",IF(Faturamento!$O665&lt;&gt;0,"Pendente Emissão","Processo de Calculo"))))</f>
        <v>Aprovado</v>
      </c>
      <c r="N371" s="3">
        <v>209.33200000000005</v>
      </c>
      <c r="O371" s="3">
        <v>161.56</v>
      </c>
      <c r="P371" s="4">
        <v>45910</v>
      </c>
      <c r="Q371" s="4">
        <v>45920</v>
      </c>
      <c r="R371" s="3">
        <v>161.56</v>
      </c>
      <c r="S371"/>
      <c r="T371" s="51" t="s">
        <v>1243</v>
      </c>
      <c r="U371" s="51" t="s">
        <v>1244</v>
      </c>
      <c r="V371" t="s">
        <v>912</v>
      </c>
      <c r="W371" s="3"/>
      <c r="X371" s="123">
        <f>IF(Faturamento!$V842="Pago",IFERROR(W371-R371,0),0)</f>
        <v>0</v>
      </c>
      <c r="Y371" s="4"/>
      <c r="Z371" s="4"/>
      <c r="AA371" s="5"/>
      <c r="AB371" s="5"/>
      <c r="AI371"/>
    </row>
    <row r="372" spans="1:35" hidden="1" x14ac:dyDescent="0.3">
      <c r="A372" s="5" t="str">
        <f>VLOOKUP(B372,base!A:M,11,FALSE)</f>
        <v>TRIFÁSICO</v>
      </c>
      <c r="B372" t="s">
        <v>338</v>
      </c>
      <c r="C372" s="1" t="s">
        <v>341</v>
      </c>
      <c r="D372" s="60">
        <v>62955505122432</v>
      </c>
      <c r="E372" s="63" t="s">
        <v>433</v>
      </c>
      <c r="F372" t="s">
        <v>434</v>
      </c>
      <c r="G372" s="4">
        <v>45839</v>
      </c>
      <c r="H372" s="4" t="str">
        <f>Faturamento!$B657&amp;Faturamento!$G657</f>
        <v>10/24514-245748</v>
      </c>
      <c r="I372" t="s">
        <v>435</v>
      </c>
      <c r="J372" s="37">
        <v>208</v>
      </c>
      <c r="K372" s="53">
        <v>373.73000000000008</v>
      </c>
      <c r="L372" s="53">
        <v>325.72346200000004</v>
      </c>
      <c r="M372" s="5" t="str">
        <f>IF(Faturamento!$S657&lt;&gt;"","Não emitido",IF(Faturamento!$I657="NÃO","Pendente Fatura", IF(Faturamento!$R657&lt;&gt;"","Aprovado",IF(Faturamento!$O657&lt;&gt;0,"Pendente Emissão","Processo de Calculo"))))</f>
        <v>Aprovado</v>
      </c>
      <c r="N372" s="3">
        <v>209.27</v>
      </c>
      <c r="O372" s="3">
        <v>161.26</v>
      </c>
      <c r="P372" s="4">
        <v>45910</v>
      </c>
      <c r="Q372" s="4">
        <v>45920</v>
      </c>
      <c r="R372" s="3">
        <v>161.26</v>
      </c>
      <c r="S372"/>
      <c r="T372" s="51" t="s">
        <v>1227</v>
      </c>
      <c r="U372" s="51" t="s">
        <v>1228</v>
      </c>
      <c r="V372" t="s">
        <v>568</v>
      </c>
      <c r="W372" s="3">
        <v>161.26</v>
      </c>
      <c r="X372" s="123">
        <f>IF(Faturamento!$V559="Pago",IFERROR(W372-R372,0),0)</f>
        <v>0</v>
      </c>
      <c r="Y372" s="4"/>
      <c r="Z372" s="4"/>
      <c r="AA372" s="5"/>
      <c r="AB372" s="5"/>
      <c r="AI372"/>
    </row>
    <row r="373" spans="1:35" hidden="1" x14ac:dyDescent="0.3">
      <c r="A373" s="5" t="str">
        <f>VLOOKUP(B373,base!A:M,11,FALSE)</f>
        <v>BIFÁSICO</v>
      </c>
      <c r="B373" s="37" t="s">
        <v>137</v>
      </c>
      <c r="C373" s="56">
        <v>0</v>
      </c>
      <c r="D373" s="59">
        <v>62955505040894</v>
      </c>
      <c r="E373" s="37" t="s">
        <v>433</v>
      </c>
      <c r="F373" s="37" t="s">
        <v>434</v>
      </c>
      <c r="G373" s="52">
        <v>45901</v>
      </c>
      <c r="H373" s="52" t="str">
        <f>Faturamento!$B876&amp;Faturamento!$G876</f>
        <v>10/395471-645689</v>
      </c>
      <c r="I373" s="37" t="s">
        <v>435</v>
      </c>
      <c r="J373">
        <v>209</v>
      </c>
      <c r="K373" s="3">
        <v>289.76</v>
      </c>
      <c r="L373" s="3">
        <v>230.7262865161444</v>
      </c>
      <c r="M373" s="5" t="s">
        <v>1489</v>
      </c>
      <c r="N373" s="53">
        <v>219.80000000000004</v>
      </c>
      <c r="O373" s="53">
        <v>160.77000000000001</v>
      </c>
      <c r="P373" s="52">
        <v>45933</v>
      </c>
      <c r="Q373" s="52">
        <v>45943</v>
      </c>
      <c r="R373" s="53">
        <f>O373</f>
        <v>160.77000000000001</v>
      </c>
      <c r="S373" s="37"/>
      <c r="T373" s="51" t="s">
        <v>1631</v>
      </c>
      <c r="U373" s="51" t="s">
        <v>1632</v>
      </c>
      <c r="V373" s="37" t="s">
        <v>568</v>
      </c>
      <c r="W373" s="53">
        <f>R373</f>
        <v>160.77000000000001</v>
      </c>
      <c r="X373" s="123">
        <f>IF(Faturamento!$V558="Pago",IFERROR(W373-R373,0),0)</f>
        <v>0</v>
      </c>
      <c r="Y373" s="52"/>
      <c r="Z373" s="52"/>
      <c r="AA373" s="5"/>
      <c r="AB373" s="5"/>
      <c r="AI373"/>
    </row>
    <row r="374" spans="1:35" hidden="1" x14ac:dyDescent="0.3">
      <c r="A374" s="5" t="str">
        <f>VLOOKUP(B374,base!A:M,11,FALSE)</f>
        <v>TRIFÁSICO</v>
      </c>
      <c r="B374" s="37" t="s">
        <v>184</v>
      </c>
      <c r="C374" s="56">
        <v>67992637973</v>
      </c>
      <c r="D374" s="59">
        <v>62955505017213</v>
      </c>
      <c r="E374" s="37" t="s">
        <v>433</v>
      </c>
      <c r="F374" s="37" t="s">
        <v>434</v>
      </c>
      <c r="G374" s="52">
        <v>45809</v>
      </c>
      <c r="H374" s="52" t="str">
        <f>Faturamento!$B532&amp;Faturamento!$G532</f>
        <v>10/52987-545658</v>
      </c>
      <c r="I374" s="37" t="s">
        <v>435</v>
      </c>
      <c r="J374" s="37">
        <v>183</v>
      </c>
      <c r="K374" s="53">
        <v>356.33439999999996</v>
      </c>
      <c r="L374" s="53">
        <v>305.83141511847236</v>
      </c>
      <c r="M374" s="5" t="str">
        <f>IF(Faturamento!$S532&lt;&gt;"","Não emitido",IF(Faturamento!$I532="NÃO","Pendente Fatura", IF(Faturamento!$R532&lt;&gt;"","Aprovado",IF(Faturamento!$O532&lt;&gt;0,"Pendente Emissão","Processo de Calculo"))))</f>
        <v>Aprovado</v>
      </c>
      <c r="N374" s="53">
        <v>212.86439999999996</v>
      </c>
      <c r="O374" s="53">
        <v>159.65</v>
      </c>
      <c r="P374" s="52">
        <v>45860</v>
      </c>
      <c r="Q374" s="52">
        <v>45871</v>
      </c>
      <c r="R374" s="53">
        <v>159.65</v>
      </c>
      <c r="S374" s="37"/>
      <c r="T374" s="51" t="s">
        <v>1019</v>
      </c>
      <c r="U374" s="51" t="s">
        <v>1020</v>
      </c>
      <c r="V374" s="37" t="s">
        <v>568</v>
      </c>
      <c r="W374" s="53">
        <v>159.65</v>
      </c>
      <c r="X374" s="123">
        <f>IF(Faturamento!$V557="Pago",IFERROR(W374-R374,0),0)</f>
        <v>0</v>
      </c>
      <c r="Y374" s="52" t="s">
        <v>1015</v>
      </c>
      <c r="Z374" s="52"/>
      <c r="AA374" s="5"/>
      <c r="AB374" s="5"/>
      <c r="AI374"/>
    </row>
    <row r="375" spans="1:35" hidden="1" x14ac:dyDescent="0.3">
      <c r="A375" s="5" t="str">
        <f>VLOOKUP(B375,base!A:M,11,FALSE)</f>
        <v>BIFÁSICO</v>
      </c>
      <c r="B375" s="37" t="s">
        <v>198</v>
      </c>
      <c r="C375" s="56">
        <v>0</v>
      </c>
      <c r="D375" s="59">
        <v>62955505419443</v>
      </c>
      <c r="E375" s="37" t="s">
        <v>433</v>
      </c>
      <c r="F375" s="37" t="s">
        <v>434</v>
      </c>
      <c r="G375" s="52">
        <v>45870</v>
      </c>
      <c r="H375" s="52" t="str">
        <f>Faturamento!$B736&amp;Faturamento!$G736</f>
        <v>10/226667-445778</v>
      </c>
      <c r="I375" s="37" t="s">
        <v>435</v>
      </c>
      <c r="J375">
        <v>175</v>
      </c>
      <c r="K375" s="3">
        <v>267.01500000000004</v>
      </c>
      <c r="L375" s="3">
        <v>220.4591185698221</v>
      </c>
      <c r="M375" s="5" t="str">
        <f>IF(Faturamento!$S736&lt;&gt;"","Não emitido",IF(Faturamento!$I736="NÃO","Pendente Fatura", IF(Faturamento!$R736&lt;&gt;"","Aprovado",IF(Faturamento!$O736&lt;&gt;0,"Pendente Emissão","Processo de Calculo"))))</f>
        <v>Aprovado</v>
      </c>
      <c r="N375" s="53">
        <v>206.03500000000003</v>
      </c>
      <c r="O375" s="53">
        <v>159.47999999999999</v>
      </c>
      <c r="P375" s="52">
        <v>45910</v>
      </c>
      <c r="Q375" s="52">
        <v>45920</v>
      </c>
      <c r="R375" s="53">
        <v>159.47999999999999</v>
      </c>
      <c r="S375" s="37"/>
      <c r="T375" s="51" t="s">
        <v>1373</v>
      </c>
      <c r="U375" s="51" t="s">
        <v>1374</v>
      </c>
      <c r="V375" s="37" t="s">
        <v>568</v>
      </c>
      <c r="W375" s="53">
        <v>159.47999999999999</v>
      </c>
      <c r="X375" s="123">
        <f>IF(Faturamento!$V556="Pago",IFERROR(W375-R375,0),0)</f>
        <v>0</v>
      </c>
      <c r="Y375" s="52"/>
      <c r="Z375" s="52"/>
      <c r="AA375" s="5"/>
      <c r="AB375" s="5"/>
      <c r="AI375"/>
    </row>
    <row r="376" spans="1:35" hidden="1" x14ac:dyDescent="0.3">
      <c r="A376" s="5" t="str">
        <f>VLOOKUP(B376,base!A:M,11,FALSE)</f>
        <v>TRIFÁSICO</v>
      </c>
      <c r="B376" t="s">
        <v>294</v>
      </c>
      <c r="C376" s="1">
        <v>0</v>
      </c>
      <c r="D376" s="60">
        <v>62955505367117</v>
      </c>
      <c r="E376" s="63" t="s">
        <v>433</v>
      </c>
      <c r="F376" t="s">
        <v>434</v>
      </c>
      <c r="G376" s="4">
        <v>45870</v>
      </c>
      <c r="H376" s="4" t="str">
        <f>Faturamento!$B719&amp;Faturamento!$G719</f>
        <v>10/218777-145901</v>
      </c>
      <c r="I376" t="s">
        <v>435</v>
      </c>
      <c r="J376">
        <v>175</v>
      </c>
      <c r="K376" s="3">
        <v>380.77</v>
      </c>
      <c r="L376" s="3">
        <v>334.26721941257256</v>
      </c>
      <c r="M376" s="5" t="str">
        <f>IF(Faturamento!$S719&lt;&gt;"","Não emitido",IF(Faturamento!$I719="NÃO","Pendente Fatura", IF(Faturamento!$R719&lt;&gt;"","Aprovado",IF(Faturamento!$O719&lt;&gt;0,"Pendente Emissão","Processo de Calculo"))))</f>
        <v>Aprovado</v>
      </c>
      <c r="N376" s="3">
        <v>205.80000000000004</v>
      </c>
      <c r="O376" s="3">
        <v>159.30000000000001</v>
      </c>
      <c r="P376" s="4">
        <v>45910</v>
      </c>
      <c r="Q376" s="4">
        <v>45920</v>
      </c>
      <c r="R376" s="3">
        <v>159.30000000000001</v>
      </c>
      <c r="S376"/>
      <c r="T376" s="51" t="s">
        <v>1341</v>
      </c>
      <c r="U376" s="51" t="s">
        <v>1342</v>
      </c>
      <c r="V376" t="s">
        <v>568</v>
      </c>
      <c r="W376" s="3">
        <v>159.30000000000001</v>
      </c>
      <c r="X376" s="123">
        <f>IF(Faturamento!$V555="Pago",IFERROR(W376-R376,0),0)</f>
        <v>0</v>
      </c>
      <c r="Y376" s="4"/>
      <c r="Z376" s="4"/>
      <c r="AA376" s="5"/>
      <c r="AB376" s="5"/>
      <c r="AI376"/>
    </row>
    <row r="377" spans="1:35" hidden="1" x14ac:dyDescent="0.3">
      <c r="A377" s="5" t="str">
        <f>VLOOKUP(B377,base!A:M,11,FALSE)</f>
        <v>TRIFÁSICO</v>
      </c>
      <c r="B377" t="s">
        <v>224</v>
      </c>
      <c r="C377" s="1" t="s">
        <v>226</v>
      </c>
      <c r="D377" s="60">
        <v>62955505177504</v>
      </c>
      <c r="E377" s="63" t="s">
        <v>433</v>
      </c>
      <c r="F377" t="s">
        <v>434</v>
      </c>
      <c r="G377" s="4">
        <v>45778</v>
      </c>
      <c r="H377" s="4" t="str">
        <f>Faturamento!$B443&amp;Faturamento!$G443</f>
        <v>10/399338-345870</v>
      </c>
      <c r="I377" t="s">
        <v>435</v>
      </c>
      <c r="J377">
        <v>186</v>
      </c>
      <c r="K377" s="3">
        <v>369.52699999999999</v>
      </c>
      <c r="L377" s="3">
        <v>316.46524999999997</v>
      </c>
      <c r="M377" s="5" t="str">
        <f>IF(Faturamento!$S443&lt;&gt;"","Não emitido",IF(Faturamento!$I443="NÃO","Pendente Fatura", IF(Faturamento!$R443&lt;&gt;"","Aprovado",IF(Faturamento!$O443&lt;&gt;0,"Pendente Emissão","Processo de Calculo"))))</f>
        <v>Aprovado</v>
      </c>
      <c r="N377" s="3">
        <v>212.24700000000001</v>
      </c>
      <c r="O377" s="3">
        <v>159.19</v>
      </c>
      <c r="P377" s="4"/>
      <c r="Q377" s="4"/>
      <c r="R377" s="3">
        <v>159.19</v>
      </c>
      <c r="S377"/>
      <c r="T377" s="51" t="s">
        <v>938</v>
      </c>
      <c r="U377" s="51"/>
      <c r="V377" t="s">
        <v>568</v>
      </c>
      <c r="W377" s="3">
        <v>159.19</v>
      </c>
      <c r="X377" s="123">
        <f>IF(Faturamento!$V554="Pago",IFERROR(W377-R377,0),0)</f>
        <v>0</v>
      </c>
      <c r="Y377" s="4"/>
      <c r="Z377" s="4"/>
      <c r="AA377" s="5"/>
      <c r="AB377" s="5"/>
      <c r="AI377"/>
    </row>
    <row r="378" spans="1:35" hidden="1" x14ac:dyDescent="0.3">
      <c r="A378" s="5" t="str">
        <f>VLOOKUP(B378,base!A:M,11,FALSE)</f>
        <v>TRIFÁSICO</v>
      </c>
      <c r="B378" t="s">
        <v>181</v>
      </c>
      <c r="C378" s="1">
        <v>67996150274</v>
      </c>
      <c r="D378" s="60">
        <v>62955505197360</v>
      </c>
      <c r="E378" s="63" t="s">
        <v>433</v>
      </c>
      <c r="F378" t="s">
        <v>434</v>
      </c>
      <c r="G378" s="4">
        <v>45778</v>
      </c>
      <c r="H378" s="4" t="str">
        <f>Faturamento!$B461&amp;Faturamento!$G461</f>
        <v>10/1548741-645901</v>
      </c>
      <c r="I378" t="s">
        <v>435</v>
      </c>
      <c r="J378">
        <v>186</v>
      </c>
      <c r="K378" s="3">
        <v>433.51499999999999</v>
      </c>
      <c r="L378" s="3">
        <v>380.78125</v>
      </c>
      <c r="M378" s="5" t="str">
        <f>IF(Faturamento!$S461&lt;&gt;"","Não emitido",IF(Faturamento!$I461="NÃO","Pendente Fatura", IF(Faturamento!$R461&lt;&gt;"","Aprovado",IF(Faturamento!$O461&lt;&gt;0,"Pendente Emissão","Processo de Calculo"))))</f>
        <v>Aprovado</v>
      </c>
      <c r="N378" s="3">
        <v>210.935</v>
      </c>
      <c r="O378" s="3">
        <v>158.19999999999999</v>
      </c>
      <c r="P378" s="4"/>
      <c r="Q378" s="4"/>
      <c r="R378" s="3">
        <v>158.19999999999999</v>
      </c>
      <c r="S378"/>
      <c r="T378" s="51" t="s">
        <v>953</v>
      </c>
      <c r="U378" s="51"/>
      <c r="V378" t="s">
        <v>369</v>
      </c>
      <c r="W378" s="3">
        <v>0</v>
      </c>
      <c r="X378" s="123">
        <f>IF(Faturamento!$V182="Pago",IFERROR(W378-R378,0),0)</f>
        <v>-158.19999999999999</v>
      </c>
      <c r="Y378" s="4"/>
      <c r="Z378" s="196" t="s">
        <v>1795</v>
      </c>
      <c r="AA378" s="5"/>
      <c r="AB378" s="5"/>
      <c r="AI378"/>
    </row>
    <row r="379" spans="1:35" hidden="1" x14ac:dyDescent="0.3">
      <c r="A379" s="5" t="str">
        <f>VLOOKUP(B379,base!A:M,11,FALSE)</f>
        <v>TRIFÁSICO</v>
      </c>
      <c r="B379" s="37" t="s">
        <v>191</v>
      </c>
      <c r="C379" s="56">
        <v>67991767866</v>
      </c>
      <c r="D379" s="59">
        <v>62955505461210</v>
      </c>
      <c r="E379" s="37" t="s">
        <v>433</v>
      </c>
      <c r="F379" s="37" t="s">
        <v>434</v>
      </c>
      <c r="G379" s="52">
        <v>45748</v>
      </c>
      <c r="H379" s="52" t="str">
        <f>Faturamento!$B354&amp;Faturamento!$G354</f>
        <v>10/341308-545870</v>
      </c>
      <c r="I379" s="37" t="s">
        <v>435</v>
      </c>
      <c r="J379" s="37">
        <v>192</v>
      </c>
      <c r="K379" s="53">
        <v>460.03000000000003</v>
      </c>
      <c r="L379" s="53">
        <v>407.77000000000004</v>
      </c>
      <c r="M379" s="5" t="str">
        <f>IF(Faturamento!$S354&lt;&gt;"","Não emitido",IF(Faturamento!$I354="NÃO","Pendente Fatura", IF(Faturamento!$R354&lt;&gt;"","Aprovado",IF(Faturamento!$O354&lt;&gt;0,"Pendente Emissão","Processo de Calculo"))))</f>
        <v>Aprovado</v>
      </c>
      <c r="N379" s="53">
        <v>209.04000000000002</v>
      </c>
      <c r="O379" s="53">
        <v>156.78</v>
      </c>
      <c r="P379" s="52"/>
      <c r="Q379" s="52"/>
      <c r="R379" s="53">
        <v>156.78</v>
      </c>
      <c r="S379" s="37"/>
      <c r="T379" s="51" t="s">
        <v>855</v>
      </c>
      <c r="U379" s="51"/>
      <c r="V379" s="37" t="s">
        <v>568</v>
      </c>
      <c r="W379" s="53">
        <v>156.78</v>
      </c>
      <c r="X379" s="123">
        <f>IF(Faturamento!$V553="Pago",IFERROR(W379-R379,0),0)</f>
        <v>0</v>
      </c>
      <c r="Y379" s="52"/>
      <c r="Z379" s="52"/>
      <c r="AA379" s="5"/>
      <c r="AB379" s="5"/>
      <c r="AI379"/>
    </row>
    <row r="380" spans="1:35" hidden="1" x14ac:dyDescent="0.3">
      <c r="A380" s="5" t="str">
        <f>VLOOKUP(B380,base!A:M,11,FALSE)</f>
        <v>BIFÁSICO</v>
      </c>
      <c r="B380" t="s">
        <v>153</v>
      </c>
      <c r="C380" s="1" t="s">
        <v>154</v>
      </c>
      <c r="D380" s="60">
        <v>62955505405140</v>
      </c>
      <c r="E380" s="63" t="s">
        <v>433</v>
      </c>
      <c r="F380" t="s">
        <v>434</v>
      </c>
      <c r="G380" s="4">
        <v>45839</v>
      </c>
      <c r="H380" s="4" t="str">
        <f>Faturamento!$B667&amp;Faturamento!$G667</f>
        <v>10/530195-745931</v>
      </c>
      <c r="I380" t="s">
        <v>435</v>
      </c>
      <c r="J380" s="37">
        <v>202</v>
      </c>
      <c r="K380" s="53">
        <v>276.86249999999995</v>
      </c>
      <c r="L380" s="53">
        <v>230.23637649999995</v>
      </c>
      <c r="M380" s="5" t="str">
        <f>IF(Faturamento!$S667&lt;&gt;"","Não emitido",IF(Faturamento!$I667="NÃO","Pendente Fatura", IF(Faturamento!$R667&lt;&gt;"","Aprovado",IF(Faturamento!$O667&lt;&gt;0,"Pendente Emissão","Processo de Calculo"))))</f>
        <v>Aprovado</v>
      </c>
      <c r="N380" s="3">
        <v>203.2525</v>
      </c>
      <c r="O380" s="3">
        <v>156.63</v>
      </c>
      <c r="P380" s="4">
        <v>45910</v>
      </c>
      <c r="Q380" s="4">
        <v>45920</v>
      </c>
      <c r="R380" s="3">
        <v>156.63</v>
      </c>
      <c r="S380"/>
      <c r="T380" s="51" t="s">
        <v>1247</v>
      </c>
      <c r="U380" s="51" t="s">
        <v>1248</v>
      </c>
      <c r="V380" t="s">
        <v>568</v>
      </c>
      <c r="W380" s="3">
        <v>203.25</v>
      </c>
      <c r="X380" s="123">
        <f>IF(Faturamento!$V619="Pago",IFERROR(W380-R380,0),0)</f>
        <v>46.620000000000005</v>
      </c>
      <c r="Y380" s="4">
        <v>45931</v>
      </c>
      <c r="Z380" s="4"/>
      <c r="AA380" s="5"/>
      <c r="AB380" s="5"/>
      <c r="AI380"/>
    </row>
    <row r="381" spans="1:35" hidden="1" x14ac:dyDescent="0.3">
      <c r="A381" s="5" t="str">
        <f>VLOOKUP(B381,base!A:M,11,FALSE)</f>
        <v>TRIFÁSICO</v>
      </c>
      <c r="B381" s="37" t="s">
        <v>345</v>
      </c>
      <c r="C381" s="56" t="s">
        <v>346</v>
      </c>
      <c r="D381" s="59">
        <v>62955505402710</v>
      </c>
      <c r="E381" s="37" t="s">
        <v>433</v>
      </c>
      <c r="F381" s="37" t="s">
        <v>434</v>
      </c>
      <c r="G381" s="52">
        <v>45839</v>
      </c>
      <c r="H381" s="52" t="str">
        <f>Faturamento!$B696&amp;Faturamento!$G696</f>
        <v>10/987178-145901</v>
      </c>
      <c r="I381" s="37" t="s">
        <v>435</v>
      </c>
      <c r="J381" s="37">
        <v>174</v>
      </c>
      <c r="K381" s="53">
        <v>373.93562499999996</v>
      </c>
      <c r="L381" s="53">
        <v>328.51542862499991</v>
      </c>
      <c r="M381" s="5" t="str">
        <f>IF(Faturamento!$S696&lt;&gt;"","Não emitido",IF(Faturamento!$I696="NÃO","Pendente Fatura", IF(Faturamento!$R696&lt;&gt;"","Aprovado",IF(Faturamento!$O696&lt;&gt;0,"Pendente Emissão","Processo de Calculo"))))</f>
        <v>Aprovado</v>
      </c>
      <c r="N381" s="53">
        <v>201.77562499999999</v>
      </c>
      <c r="O381" s="53">
        <v>156.36000000000001</v>
      </c>
      <c r="P381" s="52">
        <v>45910</v>
      </c>
      <c r="Q381" s="52">
        <v>45920</v>
      </c>
      <c r="R381" s="53">
        <v>156.36000000000001</v>
      </c>
      <c r="S381" s="37"/>
      <c r="T381" s="51" t="s">
        <v>1299</v>
      </c>
      <c r="U381" s="51" t="s">
        <v>1300</v>
      </c>
      <c r="V381" s="37" t="s">
        <v>568</v>
      </c>
      <c r="W381" s="53">
        <v>156.36000000000001</v>
      </c>
      <c r="X381" s="123">
        <f>IF(Faturamento!$V552="Pago",IFERROR(W381-R381,0),0)</f>
        <v>0</v>
      </c>
      <c r="Y381" s="52"/>
      <c r="Z381" s="52"/>
      <c r="AA381" s="5"/>
      <c r="AB381" s="5"/>
      <c r="AI381"/>
    </row>
    <row r="382" spans="1:35" hidden="1" x14ac:dyDescent="0.3">
      <c r="A382" s="5" t="str">
        <f>VLOOKUP(B382,base!A:M,11,FALSE)</f>
        <v>TRIFÁSICO</v>
      </c>
      <c r="B382" s="37" t="s">
        <v>118</v>
      </c>
      <c r="C382" s="56">
        <v>67996135721</v>
      </c>
      <c r="D382" s="59">
        <v>62955505182257</v>
      </c>
      <c r="E382" s="37" t="s">
        <v>433</v>
      </c>
      <c r="F382" s="37" t="s">
        <v>434</v>
      </c>
      <c r="G382" s="52">
        <v>45809</v>
      </c>
      <c r="H382" s="52" t="str">
        <f>Faturamento!$B540&amp;Faturamento!$G540</f>
        <v>10/3123706-845658</v>
      </c>
      <c r="I382" s="37" t="s">
        <v>435</v>
      </c>
      <c r="J382" s="37">
        <v>198</v>
      </c>
      <c r="K382" s="53">
        <v>382.78945945945941</v>
      </c>
      <c r="L382" s="53">
        <v>333.3339380117975</v>
      </c>
      <c r="M382" s="5" t="str">
        <f>IF(Faturamento!$S540&lt;&gt;"","Não emitido",IF(Faturamento!$I540="NÃO","Pendente Fatura", IF(Faturamento!$R540&lt;&gt;"","Aprovado",IF(Faturamento!$O540&lt;&gt;0,"Pendente Emissão","Processo de Calculo"))))</f>
        <v>Aprovado</v>
      </c>
      <c r="N382" s="53">
        <v>208.44945945945943</v>
      </c>
      <c r="O382" s="53">
        <v>156.34</v>
      </c>
      <c r="P382" s="52">
        <v>45860</v>
      </c>
      <c r="Q382" s="52">
        <v>45871</v>
      </c>
      <c r="R382" s="53">
        <v>156.34</v>
      </c>
      <c r="S382" s="37"/>
      <c r="T382" s="51" t="s">
        <v>1036</v>
      </c>
      <c r="U382" s="51" t="s">
        <v>1037</v>
      </c>
      <c r="V382" s="37" t="s">
        <v>568</v>
      </c>
      <c r="W382" s="53">
        <v>156.34</v>
      </c>
      <c r="X382" s="123">
        <f>IF(Faturamento!$V551="Pago",IFERROR(W382-R382,0),0)</f>
        <v>0</v>
      </c>
      <c r="Y382" s="52" t="s">
        <v>1031</v>
      </c>
      <c r="Z382" s="52"/>
      <c r="AA382" s="5"/>
      <c r="AB382" s="5"/>
      <c r="AI382"/>
    </row>
    <row r="383" spans="1:35" hidden="1" x14ac:dyDescent="0.3">
      <c r="A383" s="5" t="str">
        <f>VLOOKUP(B383,base!A:M,11,FALSE)</f>
        <v>BIFÁSICO</v>
      </c>
      <c r="B383" t="s">
        <v>208</v>
      </c>
      <c r="C383" s="1">
        <v>0</v>
      </c>
      <c r="D383" s="60">
        <v>62955505016594</v>
      </c>
      <c r="E383" s="63" t="s">
        <v>433</v>
      </c>
      <c r="F383" t="s">
        <v>434</v>
      </c>
      <c r="G383" s="4">
        <v>45901</v>
      </c>
      <c r="H383" s="4" t="str">
        <f>Faturamento!$B871&amp;Faturamento!$G871</f>
        <v>10/239312-245689</v>
      </c>
      <c r="I383" t="s">
        <v>435</v>
      </c>
      <c r="J383">
        <v>202</v>
      </c>
      <c r="K383" s="3">
        <v>323.49266666666665</v>
      </c>
      <c r="L383" s="3">
        <v>266.45378060751119</v>
      </c>
      <c r="M383" s="5" t="s">
        <v>1489</v>
      </c>
      <c r="N383" s="3">
        <v>212.37266666666665</v>
      </c>
      <c r="O383" s="3">
        <v>155.33000000000001</v>
      </c>
      <c r="P383" s="4">
        <v>45933</v>
      </c>
      <c r="Q383" s="4">
        <v>45943</v>
      </c>
      <c r="R383" s="3">
        <f>O383</f>
        <v>155.33000000000001</v>
      </c>
      <c r="S383"/>
      <c r="T383" s="51" t="s">
        <v>1621</v>
      </c>
      <c r="U383" s="51" t="s">
        <v>1622</v>
      </c>
      <c r="V383" t="s">
        <v>568</v>
      </c>
      <c r="W383" s="3">
        <f>R383</f>
        <v>155.33000000000001</v>
      </c>
      <c r="X383" s="123">
        <f>IF(Faturamento!$V550="Pago",IFERROR(W383-R383,0),0)</f>
        <v>0</v>
      </c>
      <c r="Y383" s="4"/>
      <c r="Z383" s="4"/>
      <c r="AA383" s="5"/>
      <c r="AB383" s="5"/>
      <c r="AI383"/>
    </row>
    <row r="384" spans="1:35" hidden="1" x14ac:dyDescent="0.3">
      <c r="A384" s="5" t="str">
        <f>VLOOKUP(B384,base!A:M,11,FALSE)</f>
        <v>TRIFÁSICO</v>
      </c>
      <c r="B384" t="s">
        <v>134</v>
      </c>
      <c r="C384" s="1">
        <v>67999516782</v>
      </c>
      <c r="D384" s="60">
        <v>62955505892114</v>
      </c>
      <c r="E384" s="63" t="s">
        <v>433</v>
      </c>
      <c r="F384" t="s">
        <v>434</v>
      </c>
      <c r="G384" s="4">
        <v>45658</v>
      </c>
      <c r="H384" s="4" t="str">
        <f>Faturamento!$B47&amp;Faturamento!$G47</f>
        <v>10/29964-445931</v>
      </c>
      <c r="I384" t="s">
        <v>435</v>
      </c>
      <c r="J384">
        <v>193</v>
      </c>
      <c r="K384" s="3">
        <v>359.96999999999997</v>
      </c>
      <c r="L384" s="3">
        <v>308.52249999999998</v>
      </c>
      <c r="M384" s="5" t="str">
        <f>IF(Faturamento!$S47&lt;&gt;"","Não emitido",IF(Faturamento!$I47="NÃO","Pendente Fatura", IF(Faturamento!$R47&lt;&gt;"","Aprovado",IF(Faturamento!$O47&lt;&gt;0,"Pendente Emissão","Processo de Calculo"))))</f>
        <v>Aprovado</v>
      </c>
      <c r="N384" s="3">
        <v>205.79</v>
      </c>
      <c r="O384" s="3">
        <v>154.34</v>
      </c>
      <c r="P384" s="4"/>
      <c r="Q384" s="4"/>
      <c r="R384" s="3">
        <v>154.34</v>
      </c>
      <c r="S384"/>
      <c r="T384" s="51" t="s">
        <v>574</v>
      </c>
      <c r="U384" s="51"/>
      <c r="V384" t="s">
        <v>568</v>
      </c>
      <c r="W384" s="3">
        <v>154.34</v>
      </c>
      <c r="X384" s="123">
        <f>IF(Faturamento!$V549="Pago",IFERROR(W384-R384,0),0)</f>
        <v>0</v>
      </c>
      <c r="Y384" s="4">
        <v>45901</v>
      </c>
      <c r="Z384" s="4"/>
      <c r="AA384" s="5">
        <v>283032</v>
      </c>
      <c r="AB384" s="5">
        <v>502</v>
      </c>
      <c r="AC384" s="5" t="s">
        <v>434</v>
      </c>
      <c r="AD384" s="5" t="s">
        <v>575</v>
      </c>
      <c r="AE384" s="5">
        <v>118.89</v>
      </c>
      <c r="AG384" s="5" t="s">
        <v>576</v>
      </c>
      <c r="AH384" s="5" t="s">
        <v>441</v>
      </c>
      <c r="AI384"/>
    </row>
    <row r="385" spans="1:35" hidden="1" x14ac:dyDescent="0.3">
      <c r="A385" s="5" t="str">
        <f>VLOOKUP(B385,base!A:M,11,FALSE)</f>
        <v>BIFÁSICO</v>
      </c>
      <c r="B385" s="37" t="s">
        <v>114</v>
      </c>
      <c r="C385" s="56" t="s">
        <v>116</v>
      </c>
      <c r="D385" s="59">
        <v>62955505393207</v>
      </c>
      <c r="E385" s="37" t="s">
        <v>433</v>
      </c>
      <c r="F385" s="37" t="s">
        <v>434</v>
      </c>
      <c r="G385" s="52">
        <v>45717</v>
      </c>
      <c r="H385" s="52" t="str">
        <f>Faturamento!$B274&amp;Faturamento!$G274</f>
        <v>10/3005226-045748</v>
      </c>
      <c r="I385" s="37" t="s">
        <v>435</v>
      </c>
      <c r="J385">
        <v>184</v>
      </c>
      <c r="K385" s="3">
        <v>304.09999999999997</v>
      </c>
      <c r="L385" s="3">
        <v>252.75749999999999</v>
      </c>
      <c r="M385" s="5" t="str">
        <f>IF(Faturamento!$S274&lt;&gt;"","Não emitido",IF(Faturamento!$I274="NÃO","Pendente Fatura", IF(Faturamento!$R274&lt;&gt;"","Aprovado",IF(Faturamento!$O274&lt;&gt;0,"Pendente Emissão","Processo de Calculo"))))</f>
        <v>Aprovado</v>
      </c>
      <c r="N385" s="53">
        <v>205.37</v>
      </c>
      <c r="O385" s="53">
        <v>154.03</v>
      </c>
      <c r="P385" s="52"/>
      <c r="Q385" s="52"/>
      <c r="R385" s="53">
        <v>154.03</v>
      </c>
      <c r="S385" s="37"/>
      <c r="T385" s="51" t="s">
        <v>814</v>
      </c>
      <c r="U385" s="51"/>
      <c r="V385" s="37" t="s">
        <v>568</v>
      </c>
      <c r="W385" s="53">
        <v>154.03</v>
      </c>
      <c r="X385" s="123">
        <f>IF(Faturamento!$V548="Pago",IFERROR(W385-R385,0),0)</f>
        <v>0</v>
      </c>
      <c r="Y385" s="52"/>
      <c r="Z385" s="52"/>
      <c r="AA385" s="5"/>
      <c r="AB385" s="5"/>
      <c r="AI385" t="str">
        <f>VLOOKUP(B385,'[1]Conciliação - 032025'!$A:$L,12,FALSE)</f>
        <v>DEPÓSITO ÚNICO ITAU 04/06/2025</v>
      </c>
    </row>
    <row r="386" spans="1:35" hidden="1" x14ac:dyDescent="0.3">
      <c r="A386" s="5" t="str">
        <f>VLOOKUP(B386,base!A:M,11,FALSE)</f>
        <v>BIFÁSICO</v>
      </c>
      <c r="B386" s="37" t="s">
        <v>348</v>
      </c>
      <c r="C386" s="56">
        <v>0</v>
      </c>
      <c r="D386" s="59">
        <v>62955505897930</v>
      </c>
      <c r="E386" s="37" t="s">
        <v>433</v>
      </c>
      <c r="F386" s="37" t="s">
        <v>434</v>
      </c>
      <c r="G386" s="52">
        <v>45901</v>
      </c>
      <c r="H386" s="52" t="str">
        <f>Faturamento!$B886&amp;Faturamento!$G886</f>
        <v>10/489076-045717</v>
      </c>
      <c r="I386" s="37" t="s">
        <v>435</v>
      </c>
      <c r="J386">
        <v>200</v>
      </c>
      <c r="K386" s="3">
        <v>667.30221556886227</v>
      </c>
      <c r="L386" s="3">
        <v>610.83821020503888</v>
      </c>
      <c r="M386" s="5" t="s">
        <v>1489</v>
      </c>
      <c r="N386" s="53">
        <v>210.2322155688623</v>
      </c>
      <c r="O386" s="53">
        <v>153.77000000000001</v>
      </c>
      <c r="P386" s="52">
        <v>45933</v>
      </c>
      <c r="Q386" s="52">
        <v>45943</v>
      </c>
      <c r="R386" s="53">
        <f>O386</f>
        <v>153.77000000000001</v>
      </c>
      <c r="S386" s="37"/>
      <c r="T386" s="51" t="s">
        <v>1647</v>
      </c>
      <c r="U386" s="51" t="s">
        <v>1648</v>
      </c>
      <c r="V386" s="37" t="s">
        <v>568</v>
      </c>
      <c r="W386" s="53">
        <f>O386</f>
        <v>153.77000000000001</v>
      </c>
      <c r="X386" s="123">
        <f>IF(Faturamento!$V547="Pago",IFERROR(W386-R386,0),0)</f>
        <v>0</v>
      </c>
      <c r="Y386" s="52"/>
      <c r="Z386" s="52"/>
      <c r="AA386" s="5"/>
      <c r="AB386" s="5"/>
      <c r="AI386"/>
    </row>
    <row r="387" spans="1:35" hidden="1" x14ac:dyDescent="0.3">
      <c r="A387" s="5" t="str">
        <f>VLOOKUP(B387,base!A:M,11,FALSE)</f>
        <v>BIFÁSICO</v>
      </c>
      <c r="B387" s="37" t="s">
        <v>280</v>
      </c>
      <c r="C387" s="56">
        <v>67998302932</v>
      </c>
      <c r="D387" s="59">
        <v>62955505015512</v>
      </c>
      <c r="E387" s="37" t="s">
        <v>433</v>
      </c>
      <c r="F387" s="37" t="s">
        <v>434</v>
      </c>
      <c r="G387" s="52">
        <v>45839</v>
      </c>
      <c r="H387" s="52" t="str">
        <f>Faturamento!$B684&amp;Faturamento!$G684</f>
        <v>10/384823-145658</v>
      </c>
      <c r="I387" s="37" t="s">
        <v>435</v>
      </c>
      <c r="J387" s="37">
        <v>197</v>
      </c>
      <c r="K387" s="53">
        <v>306.1488235294118</v>
      </c>
      <c r="L387" s="53">
        <v>260.69348341176476</v>
      </c>
      <c r="M387" s="5" t="str">
        <f>IF(Faturamento!$S684&lt;&gt;"","Não emitido",IF(Faturamento!$I684="NÃO","Pendente Fatura", IF(Faturamento!$R684&lt;&gt;"","Aprovado",IF(Faturamento!$O684&lt;&gt;0,"Pendente Emissão","Processo de Calculo"))))</f>
        <v>Aprovado</v>
      </c>
      <c r="N387" s="53">
        <v>199.14882352941174</v>
      </c>
      <c r="O387" s="53">
        <v>153.69</v>
      </c>
      <c r="P387" s="52">
        <v>45910</v>
      </c>
      <c r="Q387" s="52">
        <v>45920</v>
      </c>
      <c r="R387" s="53">
        <v>153.69</v>
      </c>
      <c r="S387" s="37"/>
      <c r="T387" s="51" t="s">
        <v>1280</v>
      </c>
      <c r="U387" s="51" t="s">
        <v>1281</v>
      </c>
      <c r="V387" s="37" t="s">
        <v>568</v>
      </c>
      <c r="W387" s="53">
        <v>153.69</v>
      </c>
      <c r="X387" s="123">
        <f>IF(Faturamento!$V546="Pago",IFERROR(W387-R387,0),0)</f>
        <v>0</v>
      </c>
      <c r="Y387" s="52"/>
      <c r="Z387" s="52"/>
      <c r="AA387" s="5"/>
      <c r="AB387" s="5"/>
      <c r="AI387"/>
    </row>
    <row r="388" spans="1:35" hidden="1" x14ac:dyDescent="0.3">
      <c r="A388" s="5" t="str">
        <f>VLOOKUP(B388,base!A:M,11,FALSE)</f>
        <v>BIFÁSICO</v>
      </c>
      <c r="B388" t="s">
        <v>158</v>
      </c>
      <c r="C388" s="1">
        <v>0</v>
      </c>
      <c r="D388" s="60">
        <v>62955505197521</v>
      </c>
      <c r="E388" s="63" t="s">
        <v>433</v>
      </c>
      <c r="F388" t="s">
        <v>434</v>
      </c>
      <c r="G388" s="4">
        <v>45870</v>
      </c>
      <c r="H388" s="4" t="str">
        <f>Faturamento!$B775&amp;Faturamento!$G775</f>
        <v>10/41548-945839</v>
      </c>
      <c r="I388" t="s">
        <v>435</v>
      </c>
      <c r="J388">
        <v>194</v>
      </c>
      <c r="K388" s="3">
        <v>250.18777777777777</v>
      </c>
      <c r="L388" s="3">
        <v>205.33049564607865</v>
      </c>
      <c r="M388" s="5" t="str">
        <f>IF(Faturamento!$S775&lt;&gt;"","Não emitido",IF(Faturamento!$I775="NÃO","Pendente Fatura", IF(Faturamento!$R775&lt;&gt;"","Aprovado",IF(Faturamento!$O775&lt;&gt;0,"Pendente Emissão","Processo de Calculo"))))</f>
        <v>Aprovado</v>
      </c>
      <c r="N388" s="3">
        <v>198.51777777777778</v>
      </c>
      <c r="O388" s="3">
        <v>153.66</v>
      </c>
      <c r="P388" s="4">
        <v>45910</v>
      </c>
      <c r="Q388" s="4">
        <v>45920</v>
      </c>
      <c r="R388" s="3">
        <v>153.66</v>
      </c>
      <c r="S388"/>
      <c r="T388" s="51" t="s">
        <v>1446</v>
      </c>
      <c r="U388" s="51" t="s">
        <v>1447</v>
      </c>
      <c r="V388" t="s">
        <v>568</v>
      </c>
      <c r="W388" s="3">
        <v>153.66</v>
      </c>
      <c r="X388" s="123">
        <f>IF(Faturamento!$V545="Pago",IFERROR(W388-R388,0),0)</f>
        <v>0</v>
      </c>
      <c r="Y388" s="4"/>
      <c r="Z388" s="4"/>
      <c r="AA388" s="5"/>
      <c r="AB388" s="5"/>
      <c r="AI388"/>
    </row>
    <row r="389" spans="1:35" hidden="1" x14ac:dyDescent="0.3">
      <c r="A389" s="5" t="str">
        <f>VLOOKUP(B389,base!A:M,11,FALSE)</f>
        <v>TRIFÁSICO</v>
      </c>
      <c r="B389" s="37" t="s">
        <v>238</v>
      </c>
      <c r="C389" s="56">
        <v>67996266684</v>
      </c>
      <c r="D389" s="59">
        <v>62955505016080</v>
      </c>
      <c r="E389" s="37" t="s">
        <v>433</v>
      </c>
      <c r="F389" s="37" t="s">
        <v>434</v>
      </c>
      <c r="G389" s="52">
        <v>45809</v>
      </c>
      <c r="H389" s="52" t="str">
        <f>Faturamento!$B536&amp;Faturamento!$G536</f>
        <v>10/987178-145870</v>
      </c>
      <c r="I389" s="37" t="s">
        <v>435</v>
      </c>
      <c r="J389" s="37">
        <v>176</v>
      </c>
      <c r="K389" s="53">
        <v>472.0942222222223</v>
      </c>
      <c r="L389" s="53">
        <v>423.95670445298424</v>
      </c>
      <c r="M389" s="5" t="str">
        <f>IF(Faturamento!$S536&lt;&gt;"","Não emitido",IF(Faturamento!$I536="NÃO","Pendente Fatura", IF(Faturamento!$R536&lt;&gt;"","Aprovado",IF(Faturamento!$O536&lt;&gt;0,"Pendente Emissão","Processo de Calculo"))))</f>
        <v>Aprovado</v>
      </c>
      <c r="N389" s="53">
        <v>202.89422222222225</v>
      </c>
      <c r="O389" s="53">
        <v>152.16999999999999</v>
      </c>
      <c r="P389" s="52">
        <v>45860</v>
      </c>
      <c r="Q389" s="52">
        <v>45871</v>
      </c>
      <c r="R389" s="53">
        <v>152.16999999999999</v>
      </c>
      <c r="S389" s="37"/>
      <c r="T389" s="51" t="s">
        <v>1027</v>
      </c>
      <c r="U389" s="51" t="s">
        <v>1028</v>
      </c>
      <c r="V389" s="37" t="s">
        <v>568</v>
      </c>
      <c r="W389" s="53">
        <v>152.16999999999999</v>
      </c>
      <c r="X389" s="123">
        <f>IF(Faturamento!$V544="Pago",IFERROR(W389-R389,0),0)</f>
        <v>0</v>
      </c>
      <c r="Y389" s="52" t="s">
        <v>1015</v>
      </c>
      <c r="Z389" s="52"/>
      <c r="AA389" s="5"/>
      <c r="AB389" s="5"/>
      <c r="AI389"/>
    </row>
    <row r="390" spans="1:35" hidden="1" x14ac:dyDescent="0.3">
      <c r="A390" s="5" t="str">
        <f>VLOOKUP(B390,base!A:M,11,FALSE)</f>
        <v>TRIFÁSICO</v>
      </c>
      <c r="B390" t="s">
        <v>177</v>
      </c>
      <c r="C390" s="1" t="s">
        <v>179</v>
      </c>
      <c r="D390" s="60">
        <v>62955505015350</v>
      </c>
      <c r="E390" s="63" t="s">
        <v>433</v>
      </c>
      <c r="F390" t="s">
        <v>434</v>
      </c>
      <c r="G390" s="4">
        <v>45778</v>
      </c>
      <c r="H390" s="4" t="str">
        <f>Faturamento!$B447&amp;Faturamento!$G447</f>
        <v>10/2599101-945839</v>
      </c>
      <c r="I390" t="s">
        <v>435</v>
      </c>
      <c r="J390">
        <v>192</v>
      </c>
      <c r="K390" s="3">
        <v>376.30571428571432</v>
      </c>
      <c r="L390" s="3">
        <v>325.6267857142858</v>
      </c>
      <c r="M390" s="5" t="str">
        <f>IF(Faturamento!$S447&lt;&gt;"","Não emitido",IF(Faturamento!$I447="NÃO","Pendente Fatura", IF(Faturamento!$R447&lt;&gt;"","Aprovado",IF(Faturamento!$O447&lt;&gt;0,"Pendente Emissão","Processo de Calculo"))))</f>
        <v>Aprovado</v>
      </c>
      <c r="N390" s="3">
        <v>202.71571428571428</v>
      </c>
      <c r="O390" s="3">
        <v>152.04</v>
      </c>
      <c r="P390" s="4"/>
      <c r="Q390" s="4"/>
      <c r="R390" s="3">
        <v>152.04</v>
      </c>
      <c r="S390"/>
      <c r="T390" s="51" t="s">
        <v>942</v>
      </c>
      <c r="U390" s="51"/>
      <c r="V390" t="s">
        <v>568</v>
      </c>
      <c r="W390" s="3">
        <v>202.72</v>
      </c>
      <c r="X390" s="123">
        <f>IF(Faturamento!$V616="Pago",IFERROR(W390-R390,0),0)</f>
        <v>50.680000000000007</v>
      </c>
      <c r="Y390" s="4">
        <v>45937</v>
      </c>
      <c r="Z390" s="4"/>
      <c r="AA390" s="5"/>
      <c r="AB390" s="5"/>
      <c r="AI390"/>
    </row>
    <row r="391" spans="1:35" hidden="1" x14ac:dyDescent="0.3">
      <c r="A391" s="5" t="str">
        <f>VLOOKUP(B391,base!A:M,11,FALSE)</f>
        <v>TRIFÁSICO</v>
      </c>
      <c r="B391" s="37" t="s">
        <v>274</v>
      </c>
      <c r="C391" s="56">
        <v>67992021114</v>
      </c>
      <c r="D391" s="59">
        <v>62955505357405</v>
      </c>
      <c r="E391" s="37" t="s">
        <v>433</v>
      </c>
      <c r="F391" s="37" t="s">
        <v>434</v>
      </c>
      <c r="G391" s="52">
        <v>45717</v>
      </c>
      <c r="H391" s="52" t="str">
        <f>Faturamento!$B288&amp;Faturamento!$G288</f>
        <v>10/239312-245931</v>
      </c>
      <c r="I391" s="37" t="s">
        <v>435</v>
      </c>
      <c r="J391">
        <v>0</v>
      </c>
      <c r="M391" s="5" t="str">
        <f>IF(Faturamento!$S288&lt;&gt;"","Não emitido",IF(Faturamento!$I288="NÃO","Pendente Fatura", IF(Faturamento!$R288&lt;&gt;"","Aprovado",IF(Faturamento!$O288&lt;&gt;0,"Pendente Emissão","Processo de Calculo"))))</f>
        <v>Aprovado</v>
      </c>
      <c r="N391" s="53">
        <v>0</v>
      </c>
      <c r="O391" s="53">
        <v>151.96</v>
      </c>
      <c r="P391" s="52"/>
      <c r="Q391" s="52"/>
      <c r="R391" s="53"/>
      <c r="S391" s="37" t="s">
        <v>708</v>
      </c>
      <c r="T391" s="51" t="s">
        <v>825</v>
      </c>
      <c r="U391" s="51"/>
      <c r="V391" s="37" t="s">
        <v>438</v>
      </c>
      <c r="W391" s="53">
        <v>0</v>
      </c>
      <c r="X391" s="123">
        <f>IF(Faturamento!$V116="Pago",IFERROR(W391-R391,0),0)</f>
        <v>0</v>
      </c>
      <c r="Y391" s="52"/>
      <c r="Z391" s="52"/>
      <c r="AA391" s="5"/>
      <c r="AB391" s="5"/>
      <c r="AI391"/>
    </row>
    <row r="392" spans="1:35" hidden="1" x14ac:dyDescent="0.3">
      <c r="A392" s="5" t="str">
        <f>VLOOKUP(B392,base!A:M,11,FALSE)</f>
        <v>TRIFÁSICO</v>
      </c>
      <c r="B392" t="s">
        <v>274</v>
      </c>
      <c r="C392" s="1">
        <v>67992021114</v>
      </c>
      <c r="D392" s="60">
        <v>62955505357405</v>
      </c>
      <c r="E392" s="63" t="s">
        <v>433</v>
      </c>
      <c r="F392" t="s">
        <v>434</v>
      </c>
      <c r="G392" s="4">
        <v>45689</v>
      </c>
      <c r="H392" s="4" t="str">
        <f>Faturamento!$B191&amp;Faturamento!$G191</f>
        <v>10/489076-045748</v>
      </c>
      <c r="I392" t="s">
        <v>435</v>
      </c>
      <c r="J392" s="37">
        <v>208</v>
      </c>
      <c r="K392" s="53">
        <v>465.47999999999996</v>
      </c>
      <c r="L392" s="53">
        <v>414.82749999999999</v>
      </c>
      <c r="M392" s="5" t="str">
        <f>IF(Faturamento!$S191&lt;&gt;"","Não emitido",IF(Faturamento!$I191="NÃO","Pendente Fatura", IF(Faturamento!$R191&lt;&gt;"","Aprovado",IF(Faturamento!$O191&lt;&gt;0,"Pendente Emissão","Processo de Calculo"))))</f>
        <v>Aprovado</v>
      </c>
      <c r="N392" s="3">
        <v>202.61</v>
      </c>
      <c r="O392" s="3">
        <v>151.96</v>
      </c>
      <c r="P392" s="4"/>
      <c r="Q392" s="4"/>
      <c r="R392" s="3">
        <v>151.96</v>
      </c>
      <c r="S392"/>
      <c r="T392" s="51" t="s">
        <v>748</v>
      </c>
      <c r="U392" s="51"/>
      <c r="V392" t="s">
        <v>568</v>
      </c>
      <c r="W392" s="3">
        <v>151.96</v>
      </c>
      <c r="X392" s="123">
        <f>IF(Faturamento!$V543="Pago",IFERROR(W392-R392,0),0)</f>
        <v>0</v>
      </c>
      <c r="Y392" s="4"/>
      <c r="Z392" s="4"/>
      <c r="AA392" s="5"/>
      <c r="AB392" s="5"/>
      <c r="AI392"/>
    </row>
    <row r="393" spans="1:35" hidden="1" x14ac:dyDescent="0.3">
      <c r="A393" s="5" t="str">
        <f>VLOOKUP(B393,base!A:M,11,FALSE)</f>
        <v>TRIFÁSICO</v>
      </c>
      <c r="B393" t="s">
        <v>330</v>
      </c>
      <c r="C393" s="1">
        <v>0</v>
      </c>
      <c r="D393" s="60">
        <v>62955505016837</v>
      </c>
      <c r="E393" s="63" t="s">
        <v>433</v>
      </c>
      <c r="F393" t="s">
        <v>434</v>
      </c>
      <c r="G393" s="4">
        <v>45901</v>
      </c>
      <c r="H393" s="4" t="str">
        <f>Faturamento!$B873&amp;Faturamento!$G873</f>
        <v>10/1130988-745689</v>
      </c>
      <c r="I393" t="s">
        <v>435</v>
      </c>
      <c r="J393">
        <v>197</v>
      </c>
      <c r="K393" s="3">
        <v>365.36308823529407</v>
      </c>
      <c r="L393" s="3">
        <v>309.73950146321033</v>
      </c>
      <c r="M393" s="5" t="s">
        <v>1489</v>
      </c>
      <c r="N393" s="3">
        <v>207.10308823529408</v>
      </c>
      <c r="O393" s="3">
        <v>151.47999999999999</v>
      </c>
      <c r="P393" s="4">
        <v>45933</v>
      </c>
      <c r="Q393" s="4">
        <v>45943</v>
      </c>
      <c r="R393" s="3">
        <f>O393</f>
        <v>151.47999999999999</v>
      </c>
      <c r="S393"/>
      <c r="T393" s="51" t="s">
        <v>1625</v>
      </c>
      <c r="U393" s="51" t="s">
        <v>1626</v>
      </c>
      <c r="V393" t="s">
        <v>568</v>
      </c>
      <c r="W393" s="3">
        <f>O393</f>
        <v>151.47999999999999</v>
      </c>
      <c r="X393" s="123">
        <f>IF(Faturamento!$V542="Pago",IFERROR(W393-R393,0),0)</f>
        <v>0</v>
      </c>
      <c r="Y393" s="4"/>
      <c r="Z393" s="4"/>
      <c r="AA393" s="5"/>
      <c r="AB393" s="5"/>
      <c r="AI393"/>
    </row>
    <row r="394" spans="1:35" hidden="1" x14ac:dyDescent="0.3">
      <c r="A394" s="5" t="str">
        <f>VLOOKUP(B394,base!A:M,11,FALSE)</f>
        <v>BIFÁSICO</v>
      </c>
      <c r="B394" s="37" t="s">
        <v>198</v>
      </c>
      <c r="C394" s="56" t="s">
        <v>166</v>
      </c>
      <c r="D394" s="59">
        <v>62955505419443</v>
      </c>
      <c r="E394" s="37" t="s">
        <v>433</v>
      </c>
      <c r="F394" s="37" t="s">
        <v>434</v>
      </c>
      <c r="G394" s="52">
        <v>45778</v>
      </c>
      <c r="H394" s="52" t="str">
        <f>Faturamento!$B472&amp;Faturamento!$G472</f>
        <v>10/78338-145809</v>
      </c>
      <c r="I394" s="37" t="s">
        <v>435</v>
      </c>
      <c r="J394">
        <v>180</v>
      </c>
      <c r="K394" s="3">
        <v>284.34999999999997</v>
      </c>
      <c r="L394" s="3">
        <v>233.86249999999995</v>
      </c>
      <c r="M394" s="5" t="str">
        <f>IF(Faturamento!$S472&lt;&gt;"","Não emitido",IF(Faturamento!$I472="NÃO","Pendente Fatura", IF(Faturamento!$R472&lt;&gt;"","Aprovado",IF(Faturamento!$O472&lt;&gt;0,"Pendente Emissão","Processo de Calculo"))))</f>
        <v>Aprovado</v>
      </c>
      <c r="N394" s="53">
        <v>201.95000000000005</v>
      </c>
      <c r="O394" s="53">
        <v>151.46</v>
      </c>
      <c r="P394" s="52"/>
      <c r="Q394" s="52"/>
      <c r="R394" s="53">
        <v>151.46</v>
      </c>
      <c r="S394" s="37"/>
      <c r="T394" s="51" t="s">
        <v>964</v>
      </c>
      <c r="U394" s="51"/>
      <c r="V394" s="37" t="s">
        <v>568</v>
      </c>
      <c r="W394" s="53">
        <v>151.46</v>
      </c>
      <c r="X394" s="123">
        <f>IF(Faturamento!$V541="Pago",IFERROR(W394-R394,0),0)</f>
        <v>0</v>
      </c>
      <c r="Y394" s="52"/>
      <c r="Z394" s="52"/>
      <c r="AA394" s="5"/>
      <c r="AB394" s="5"/>
      <c r="AI394"/>
    </row>
    <row r="395" spans="1:35" hidden="1" x14ac:dyDescent="0.3">
      <c r="A395" s="5" t="str">
        <f>VLOOKUP(B395,base!A:M,11,FALSE)</f>
        <v>BIFÁSICO</v>
      </c>
      <c r="B395" s="37" t="s">
        <v>297</v>
      </c>
      <c r="C395" s="56">
        <v>67996266684</v>
      </c>
      <c r="D395" s="59">
        <v>62955505016080</v>
      </c>
      <c r="E395" s="37" t="s">
        <v>433</v>
      </c>
      <c r="F395" s="37" t="s">
        <v>434</v>
      </c>
      <c r="G395" s="52">
        <v>45748</v>
      </c>
      <c r="H395" s="52" t="str">
        <f>Faturamento!$B352&amp;Faturamento!$G352</f>
        <v>10/532723-445839</v>
      </c>
      <c r="I395" s="37" t="s">
        <v>435</v>
      </c>
      <c r="J395" s="37">
        <v>198</v>
      </c>
      <c r="K395" s="53">
        <v>314.66000000000003</v>
      </c>
      <c r="L395" s="53">
        <v>264.31250000000006</v>
      </c>
      <c r="M395" s="5" t="str">
        <f>IF(Faturamento!$S352&lt;&gt;"","Não emitido",IF(Faturamento!$I352="NÃO","Pendente Fatura", IF(Faturamento!$R352&lt;&gt;"","Aprovado",IF(Faturamento!$O352&lt;&gt;0,"Pendente Emissão","Processo de Calculo"))))</f>
        <v>Aprovado</v>
      </c>
      <c r="N395" s="53">
        <v>201.39</v>
      </c>
      <c r="O395" s="53">
        <v>151.04</v>
      </c>
      <c r="P395" s="52"/>
      <c r="Q395" s="52"/>
      <c r="R395" s="53">
        <v>151.04</v>
      </c>
      <c r="S395" s="37"/>
      <c r="T395" s="51" t="s">
        <v>853</v>
      </c>
      <c r="U395" s="51"/>
      <c r="V395" s="37" t="s">
        <v>568</v>
      </c>
      <c r="W395" s="53">
        <v>151.04</v>
      </c>
      <c r="X395" s="123">
        <f>IF(Faturamento!$V540="Pago",IFERROR(W395-R395,0),0)</f>
        <v>0</v>
      </c>
      <c r="Y395" s="52"/>
      <c r="Z395" s="52"/>
      <c r="AA395" s="5"/>
      <c r="AB395" s="5"/>
      <c r="AI395"/>
    </row>
    <row r="396" spans="1:35" hidden="1" x14ac:dyDescent="0.3">
      <c r="A396" s="5" t="str">
        <f>VLOOKUP(B396,base!A:M,11,FALSE)</f>
        <v>TRIFÁSICO</v>
      </c>
      <c r="B396" s="37" t="s">
        <v>222</v>
      </c>
      <c r="C396" s="56">
        <v>0</v>
      </c>
      <c r="D396" s="59">
        <v>62955505000167</v>
      </c>
      <c r="E396" s="37" t="s">
        <v>433</v>
      </c>
      <c r="F396" s="37" t="s">
        <v>434</v>
      </c>
      <c r="G396" s="52">
        <v>45901</v>
      </c>
      <c r="H396" s="52" t="str">
        <f>Faturamento!$B858&amp;Faturamento!$G858</f>
        <v>10/40190-145689</v>
      </c>
      <c r="I396" s="37" t="s">
        <v>435</v>
      </c>
      <c r="J396">
        <v>196</v>
      </c>
      <c r="K396" s="3">
        <v>376.58470588235298</v>
      </c>
      <c r="L396" s="3">
        <v>321.25075020603612</v>
      </c>
      <c r="M396" s="5" t="s">
        <v>1489</v>
      </c>
      <c r="N396" s="53">
        <v>206.02470588235295</v>
      </c>
      <c r="O396" s="53">
        <v>150.69</v>
      </c>
      <c r="P396" s="52">
        <v>45933</v>
      </c>
      <c r="Q396" s="52">
        <v>45943</v>
      </c>
      <c r="R396" s="53">
        <f>O396</f>
        <v>150.69</v>
      </c>
      <c r="S396" s="37"/>
      <c r="T396" s="51" t="s">
        <v>1595</v>
      </c>
      <c r="U396" s="51" t="s">
        <v>1596</v>
      </c>
      <c r="V396" s="37" t="s">
        <v>568</v>
      </c>
      <c r="W396" s="53">
        <f>R396</f>
        <v>150.69</v>
      </c>
      <c r="X396" s="123">
        <f>IF(Faturamento!$V539="Pago",IFERROR(W396-R396,0),0)</f>
        <v>0</v>
      </c>
      <c r="Y396" s="52"/>
      <c r="Z396" s="52"/>
      <c r="AA396" s="5"/>
      <c r="AB396" s="5"/>
      <c r="AI396"/>
    </row>
    <row r="397" spans="1:35" hidden="1" x14ac:dyDescent="0.3">
      <c r="A397" s="5" t="str">
        <f>VLOOKUP(B397,base!A:M,11,FALSE)</f>
        <v>TRIFÁSICO</v>
      </c>
      <c r="B397" s="37" t="s">
        <v>283</v>
      </c>
      <c r="C397" s="56">
        <v>6796411024</v>
      </c>
      <c r="D397" s="59">
        <v>62955505182257</v>
      </c>
      <c r="E397" s="37" t="s">
        <v>433</v>
      </c>
      <c r="F397" s="37" t="s">
        <v>434</v>
      </c>
      <c r="G397" s="52">
        <v>45778</v>
      </c>
      <c r="H397" s="52" t="str">
        <f>Faturamento!$B490&amp;Faturamento!$G490</f>
        <v>10/113971-645689</v>
      </c>
      <c r="I397" s="37" t="s">
        <v>435</v>
      </c>
      <c r="J397">
        <v>206</v>
      </c>
      <c r="K397" s="3">
        <v>436.06975206611571</v>
      </c>
      <c r="L397" s="3">
        <v>385.91481404958677</v>
      </c>
      <c r="M397" s="5" t="str">
        <f>IF(Faturamento!$S490&lt;&gt;"","Não emitido",IF(Faturamento!$I490="NÃO","Pendente Fatura", IF(Faturamento!$R490&lt;&gt;"","Aprovado",IF(Faturamento!$O490&lt;&gt;0,"Pendente Emissão","Processo de Calculo"))))</f>
        <v>Aprovado</v>
      </c>
      <c r="N397" s="53">
        <v>200.61975206611572</v>
      </c>
      <c r="O397" s="53">
        <v>150.46</v>
      </c>
      <c r="P397" s="52"/>
      <c r="Q397" s="52"/>
      <c r="R397" s="53">
        <v>150.46</v>
      </c>
      <c r="S397" s="37"/>
      <c r="T397" s="51" t="s">
        <v>978</v>
      </c>
      <c r="U397" s="51"/>
      <c r="V397" s="37" t="s">
        <v>568</v>
      </c>
      <c r="W397" s="53">
        <v>150.46</v>
      </c>
      <c r="X397" s="123">
        <f>IF(Faturamento!$V537="Pago",IFERROR(W397-R397,0),0)</f>
        <v>0</v>
      </c>
      <c r="Y397" s="52"/>
      <c r="Z397" s="52"/>
      <c r="AA397" s="5"/>
      <c r="AB397" s="5"/>
      <c r="AI397"/>
    </row>
    <row r="398" spans="1:35" hidden="1" x14ac:dyDescent="0.3">
      <c r="A398" s="5" t="str">
        <f>VLOOKUP(B398,base!A:M,11,FALSE)</f>
        <v>BIFÁSICO</v>
      </c>
      <c r="B398" s="37" t="s">
        <v>208</v>
      </c>
      <c r="C398" s="56">
        <v>67996711972</v>
      </c>
      <c r="D398" s="59">
        <v>62955505016594</v>
      </c>
      <c r="E398" s="37" t="s">
        <v>433</v>
      </c>
      <c r="F398" s="37" t="s">
        <v>434</v>
      </c>
      <c r="G398" s="52">
        <v>45778</v>
      </c>
      <c r="H398" s="52" t="str">
        <f>Faturamento!$B516&amp;Faturamento!$G516</f>
        <v>10/384823-145778</v>
      </c>
      <c r="I398" s="37" t="s">
        <v>435</v>
      </c>
      <c r="J398">
        <v>206</v>
      </c>
      <c r="K398" s="3">
        <v>374.05746835443034</v>
      </c>
      <c r="L398" s="3">
        <v>323.90560126582272</v>
      </c>
      <c r="M398" s="5" t="str">
        <f>IF(Faturamento!$S516&lt;&gt;"","Não emitido",IF(Faturamento!$I516="NÃO","Pendente Fatura", IF(Faturamento!$R516&lt;&gt;"","Aprovado",IF(Faturamento!$O516&lt;&gt;0,"Pendente Emissão","Processo de Calculo"))))</f>
        <v>Aprovado</v>
      </c>
      <c r="N398" s="53">
        <v>200.60746835443038</v>
      </c>
      <c r="O398" s="53">
        <v>150.46</v>
      </c>
      <c r="P398" s="52"/>
      <c r="Q398" s="52"/>
      <c r="R398" s="53">
        <v>150.46</v>
      </c>
      <c r="S398" s="37"/>
      <c r="T398" s="51" t="s">
        <v>1001</v>
      </c>
      <c r="U398" s="51"/>
      <c r="V398" s="37" t="s">
        <v>568</v>
      </c>
      <c r="W398" s="53">
        <v>150.46</v>
      </c>
      <c r="X398" s="123">
        <f>IF(Faturamento!$V538="Pago",IFERROR(W398-R398,0),0)</f>
        <v>0</v>
      </c>
      <c r="Y398" s="52"/>
      <c r="Z398" s="52"/>
      <c r="AA398" s="5"/>
      <c r="AB398" s="5"/>
      <c r="AI398"/>
    </row>
    <row r="399" spans="1:35" hidden="1" x14ac:dyDescent="0.3">
      <c r="A399" s="5" t="str">
        <f>VLOOKUP(B399,base!A:M,11,FALSE)</f>
        <v>TRIFÁSICO</v>
      </c>
      <c r="B399" t="s">
        <v>320</v>
      </c>
      <c r="C399" s="1">
        <v>67981263396</v>
      </c>
      <c r="D399" s="60">
        <v>62955505135500</v>
      </c>
      <c r="E399" s="63" t="s">
        <v>433</v>
      </c>
      <c r="F399" t="s">
        <v>434</v>
      </c>
      <c r="G399" s="4">
        <v>45778</v>
      </c>
      <c r="H399" s="4" t="str">
        <f>Faturamento!$B507&amp;Faturamento!$G507</f>
        <v>10/218777-145689</v>
      </c>
      <c r="I399" t="s">
        <v>435</v>
      </c>
      <c r="J399">
        <v>206</v>
      </c>
      <c r="K399" s="3">
        <v>548.31902439024384</v>
      </c>
      <c r="L399" s="3">
        <v>498.17176829268294</v>
      </c>
      <c r="M399" s="5" t="str">
        <f>IF(Faturamento!$S507&lt;&gt;"","Não emitido",IF(Faturamento!$I507="NÃO","Pendente Fatura", IF(Faturamento!$R507&lt;&gt;"","Aprovado",IF(Faturamento!$O507&lt;&gt;0,"Pendente Emissão","Processo de Calculo"))))</f>
        <v>Aprovado</v>
      </c>
      <c r="N399" s="3">
        <v>200.58902439024394</v>
      </c>
      <c r="O399" s="3">
        <v>150.44</v>
      </c>
      <c r="P399" s="4"/>
      <c r="Q399" s="4"/>
      <c r="R399" s="3">
        <v>150.44</v>
      </c>
      <c r="S399"/>
      <c r="T399" s="51" t="s">
        <v>994</v>
      </c>
      <c r="U399" s="51"/>
      <c r="V399" t="s">
        <v>568</v>
      </c>
      <c r="W399" s="3">
        <v>200.59</v>
      </c>
      <c r="X399" s="123">
        <f>IF(Faturamento!$V612="Pago",IFERROR(W399-R399,0),0)</f>
        <v>50.150000000000006</v>
      </c>
      <c r="Y399" s="4">
        <v>45917</v>
      </c>
      <c r="Z399" s="4"/>
      <c r="AA399" s="5"/>
      <c r="AB399" s="5"/>
      <c r="AI399"/>
    </row>
    <row r="400" spans="1:35" hidden="1" x14ac:dyDescent="0.3">
      <c r="A400" s="5" t="str">
        <f>VLOOKUP(B400,base!A:M,11,FALSE)</f>
        <v>TRIFÁSICO</v>
      </c>
      <c r="B400" t="s">
        <v>230</v>
      </c>
      <c r="C400" s="1" t="s">
        <v>175</v>
      </c>
      <c r="D400" s="60">
        <v>62955505843253</v>
      </c>
      <c r="E400" s="63" t="s">
        <v>433</v>
      </c>
      <c r="F400" t="s">
        <v>434</v>
      </c>
      <c r="G400" s="4">
        <v>45748</v>
      </c>
      <c r="H400" s="4" t="str">
        <f>Faturamento!$B391&amp;Faturamento!$G391</f>
        <v>10/435964-245717</v>
      </c>
      <c r="I400" t="s">
        <v>435</v>
      </c>
      <c r="J400" s="37">
        <v>206</v>
      </c>
      <c r="K400" s="53">
        <v>399.84000000000003</v>
      </c>
      <c r="L400" s="53">
        <v>349.76</v>
      </c>
      <c r="M400" s="5" t="s">
        <v>1489</v>
      </c>
      <c r="N400" s="3">
        <v>200.32</v>
      </c>
      <c r="O400" s="3">
        <v>150.24</v>
      </c>
      <c r="P400" s="4"/>
      <c r="Q400" s="4"/>
      <c r="R400" s="3">
        <v>150.24</v>
      </c>
      <c r="S400"/>
      <c r="T400" s="51" t="s">
        <v>889</v>
      </c>
      <c r="U400" s="51"/>
      <c r="V400" t="s">
        <v>568</v>
      </c>
      <c r="W400" s="3">
        <v>150.24</v>
      </c>
      <c r="X400" s="123">
        <f>IF(Faturamento!$V536="Pago",IFERROR(W400-R400,0),0)</f>
        <v>0</v>
      </c>
      <c r="Y400" s="4"/>
      <c r="Z400" s="4"/>
      <c r="AA400" s="5"/>
      <c r="AB400" s="5"/>
      <c r="AI400"/>
    </row>
    <row r="401" spans="1:35" hidden="1" x14ac:dyDescent="0.3">
      <c r="A401" s="5" t="str">
        <f>VLOOKUP(B401,base!A:M,11,FALSE)</f>
        <v>BIFÁSICO</v>
      </c>
      <c r="B401" s="37" t="s">
        <v>153</v>
      </c>
      <c r="C401" s="56" t="s">
        <v>154</v>
      </c>
      <c r="D401" s="59">
        <v>62955505405140</v>
      </c>
      <c r="E401" s="37" t="s">
        <v>433</v>
      </c>
      <c r="F401" s="37" t="s">
        <v>434</v>
      </c>
      <c r="G401" s="52">
        <v>45748</v>
      </c>
      <c r="H401" s="52" t="str">
        <f>Faturamento!$B412&amp;Faturamento!$G412</f>
        <v>10/1674177-945870</v>
      </c>
      <c r="I401" s="37" t="s">
        <v>435</v>
      </c>
      <c r="J401" s="37">
        <v>206</v>
      </c>
      <c r="K401" s="53">
        <v>351.25</v>
      </c>
      <c r="L401" s="53">
        <v>301.19499999999994</v>
      </c>
      <c r="M401" s="5" t="str">
        <f>IF(Faturamento!$S412&lt;&gt;"","Não emitido",IF(Faturamento!$I412="NÃO","Pendente Fatura", IF(Faturamento!$R412&lt;&gt;"","Aprovado",IF(Faturamento!$O412&lt;&gt;0,"Pendente Emissão","Processo de Calculo"))))</f>
        <v>Aprovado</v>
      </c>
      <c r="N401" s="53">
        <v>200.22</v>
      </c>
      <c r="O401" s="53">
        <v>150.16999999999999</v>
      </c>
      <c r="P401" s="52"/>
      <c r="Q401" s="52"/>
      <c r="R401" s="53">
        <v>150.16999999999999</v>
      </c>
      <c r="S401" s="37"/>
      <c r="T401" s="51" t="s">
        <v>910</v>
      </c>
      <c r="U401" s="51" t="e">
        <v>#N/A</v>
      </c>
      <c r="V401" s="37" t="s">
        <v>568</v>
      </c>
      <c r="W401" s="53">
        <v>200.22</v>
      </c>
      <c r="X401" s="123">
        <f>IF(Faturamento!$V611="Pago",IFERROR(W401-R401,0),0)</f>
        <v>50.050000000000011</v>
      </c>
      <c r="Y401" s="52">
        <v>45930</v>
      </c>
      <c r="Z401" s="52"/>
      <c r="AA401" s="5"/>
      <c r="AB401" s="5"/>
      <c r="AI401"/>
    </row>
    <row r="402" spans="1:35" hidden="1" x14ac:dyDescent="0.3">
      <c r="A402" s="5" t="str">
        <f>VLOOKUP(B402,base!A:M,11,FALSE)</f>
        <v>TRIFÁSICO</v>
      </c>
      <c r="B402" t="s">
        <v>186</v>
      </c>
      <c r="C402" s="1" t="s">
        <v>403</v>
      </c>
      <c r="D402" s="60">
        <v>62955505016160</v>
      </c>
      <c r="E402" s="63" t="s">
        <v>433</v>
      </c>
      <c r="F402" t="s">
        <v>434</v>
      </c>
      <c r="G402" s="4">
        <v>45778</v>
      </c>
      <c r="H402" s="4" t="str">
        <f>Faturamento!$B497&amp;Faturamento!$G497</f>
        <v>10/513413-545870</v>
      </c>
      <c r="I402" t="s">
        <v>435</v>
      </c>
      <c r="J402">
        <v>206</v>
      </c>
      <c r="K402" s="3">
        <v>511.67175438596496</v>
      </c>
      <c r="L402" s="3">
        <v>461.61881578947373</v>
      </c>
      <c r="M402" s="5" t="str">
        <f>IF(Faturamento!$S497&lt;&gt;"","Não emitido",IF(Faturamento!$I497="NÃO","Pendente Fatura", IF(Faturamento!$R497&lt;&gt;"","Aprovado",IF(Faturamento!$O497&lt;&gt;0,"Pendente Emissão","Processo de Calculo"))))</f>
        <v>Aprovado</v>
      </c>
      <c r="N402" s="3">
        <v>200.21175438596492</v>
      </c>
      <c r="O402" s="3">
        <v>150.16</v>
      </c>
      <c r="P402" s="4"/>
      <c r="Q402" s="4"/>
      <c r="R402" s="3">
        <v>150.16</v>
      </c>
      <c r="S402"/>
      <c r="T402" s="51" t="s">
        <v>985</v>
      </c>
      <c r="U402" s="51"/>
      <c r="V402" t="s">
        <v>568</v>
      </c>
      <c r="W402" s="3">
        <v>150.16</v>
      </c>
      <c r="X402" s="123">
        <f>IF(Faturamento!$V535="Pago",IFERROR(W402-R402,0),0)</f>
        <v>0</v>
      </c>
      <c r="Y402" s="4">
        <v>45858</v>
      </c>
      <c r="Z402" s="4"/>
      <c r="AA402" s="5"/>
      <c r="AB402" s="5"/>
      <c r="AI402"/>
    </row>
    <row r="403" spans="1:35" hidden="1" x14ac:dyDescent="0.3">
      <c r="A403" s="5" t="str">
        <f>VLOOKUP(B403,base!A:M,11,FALSE)</f>
        <v>TRIFÁSICO</v>
      </c>
      <c r="B403" s="37" t="s">
        <v>326</v>
      </c>
      <c r="C403" s="56" t="s">
        <v>328</v>
      </c>
      <c r="D403" s="59">
        <v>62955505058599</v>
      </c>
      <c r="E403" s="37" t="s">
        <v>433</v>
      </c>
      <c r="F403" s="37" t="s">
        <v>434</v>
      </c>
      <c r="G403" s="52">
        <v>45778</v>
      </c>
      <c r="H403" s="52" t="str">
        <f>Faturamento!$B480&amp;Faturamento!$G480</f>
        <v>10/3092868-345839</v>
      </c>
      <c r="I403" s="37" t="s">
        <v>435</v>
      </c>
      <c r="J403">
        <v>206</v>
      </c>
      <c r="K403" s="3">
        <v>383.51142857142855</v>
      </c>
      <c r="L403" s="3">
        <v>333.46107142857147</v>
      </c>
      <c r="M403" s="5" t="str">
        <f>IF(Faturamento!$S480&lt;&gt;"","Não emitido",IF(Faturamento!$I480="NÃO","Pendente Fatura", IF(Faturamento!$R480&lt;&gt;"","Aprovado",IF(Faturamento!$O480&lt;&gt;0,"Pendente Emissão","Processo de Calculo"))))</f>
        <v>Aprovado</v>
      </c>
      <c r="N403" s="53">
        <v>200.20142857142858</v>
      </c>
      <c r="O403" s="53">
        <v>150.15</v>
      </c>
      <c r="P403" s="52"/>
      <c r="Q403" s="52"/>
      <c r="R403" s="53">
        <v>150.15</v>
      </c>
      <c r="S403" s="37"/>
      <c r="T403" s="51" t="s">
        <v>968</v>
      </c>
      <c r="U403" s="51"/>
      <c r="V403" s="37" t="s">
        <v>568</v>
      </c>
      <c r="W403" s="53">
        <v>150.15</v>
      </c>
      <c r="X403" s="123">
        <f>IF(Faturamento!$V534="Pago",IFERROR(W403-R403,0),0)</f>
        <v>0</v>
      </c>
      <c r="Y403" s="52"/>
      <c r="Z403" s="52"/>
      <c r="AA403" s="5"/>
      <c r="AB403" s="5"/>
      <c r="AI403"/>
    </row>
    <row r="404" spans="1:35" hidden="1" x14ac:dyDescent="0.3">
      <c r="A404" s="5" t="str">
        <f>VLOOKUP(B404,base!A:M,11,FALSE)</f>
        <v>BIFÁSICO</v>
      </c>
      <c r="B404" t="s">
        <v>240</v>
      </c>
      <c r="C404" s="1">
        <v>67996135721</v>
      </c>
      <c r="D404" s="60">
        <v>62955505015431</v>
      </c>
      <c r="E404" s="63" t="s">
        <v>433</v>
      </c>
      <c r="F404" t="s">
        <v>434</v>
      </c>
      <c r="G404" s="4">
        <v>45748</v>
      </c>
      <c r="H404" s="4" t="str">
        <f>Faturamento!$B425&amp;Faturamento!$G425</f>
        <v>10/150263-245717</v>
      </c>
      <c r="I404" t="s">
        <v>435</v>
      </c>
      <c r="J404" s="37">
        <v>206</v>
      </c>
      <c r="K404" s="53">
        <v>459.94000000000005</v>
      </c>
      <c r="L404" s="53">
        <v>409.90250000000003</v>
      </c>
      <c r="M404" s="5" t="str">
        <f>IF(Faturamento!$S425&lt;&gt;"","Não emitido",IF(Faturamento!$I425="NÃO","Pendente Fatura", IF(Faturamento!$R425&lt;&gt;"","Aprovado",IF(Faturamento!$O425&lt;&gt;0,"Pendente Emissão","Processo de Calculo"))))</f>
        <v>Aprovado</v>
      </c>
      <c r="N404" s="3">
        <v>200.14999999999998</v>
      </c>
      <c r="O404" s="3">
        <v>150.11000000000001</v>
      </c>
      <c r="P404" s="4"/>
      <c r="Q404" s="4"/>
      <c r="R404" s="3">
        <v>150.11000000000001</v>
      </c>
      <c r="S404"/>
      <c r="T404" s="51" t="s">
        <v>921</v>
      </c>
      <c r="U404" s="51"/>
      <c r="V404" t="s">
        <v>568</v>
      </c>
      <c r="W404" s="3">
        <v>150.11000000000001</v>
      </c>
      <c r="X404" s="123">
        <f>IF(Faturamento!$V533="Pago",IFERROR(W404-R404,0),0)</f>
        <v>0</v>
      </c>
      <c r="Y404" s="4"/>
      <c r="Z404" s="4"/>
      <c r="AA404" s="5"/>
      <c r="AB404" s="5"/>
      <c r="AI404"/>
    </row>
    <row r="405" spans="1:35" hidden="1" x14ac:dyDescent="0.3">
      <c r="A405" s="5" t="str">
        <f>VLOOKUP(B405,base!A:M,11,FALSE)</f>
        <v>TRIFÁSICO</v>
      </c>
      <c r="B405" t="s">
        <v>247</v>
      </c>
      <c r="C405" s="1">
        <v>67999516782</v>
      </c>
      <c r="D405" s="60">
        <v>62955505375721</v>
      </c>
      <c r="E405" s="63" t="s">
        <v>433</v>
      </c>
      <c r="F405" t="s">
        <v>434</v>
      </c>
      <c r="G405" s="4">
        <v>45748</v>
      </c>
      <c r="H405" s="4" t="str">
        <f>Faturamento!$B411&amp;Faturamento!$G411</f>
        <v>10/41548-945778</v>
      </c>
      <c r="I405" t="s">
        <v>435</v>
      </c>
      <c r="J405" s="37">
        <v>206</v>
      </c>
      <c r="K405" s="53">
        <v>423.61</v>
      </c>
      <c r="L405" s="53">
        <v>373.58000000000004</v>
      </c>
      <c r="M405" s="5" t="str">
        <f>IF(Faturamento!$S411&lt;&gt;"","Não emitido",IF(Faturamento!$I411="NÃO","Pendente Fatura", IF(Faturamento!$R411&lt;&gt;"","Aprovado",IF(Faturamento!$O411&lt;&gt;0,"Pendente Emissão","Processo de Calculo"))))</f>
        <v>Aprovado</v>
      </c>
      <c r="N405" s="3">
        <v>200.12</v>
      </c>
      <c r="O405" s="3">
        <v>150.09</v>
      </c>
      <c r="P405" s="4"/>
      <c r="Q405" s="4"/>
      <c r="R405" s="3">
        <v>150.09</v>
      </c>
      <c r="S405"/>
      <c r="T405" s="51" t="s">
        <v>908</v>
      </c>
      <c r="U405" s="51" t="s">
        <v>909</v>
      </c>
      <c r="V405" t="s">
        <v>568</v>
      </c>
      <c r="W405" s="3">
        <v>150.09</v>
      </c>
      <c r="X405" s="123">
        <f>IF(Faturamento!$V532="Pago",IFERROR(W405-R405,0),0)</f>
        <v>0</v>
      </c>
      <c r="Y405" s="4">
        <v>45897</v>
      </c>
      <c r="Z405" s="4"/>
      <c r="AA405" s="5"/>
      <c r="AB405" s="5"/>
      <c r="AI405"/>
    </row>
    <row r="406" spans="1:35" hidden="1" x14ac:dyDescent="0.3">
      <c r="A406" s="5" t="str">
        <f>VLOOKUP(B406,base!A:M,11,FALSE)</f>
        <v>BIFÁSICO</v>
      </c>
      <c r="B406" s="37" t="s">
        <v>198</v>
      </c>
      <c r="C406" s="56" t="s">
        <v>166</v>
      </c>
      <c r="D406" s="59">
        <v>62955505419443</v>
      </c>
      <c r="E406" s="37" t="s">
        <v>433</v>
      </c>
      <c r="F406" s="37" t="s">
        <v>434</v>
      </c>
      <c r="G406" s="52">
        <v>45839</v>
      </c>
      <c r="H406" s="52" t="str">
        <f>Faturamento!$B636&amp;Faturamento!$G636</f>
        <v>10/191945-545778</v>
      </c>
      <c r="I406" s="37" t="s">
        <v>435</v>
      </c>
      <c r="J406" s="37">
        <v>164</v>
      </c>
      <c r="K406" s="53">
        <v>274.92680000000001</v>
      </c>
      <c r="L406" s="53">
        <v>231.17177808000002</v>
      </c>
      <c r="M406" s="5" t="str">
        <f>IF(Faturamento!$S636&lt;&gt;"","Não emitido",IF(Faturamento!$I636="NÃO","Pendente Fatura", IF(Faturamento!$R636&lt;&gt;"","Aprovado",IF(Faturamento!$O636&lt;&gt;0,"Pendente Emissão","Processo de Calculo"))))</f>
        <v>Aprovado</v>
      </c>
      <c r="N406" s="53">
        <v>193.80680000000001</v>
      </c>
      <c r="O406" s="53">
        <v>150.05000000000001</v>
      </c>
      <c r="P406" s="52">
        <v>45910</v>
      </c>
      <c r="Q406" s="52">
        <v>45920</v>
      </c>
      <c r="R406" s="53">
        <v>150.05000000000001</v>
      </c>
      <c r="S406" s="37"/>
      <c r="T406" s="51" t="s">
        <v>1186</v>
      </c>
      <c r="U406" s="51" t="s">
        <v>1187</v>
      </c>
      <c r="V406" s="37" t="s">
        <v>568</v>
      </c>
      <c r="W406" s="53">
        <v>150.05000000000001</v>
      </c>
      <c r="X406" s="123">
        <f>IF(Faturamento!$V531="Pago",IFERROR(W406-R406,0),0)</f>
        <v>0</v>
      </c>
      <c r="Y406" s="52"/>
      <c r="Z406" s="52"/>
      <c r="AA406" s="5"/>
      <c r="AB406" s="5"/>
      <c r="AI406"/>
    </row>
    <row r="407" spans="1:35" hidden="1" x14ac:dyDescent="0.3">
      <c r="A407" s="5" t="str">
        <f>VLOOKUP(B407,base!A:M,11,FALSE)</f>
        <v>BIFÁSICO</v>
      </c>
      <c r="B407" s="37" t="s">
        <v>130</v>
      </c>
      <c r="C407" s="56" t="s">
        <v>132</v>
      </c>
      <c r="D407" s="59">
        <v>62955505000167</v>
      </c>
      <c r="E407" s="37" t="s">
        <v>433</v>
      </c>
      <c r="F407" s="37" t="s">
        <v>434</v>
      </c>
      <c r="G407" s="52">
        <v>45778</v>
      </c>
      <c r="H407" s="52" t="str">
        <f>Faturamento!$B518&amp;Faturamento!$G518</f>
        <v>10/1548741-645717</v>
      </c>
      <c r="I407" s="37" t="s">
        <v>435</v>
      </c>
      <c r="J407">
        <v>206</v>
      </c>
      <c r="K407" s="3">
        <v>373.24105263157901</v>
      </c>
      <c r="L407" s="3">
        <v>323.23328947368429</v>
      </c>
      <c r="M407" s="5" t="str">
        <f>IF(Faturamento!$S518&lt;&gt;"","Não emitido",IF(Faturamento!$I518="NÃO","Pendente Fatura", IF(Faturamento!$R518&lt;&gt;"","Aprovado",IF(Faturamento!$O518&lt;&gt;0,"Pendente Emissão","Processo de Calculo"))))</f>
        <v>Aprovado</v>
      </c>
      <c r="N407" s="53">
        <v>200.03105263157897</v>
      </c>
      <c r="O407" s="53">
        <v>150.02000000000001</v>
      </c>
      <c r="P407" s="52"/>
      <c r="Q407" s="52"/>
      <c r="R407" s="53">
        <v>150.02000000000001</v>
      </c>
      <c r="S407" s="37"/>
      <c r="T407" s="51" t="s">
        <v>1003</v>
      </c>
      <c r="U407" s="51"/>
      <c r="V407" s="37" t="s">
        <v>369</v>
      </c>
      <c r="W407" s="53">
        <v>0</v>
      </c>
      <c r="X407" s="123">
        <f>IF(Faturamento!$V197="Pago",IFERROR(W407-R407,0),0)</f>
        <v>0</v>
      </c>
      <c r="Y407" s="52"/>
      <c r="Z407" s="196" t="s">
        <v>1795</v>
      </c>
      <c r="AA407" s="5"/>
      <c r="AB407" s="5"/>
      <c r="AI407"/>
    </row>
    <row r="408" spans="1:35" hidden="1" x14ac:dyDescent="0.3">
      <c r="A408" s="5" t="str">
        <f>VLOOKUP(B408,base!A:M,11,FALSE)</f>
        <v>TRIFÁSICO</v>
      </c>
      <c r="B408" s="37" t="s">
        <v>164</v>
      </c>
      <c r="C408" s="56" t="s">
        <v>166</v>
      </c>
      <c r="D408" s="59">
        <v>62955505419443</v>
      </c>
      <c r="E408" s="37" t="s">
        <v>433</v>
      </c>
      <c r="F408" s="37" t="s">
        <v>434</v>
      </c>
      <c r="G408" s="52">
        <v>45689</v>
      </c>
      <c r="H408" s="52" t="str">
        <f>Faturamento!$B184&amp;Faturamento!$G184</f>
        <v>10/3139326-745870</v>
      </c>
      <c r="I408" s="37" t="s">
        <v>435</v>
      </c>
      <c r="J408" s="37">
        <v>179</v>
      </c>
      <c r="K408" s="53">
        <v>347.44</v>
      </c>
      <c r="L408" s="53">
        <v>297.49</v>
      </c>
      <c r="M408" s="5" t="str">
        <f>IF(Faturamento!$S184&lt;&gt;"","Não emitido",IF(Faturamento!$I184="NÃO","Pendente Fatura", IF(Faturamento!$R184&lt;&gt;"","Aprovado",IF(Faturamento!$O184&lt;&gt;0,"Pendente Emissão","Processo de Calculo"))))</f>
        <v>Aprovado</v>
      </c>
      <c r="N408" s="53">
        <v>199.79999999999998</v>
      </c>
      <c r="O408" s="53">
        <v>149.85</v>
      </c>
      <c r="P408" s="52"/>
      <c r="Q408" s="52"/>
      <c r="R408" s="53">
        <v>149.85</v>
      </c>
      <c r="S408" s="37"/>
      <c r="T408" s="51" t="s">
        <v>742</v>
      </c>
      <c r="U408" s="51"/>
      <c r="V408" s="37" t="s">
        <v>568</v>
      </c>
      <c r="W408" s="53">
        <v>149.85</v>
      </c>
      <c r="X408" s="123">
        <f>IF(Faturamento!$V530="Pago",IFERROR(W408-R408,0),0)</f>
        <v>0</v>
      </c>
      <c r="Y408" s="52"/>
      <c r="Z408" s="52"/>
      <c r="AA408" s="5"/>
      <c r="AB408" s="5"/>
      <c r="AI408"/>
    </row>
    <row r="409" spans="1:35" hidden="1" x14ac:dyDescent="0.3">
      <c r="A409" s="5" t="str">
        <f>VLOOKUP(B409,base!A:M,11,FALSE)</f>
        <v>BIFÁSICO</v>
      </c>
      <c r="B409" t="s">
        <v>268</v>
      </c>
      <c r="C409" s="1">
        <v>67996859014</v>
      </c>
      <c r="D409" s="60">
        <v>62955505177504</v>
      </c>
      <c r="E409" s="63" t="s">
        <v>433</v>
      </c>
      <c r="F409" t="s">
        <v>434</v>
      </c>
      <c r="G409" s="4">
        <v>45778</v>
      </c>
      <c r="H409" s="4" t="str">
        <f>Faturamento!$B499&amp;Faturamento!$G499</f>
        <v>10/276283-945809</v>
      </c>
      <c r="I409" t="s">
        <v>435</v>
      </c>
      <c r="J409">
        <v>206</v>
      </c>
      <c r="K409" s="3">
        <v>468.22920863309355</v>
      </c>
      <c r="L409" s="3">
        <v>418.29690647482016</v>
      </c>
      <c r="M409" s="5" t="str">
        <f>IF(Faturamento!$S499&lt;&gt;"","Não emitido",IF(Faturamento!$I499="NÃO","Pendente Fatura", IF(Faturamento!$R499&lt;&gt;"","Aprovado",IF(Faturamento!$O499&lt;&gt;0,"Pendente Emissão","Processo de Calculo"))))</f>
        <v>Aprovado</v>
      </c>
      <c r="N409" s="3">
        <v>199.72920863309349</v>
      </c>
      <c r="O409" s="3">
        <v>149.80000000000001</v>
      </c>
      <c r="P409" s="4"/>
      <c r="Q409" s="4"/>
      <c r="R409" s="3">
        <v>149.80000000000001</v>
      </c>
      <c r="S409"/>
      <c r="T409" s="51" t="s">
        <v>987</v>
      </c>
      <c r="U409" s="51"/>
      <c r="V409" t="s">
        <v>369</v>
      </c>
      <c r="W409" s="3">
        <v>0</v>
      </c>
      <c r="X409" s="123">
        <f>IF(Faturamento!$V190="Pago",IFERROR(W409-R409,0),0)</f>
        <v>-149.80000000000001</v>
      </c>
      <c r="Y409" s="4"/>
      <c r="Z409" s="196" t="s">
        <v>1795</v>
      </c>
      <c r="AA409" s="5"/>
      <c r="AB409" s="5"/>
      <c r="AI409"/>
    </row>
    <row r="410" spans="1:35" hidden="1" x14ac:dyDescent="0.3">
      <c r="A410" s="5" t="str">
        <f>VLOOKUP(B410,base!A:M,11,FALSE)</f>
        <v>TRIFÁSICO</v>
      </c>
      <c r="B410" t="s">
        <v>140</v>
      </c>
      <c r="C410" s="56">
        <v>67996575782</v>
      </c>
      <c r="D410">
        <v>62955505015601</v>
      </c>
      <c r="E410" s="37" t="s">
        <v>433</v>
      </c>
      <c r="F410" t="s">
        <v>108</v>
      </c>
      <c r="G410" s="4">
        <v>45931</v>
      </c>
      <c r="H410" s="52" t="str">
        <f>Faturamento!$B955&amp;Faturamento!$G955</f>
        <v>10/1130988-745809</v>
      </c>
      <c r="I410" s="37" t="s">
        <v>435</v>
      </c>
      <c r="J410">
        <v>169</v>
      </c>
      <c r="K410" s="3">
        <v>358.4776</v>
      </c>
      <c r="L410" s="3">
        <v>300.41406592202549</v>
      </c>
      <c r="M410" s="5" t="s">
        <v>1489</v>
      </c>
      <c r="N410" s="53">
        <v>207.60759999999999</v>
      </c>
      <c r="O410" s="53">
        <v>149.54</v>
      </c>
      <c r="P410" s="52">
        <v>45967</v>
      </c>
      <c r="Q410" s="52">
        <v>45974</v>
      </c>
      <c r="R410" s="53">
        <v>149.54</v>
      </c>
      <c r="S410" s="37"/>
      <c r="T410" s="3" t="str">
        <f>D410&amp;R410</f>
        <v>62955505015601149,54</v>
      </c>
      <c r="U410" s="3" t="s">
        <v>1767</v>
      </c>
      <c r="V410" s="37" t="s">
        <v>568</v>
      </c>
      <c r="W410" s="13">
        <f>R410</f>
        <v>149.54</v>
      </c>
      <c r="X410" s="124">
        <f>IF(Faturamento!$V957="Pago",IFERROR(W410-R410,0),0)</f>
        <v>0</v>
      </c>
    </row>
    <row r="411" spans="1:35" hidden="1" x14ac:dyDescent="0.3">
      <c r="A411" s="5" t="str">
        <f>VLOOKUP(B411,base!A:M,11,FALSE)</f>
        <v>BIFÁSICO</v>
      </c>
      <c r="B411" t="s">
        <v>271</v>
      </c>
      <c r="C411" s="1">
        <v>67996687077</v>
      </c>
      <c r="D411" s="60">
        <v>62955505269026</v>
      </c>
      <c r="E411" s="63" t="s">
        <v>433</v>
      </c>
      <c r="F411" t="s">
        <v>434</v>
      </c>
      <c r="G411" s="4">
        <v>45778</v>
      </c>
      <c r="H411" s="4" t="str">
        <f>Faturamento!$B511&amp;Faturamento!$G511</f>
        <v>10/113971-645717</v>
      </c>
      <c r="I411" t="s">
        <v>435</v>
      </c>
      <c r="J411">
        <v>206</v>
      </c>
      <c r="K411" s="3">
        <v>380.13900000000001</v>
      </c>
      <c r="L411" s="3">
        <v>330.33425</v>
      </c>
      <c r="M411" s="5" t="str">
        <f>IF(Faturamento!$S511&lt;&gt;"","Não emitido",IF(Faturamento!$I511="NÃO","Pendente Fatura", IF(Faturamento!$R511&lt;&gt;"","Aprovado",IF(Faturamento!$O511&lt;&gt;0,"Pendente Emissão","Processo de Calculo"))))</f>
        <v>Aprovado</v>
      </c>
      <c r="N411" s="3">
        <v>199.21899999999999</v>
      </c>
      <c r="O411" s="3">
        <v>149.41</v>
      </c>
      <c r="P411" s="4"/>
      <c r="Q411" s="4"/>
      <c r="R411" s="3">
        <v>149.41</v>
      </c>
      <c r="S411"/>
      <c r="T411" s="51" t="s">
        <v>997</v>
      </c>
      <c r="U411" s="51"/>
      <c r="V411" t="s">
        <v>568</v>
      </c>
      <c r="W411" s="3">
        <v>199.21899999999999</v>
      </c>
      <c r="X411" s="123">
        <f>IF(Faturamento!$V194="Pago",IFERROR(W411-R411,0),0)</f>
        <v>49.808999999999997</v>
      </c>
      <c r="Y411" s="52">
        <v>45973</v>
      </c>
      <c r="Z411" s="52"/>
      <c r="AA411" s="5"/>
      <c r="AB411" s="5"/>
      <c r="AI411"/>
    </row>
    <row r="412" spans="1:35" hidden="1" x14ac:dyDescent="0.3">
      <c r="A412" s="5" t="str">
        <f>VLOOKUP(B412,base!A:M,11,FALSE)</f>
        <v>TRIFÁSICO</v>
      </c>
      <c r="B412" s="37" t="s">
        <v>186</v>
      </c>
      <c r="C412" s="56">
        <v>0</v>
      </c>
      <c r="D412" s="59">
        <v>62955505016160</v>
      </c>
      <c r="E412" s="37" t="s">
        <v>433</v>
      </c>
      <c r="F412" s="37" t="s">
        <v>434</v>
      </c>
      <c r="G412" s="52">
        <v>45870</v>
      </c>
      <c r="H412" s="52" t="str">
        <f>Faturamento!$B766&amp;Faturamento!$G766</f>
        <v>10/987178-145689</v>
      </c>
      <c r="I412" s="37" t="s">
        <v>435</v>
      </c>
      <c r="J412">
        <v>191</v>
      </c>
      <c r="K412" s="3">
        <v>353.70823529411774</v>
      </c>
      <c r="L412" s="3">
        <v>310.12752961789477</v>
      </c>
      <c r="M412" s="5" t="str">
        <f>IF(Faturamento!$S766&lt;&gt;"","Não emitido",IF(Faturamento!$I766="NÃO","Pendente Fatura", IF(Faturamento!$R766&lt;&gt;"","Aprovado",IF(Faturamento!$O766&lt;&gt;0,"Pendente Emissão","Processo de Calculo"))))</f>
        <v>Aprovado</v>
      </c>
      <c r="N412" s="53">
        <v>192.86823529411765</v>
      </c>
      <c r="O412" s="53">
        <v>149.29</v>
      </c>
      <c r="P412" s="52">
        <v>45910</v>
      </c>
      <c r="Q412" s="52">
        <v>45920</v>
      </c>
      <c r="R412" s="53">
        <v>149.29</v>
      </c>
      <c r="S412" s="37"/>
      <c r="T412" s="51" t="s">
        <v>1428</v>
      </c>
      <c r="U412" s="51" t="s">
        <v>1429</v>
      </c>
      <c r="V412" s="37" t="s">
        <v>568</v>
      </c>
      <c r="W412" s="53">
        <v>149.29</v>
      </c>
      <c r="X412" s="123">
        <f>IF(Faturamento!$V529="Pago",IFERROR(W412-R412,0),0)</f>
        <v>0</v>
      </c>
      <c r="Y412" s="52"/>
      <c r="Z412" s="52"/>
      <c r="AA412" s="5"/>
      <c r="AB412" s="5"/>
      <c r="AI412"/>
    </row>
    <row r="413" spans="1:35" hidden="1" x14ac:dyDescent="0.3">
      <c r="A413" s="5" t="str">
        <f>VLOOKUP(B413,base!A:M,11,FALSE)</f>
        <v>TRIFÁSICO</v>
      </c>
      <c r="B413" s="37" t="s">
        <v>322</v>
      </c>
      <c r="C413" s="56">
        <v>0</v>
      </c>
      <c r="D413" s="59">
        <v>62955505182257</v>
      </c>
      <c r="E413" s="37" t="s">
        <v>433</v>
      </c>
      <c r="F413" s="37" t="s">
        <v>434</v>
      </c>
      <c r="G413" s="52">
        <v>45901</v>
      </c>
      <c r="H413" s="52" t="str">
        <f>Faturamento!$B868&amp;Faturamento!$G868</f>
        <v>10/52987-545689</v>
      </c>
      <c r="I413" s="37" t="s">
        <v>435</v>
      </c>
      <c r="J413">
        <v>194</v>
      </c>
      <c r="K413" s="3">
        <v>379.98753623188401</v>
      </c>
      <c r="L413" s="3">
        <v>325.21683675335066</v>
      </c>
      <c r="M413" s="5" t="s">
        <v>1489</v>
      </c>
      <c r="N413" s="53">
        <v>203.92753623188406</v>
      </c>
      <c r="O413" s="53">
        <v>149.16</v>
      </c>
      <c r="P413" s="52">
        <v>45933</v>
      </c>
      <c r="Q413" s="52">
        <v>45943</v>
      </c>
      <c r="R413" s="53">
        <f>O413</f>
        <v>149.16</v>
      </c>
      <c r="S413" s="37"/>
      <c r="T413" s="51" t="s">
        <v>1615</v>
      </c>
      <c r="U413" s="51" t="s">
        <v>1616</v>
      </c>
      <c r="V413" s="37" t="s">
        <v>568</v>
      </c>
      <c r="W413" s="53">
        <f>R413</f>
        <v>149.16</v>
      </c>
      <c r="X413" s="123">
        <f>IF(Faturamento!$V528="Pago",IFERROR(W413-R413,0),0)</f>
        <v>0</v>
      </c>
      <c r="Y413" s="52"/>
      <c r="Z413" s="52"/>
      <c r="AA413" s="5"/>
      <c r="AB413" s="5"/>
      <c r="AI413"/>
    </row>
    <row r="414" spans="1:35" hidden="1" x14ac:dyDescent="0.3">
      <c r="A414" s="5" t="str">
        <f>VLOOKUP(B414,base!A:M,11,FALSE)</f>
        <v>TRIFÁSICO</v>
      </c>
      <c r="B414" t="s">
        <v>230</v>
      </c>
      <c r="C414" s="1">
        <v>0</v>
      </c>
      <c r="D414" s="60">
        <v>62955505843253</v>
      </c>
      <c r="E414" s="63" t="s">
        <v>433</v>
      </c>
      <c r="F414" t="s">
        <v>434</v>
      </c>
      <c r="G414" s="4">
        <v>45901</v>
      </c>
      <c r="H414" s="4" t="str">
        <f>Faturamento!$B877&amp;Faturamento!$G877</f>
        <v>10/3125732-245689</v>
      </c>
      <c r="I414" t="s">
        <v>435</v>
      </c>
      <c r="J414">
        <v>194</v>
      </c>
      <c r="K414" s="3">
        <v>363.57753623188404</v>
      </c>
      <c r="L414" s="3">
        <v>308.80952254559293</v>
      </c>
      <c r="M414" s="5" t="s">
        <v>1489</v>
      </c>
      <c r="N414" s="3">
        <v>203.91753623188407</v>
      </c>
      <c r="O414" s="3">
        <v>149.15</v>
      </c>
      <c r="P414" s="4">
        <v>45933</v>
      </c>
      <c r="Q414" s="4">
        <v>45943</v>
      </c>
      <c r="R414" s="3">
        <f>O414</f>
        <v>149.15</v>
      </c>
      <c r="S414"/>
      <c r="T414" s="51" t="s">
        <v>1633</v>
      </c>
      <c r="U414" s="51" t="s">
        <v>1634</v>
      </c>
      <c r="V414" t="s">
        <v>568</v>
      </c>
      <c r="W414" s="3">
        <f>R414</f>
        <v>149.15</v>
      </c>
      <c r="X414" s="123">
        <f>IF(Faturamento!$V527="Pago",IFERROR(W414-R414,0),0)</f>
        <v>0</v>
      </c>
      <c r="Y414" s="4"/>
      <c r="Z414" s="4"/>
      <c r="AA414" s="5"/>
      <c r="AB414" s="5"/>
      <c r="AI414"/>
    </row>
    <row r="415" spans="1:35" hidden="1" x14ac:dyDescent="0.3">
      <c r="A415" s="5" t="str">
        <f>VLOOKUP(B415,base!A:M,11,FALSE)</f>
        <v>TRIFÁSICO</v>
      </c>
      <c r="B415" s="37" t="s">
        <v>324</v>
      </c>
      <c r="C415" s="56">
        <v>67996071169</v>
      </c>
      <c r="D415" s="59">
        <v>62955505136492</v>
      </c>
      <c r="E415" s="37" t="s">
        <v>433</v>
      </c>
      <c r="F415" s="37" t="s">
        <v>434</v>
      </c>
      <c r="G415" s="52">
        <v>45778</v>
      </c>
      <c r="H415" s="52" t="str">
        <f>Faturamento!$B498&amp;Faturamento!$G498</f>
        <v>10/513413-545901</v>
      </c>
      <c r="I415" s="37" t="s">
        <v>435</v>
      </c>
      <c r="J415">
        <v>204</v>
      </c>
      <c r="K415" s="3">
        <v>362.73812499999997</v>
      </c>
      <c r="L415" s="3">
        <v>313.03359374999997</v>
      </c>
      <c r="M415" s="5" t="str">
        <f>IF(Faturamento!$S498&lt;&gt;"","Não emitido",IF(Faturamento!$I498="NÃO","Pendente Fatura", IF(Faturamento!$R498&lt;&gt;"","Aprovado",IF(Faturamento!$O498&lt;&gt;0,"Pendente Emissão","Processo de Calculo"))))</f>
        <v>Aprovado</v>
      </c>
      <c r="N415" s="53">
        <v>198.81812499999998</v>
      </c>
      <c r="O415" s="53">
        <v>149.11000000000001</v>
      </c>
      <c r="P415" s="52"/>
      <c r="Q415" s="52"/>
      <c r="R415" s="53">
        <v>149.11000000000001</v>
      </c>
      <c r="S415" s="37"/>
      <c r="T415" s="51" t="s">
        <v>986</v>
      </c>
      <c r="U415" s="51"/>
      <c r="V415" s="37" t="s">
        <v>568</v>
      </c>
      <c r="W415" s="53">
        <v>149.11000000000001</v>
      </c>
      <c r="X415" s="123">
        <f>IF(Faturamento!$V526="Pago",IFERROR(W415-R415,0),0)</f>
        <v>0</v>
      </c>
      <c r="Y415" s="52"/>
      <c r="Z415" s="52"/>
      <c r="AA415" s="5"/>
      <c r="AB415" s="5"/>
      <c r="AI415"/>
    </row>
    <row r="416" spans="1:35" hidden="1" x14ac:dyDescent="0.3">
      <c r="A416" s="5" t="str">
        <f>VLOOKUP(B416,base!A:M,11,FALSE)</f>
        <v>TRIFÁSICO</v>
      </c>
      <c r="B416" t="s">
        <v>330</v>
      </c>
      <c r="C416" s="1" t="s">
        <v>332</v>
      </c>
      <c r="D416" s="60">
        <v>62955505016837</v>
      </c>
      <c r="E416" s="63" t="s">
        <v>433</v>
      </c>
      <c r="F416" t="s">
        <v>434</v>
      </c>
      <c r="G416" s="4">
        <v>45748</v>
      </c>
      <c r="H416" s="4" t="str">
        <f>Faturamento!$B423&amp;Faturamento!$G423</f>
        <v>10/41548-945901</v>
      </c>
      <c r="I416" t="s">
        <v>435</v>
      </c>
      <c r="J416" s="37">
        <v>204</v>
      </c>
      <c r="K416" s="53">
        <v>356.2</v>
      </c>
      <c r="L416" s="53">
        <v>306.54999999999995</v>
      </c>
      <c r="M416" s="5" t="str">
        <f>IF(Faturamento!$S423&lt;&gt;"","Não emitido",IF(Faturamento!$I423="NÃO","Pendente Fatura", IF(Faturamento!$R423&lt;&gt;"","Aprovado",IF(Faturamento!$O423&lt;&gt;0,"Pendente Emissão","Processo de Calculo"))))</f>
        <v>Aprovado</v>
      </c>
      <c r="N416" s="3">
        <v>198.6</v>
      </c>
      <c r="O416" s="3">
        <v>148.94999999999999</v>
      </c>
      <c r="P416" s="4"/>
      <c r="Q416" s="4"/>
      <c r="R416" s="3">
        <v>148.94999999999999</v>
      </c>
      <c r="S416"/>
      <c r="T416" s="51" t="s">
        <v>919</v>
      </c>
      <c r="U416" s="51"/>
      <c r="V416" t="s">
        <v>568</v>
      </c>
      <c r="W416" s="3">
        <v>148.94999999999999</v>
      </c>
      <c r="X416" s="123">
        <f>IF(Faturamento!$V525="Pago",IFERROR(W416-R416,0),0)</f>
        <v>0</v>
      </c>
      <c r="Y416" s="4"/>
      <c r="Z416" s="4"/>
      <c r="AA416" s="5"/>
      <c r="AB416" s="5"/>
      <c r="AI416"/>
    </row>
    <row r="417" spans="1:35" hidden="1" x14ac:dyDescent="0.3">
      <c r="A417" s="5" t="str">
        <f>VLOOKUP(B417,base!A:M,11,FALSE)</f>
        <v>BIFÁSICO</v>
      </c>
      <c r="B417" t="s">
        <v>130</v>
      </c>
      <c r="C417" s="56" t="s">
        <v>132</v>
      </c>
      <c r="D417">
        <v>62955505000167</v>
      </c>
      <c r="E417" s="37" t="s">
        <v>433</v>
      </c>
      <c r="F417" t="s">
        <v>108</v>
      </c>
      <c r="G417" s="4">
        <v>45931</v>
      </c>
      <c r="H417" s="52" t="str">
        <f>Faturamento!$B906&amp;Faturamento!$G906</f>
        <v>10/239312-245717</v>
      </c>
      <c r="I417" s="37" t="s">
        <v>435</v>
      </c>
      <c r="J417">
        <v>315</v>
      </c>
      <c r="K417" s="3">
        <v>431.48999999999995</v>
      </c>
      <c r="L417" s="3">
        <v>337.14021116180379</v>
      </c>
      <c r="M417" s="5" t="s">
        <v>1489</v>
      </c>
      <c r="N417" s="53">
        <v>337.34999999999997</v>
      </c>
      <c r="O417" s="53">
        <v>243</v>
      </c>
      <c r="P417" s="52">
        <v>45967</v>
      </c>
      <c r="Q417" s="52">
        <v>45974</v>
      </c>
      <c r="R417" s="53">
        <v>243</v>
      </c>
      <c r="S417" s="37"/>
      <c r="T417" s="3" t="str">
        <f>D417&amp;R417</f>
        <v>62955505000167243</v>
      </c>
      <c r="U417" s="3" t="s">
        <v>1718</v>
      </c>
      <c r="V417" s="37" t="s">
        <v>369</v>
      </c>
      <c r="X417" s="124">
        <f>IF(Faturamento!$V908="Pago",IFERROR(W417-R417,0),0)</f>
        <v>0</v>
      </c>
      <c r="Z417" s="196" t="s">
        <v>1795</v>
      </c>
    </row>
    <row r="418" spans="1:35" hidden="1" x14ac:dyDescent="0.3">
      <c r="A418" s="5" t="str">
        <f>VLOOKUP(B418,base!A:M,11,FALSE)</f>
        <v>TRIFÁSICO</v>
      </c>
      <c r="B418" s="37" t="s">
        <v>283</v>
      </c>
      <c r="C418" s="56">
        <v>6796411024</v>
      </c>
      <c r="D418" s="59">
        <v>62955505182257</v>
      </c>
      <c r="E418" s="37" t="s">
        <v>433</v>
      </c>
      <c r="F418" s="37" t="s">
        <v>434</v>
      </c>
      <c r="G418" s="52">
        <v>45839</v>
      </c>
      <c r="H418" s="52" t="str">
        <f>Faturamento!$B666&amp;Faturamento!$G666</f>
        <v>10/1695011-545778</v>
      </c>
      <c r="I418" s="37" t="s">
        <v>435</v>
      </c>
      <c r="J418" s="37">
        <v>189</v>
      </c>
      <c r="K418" s="53">
        <v>361.50735294117646</v>
      </c>
      <c r="L418" s="53">
        <v>317.88525617647059</v>
      </c>
      <c r="M418" s="5" t="str">
        <f>IF(Faturamento!$S666&lt;&gt;"","Não emitido",IF(Faturamento!$I666="NÃO","Pendente Fatura", IF(Faturamento!$R666&lt;&gt;"","Aprovado",IF(Faturamento!$O666&lt;&gt;0,"Pendente Emissão","Processo de Calculo"))))</f>
        <v>Aprovado</v>
      </c>
      <c r="N418" s="53">
        <v>192.17735294117642</v>
      </c>
      <c r="O418" s="53">
        <v>148.56</v>
      </c>
      <c r="P418" s="52">
        <v>45910</v>
      </c>
      <c r="Q418" s="52">
        <v>45920</v>
      </c>
      <c r="R418" s="53">
        <v>148.56</v>
      </c>
      <c r="S418" s="37"/>
      <c r="T418" s="51" t="s">
        <v>1245</v>
      </c>
      <c r="U418" s="51" t="s">
        <v>1246</v>
      </c>
      <c r="V418" s="37" t="s">
        <v>568</v>
      </c>
      <c r="W418" s="53">
        <v>148.56</v>
      </c>
      <c r="X418" s="123">
        <f>IF(Faturamento!$V524="Pago",IFERROR(W418-R418,0),0)</f>
        <v>0</v>
      </c>
      <c r="Y418" s="52"/>
      <c r="Z418" s="52"/>
      <c r="AA418" s="5"/>
      <c r="AB418" s="5"/>
      <c r="AI418"/>
    </row>
    <row r="419" spans="1:35" hidden="1" x14ac:dyDescent="0.3">
      <c r="A419" s="5" t="str">
        <f>VLOOKUP(B419,base!A:M,11,FALSE)</f>
        <v>BIFÁSICO</v>
      </c>
      <c r="B419" t="s">
        <v>114</v>
      </c>
      <c r="C419" s="56" t="s">
        <v>116</v>
      </c>
      <c r="D419">
        <v>62955505393207</v>
      </c>
      <c r="E419" s="37" t="s">
        <v>433</v>
      </c>
      <c r="F419" t="s">
        <v>108</v>
      </c>
      <c r="G419" s="4">
        <v>45931</v>
      </c>
      <c r="H419" s="52" t="str">
        <f>Faturamento!$B969&amp;Faturamento!$G969</f>
        <v>10/3054052-045839</v>
      </c>
      <c r="I419" s="37" t="s">
        <v>435</v>
      </c>
      <c r="J419">
        <v>171</v>
      </c>
      <c r="K419" s="3">
        <v>308.6357142857143</v>
      </c>
      <c r="L419" s="3">
        <v>251.19639228971351</v>
      </c>
      <c r="M419" s="5" t="s">
        <v>1489</v>
      </c>
      <c r="N419" s="53">
        <v>205.37571428571425</v>
      </c>
      <c r="O419" s="53">
        <v>147.94</v>
      </c>
      <c r="P419" s="52">
        <v>45967</v>
      </c>
      <c r="Q419" s="52">
        <v>45974</v>
      </c>
      <c r="R419" s="53">
        <v>147.94</v>
      </c>
      <c r="S419" s="37"/>
      <c r="T419" s="3" t="str">
        <f>D419&amp;R419</f>
        <v>62955505393207147,94</v>
      </c>
      <c r="U419" s="3" t="s">
        <v>1781</v>
      </c>
      <c r="V419" s="37" t="s">
        <v>568</v>
      </c>
      <c r="W419" s="13">
        <f>R419</f>
        <v>147.94</v>
      </c>
      <c r="X419" s="124">
        <f>IF(Faturamento!$V971="Pago",IFERROR(W419-R419,0),0)</f>
        <v>0</v>
      </c>
    </row>
    <row r="420" spans="1:35" hidden="1" x14ac:dyDescent="0.3">
      <c r="A420" s="5" t="e">
        <f>VLOOKUP(B420,base!A:M,11,FALSE)</f>
        <v>#N/A</v>
      </c>
      <c r="B420" s="37" t="s">
        <v>658</v>
      </c>
      <c r="C420" s="56" t="e">
        <v>#N/A</v>
      </c>
      <c r="D420" s="59">
        <v>62955505015199</v>
      </c>
      <c r="E420" s="37" t="s">
        <v>433</v>
      </c>
      <c r="F420" s="37" t="s">
        <v>434</v>
      </c>
      <c r="G420" s="52">
        <v>45748</v>
      </c>
      <c r="H420" s="52" t="str">
        <f>Faturamento!$B380&amp;Faturamento!$G380</f>
        <v>10/129490-945839</v>
      </c>
      <c r="I420" s="37" t="s">
        <v>435</v>
      </c>
      <c r="J420" s="37">
        <v>193</v>
      </c>
      <c r="K420" s="53">
        <v>871.15000000000009</v>
      </c>
      <c r="L420" s="53">
        <v>821.89143990000002</v>
      </c>
      <c r="M420" s="5" t="str">
        <f>IF(Faturamento!$S380&lt;&gt;"","Não emitido",IF(Faturamento!$I380="NÃO","Pendente Fatura", IF(Faturamento!$R380&lt;&gt;"","Aprovado",IF(Faturamento!$O380&lt;&gt;0,"Pendente Emissão","Processo de Calculo"))))</f>
        <v>Aprovado</v>
      </c>
      <c r="N420" s="53">
        <v>197.03424039999999</v>
      </c>
      <c r="O420" s="53">
        <v>147.78</v>
      </c>
      <c r="P420" s="52"/>
      <c r="Q420" s="52"/>
      <c r="R420" s="53">
        <v>147.78</v>
      </c>
      <c r="S420" s="37"/>
      <c r="T420" s="51" t="s">
        <v>879</v>
      </c>
      <c r="U420" s="51" t="e">
        <v>#N/A</v>
      </c>
      <c r="V420" s="37" t="s">
        <v>369</v>
      </c>
      <c r="W420" s="53">
        <v>0</v>
      </c>
      <c r="X420" s="123">
        <f>IF(Faturamento!$V160="Pago",IFERROR(W420-R420,0),0)</f>
        <v>-147.78</v>
      </c>
      <c r="Y420" s="52"/>
      <c r="Z420" s="196" t="s">
        <v>1795</v>
      </c>
      <c r="AA420" s="5"/>
      <c r="AB420" s="5"/>
      <c r="AI420"/>
    </row>
    <row r="421" spans="1:35" hidden="1" x14ac:dyDescent="0.3">
      <c r="A421" s="5" t="str">
        <f>VLOOKUP(B421,base!A:M,11,FALSE)</f>
        <v>TRIFÁSICO</v>
      </c>
      <c r="B421" t="s">
        <v>146</v>
      </c>
      <c r="C421" s="1">
        <v>0</v>
      </c>
      <c r="D421" s="60">
        <v>62955505379395</v>
      </c>
      <c r="E421" s="63" t="s">
        <v>433</v>
      </c>
      <c r="F421" t="s">
        <v>434</v>
      </c>
      <c r="G421" s="4">
        <v>45901</v>
      </c>
      <c r="H421" s="4" t="str">
        <f>Faturamento!$B859&amp;Faturamento!$G859</f>
        <v>10/1266128-645689</v>
      </c>
      <c r="I421" t="s">
        <v>435</v>
      </c>
      <c r="J421">
        <v>191</v>
      </c>
      <c r="K421" s="3">
        <v>314.0892753623188</v>
      </c>
      <c r="L421" s="3">
        <v>260.16413334577976</v>
      </c>
      <c r="M421" s="5" t="s">
        <v>1489</v>
      </c>
      <c r="N421" s="3">
        <v>200.77927536231883</v>
      </c>
      <c r="O421" s="3">
        <v>146.85</v>
      </c>
      <c r="P421" s="4">
        <v>45933</v>
      </c>
      <c r="Q421" s="4">
        <v>45943</v>
      </c>
      <c r="R421" s="3">
        <f>O421</f>
        <v>146.85</v>
      </c>
      <c r="S421"/>
      <c r="T421" s="51" t="s">
        <v>1597</v>
      </c>
      <c r="U421" s="51" t="s">
        <v>1598</v>
      </c>
      <c r="V421" t="s">
        <v>568</v>
      </c>
      <c r="W421" s="3">
        <f>R421</f>
        <v>146.85</v>
      </c>
      <c r="X421" s="123">
        <f>IF(Faturamento!$V522="Pago",IFERROR(W421-R421,0),0)</f>
        <v>0</v>
      </c>
      <c r="Y421" s="4"/>
      <c r="Z421" s="4"/>
      <c r="AA421" s="5"/>
      <c r="AB421" s="5"/>
      <c r="AI421"/>
    </row>
    <row r="422" spans="1:35" hidden="1" x14ac:dyDescent="0.3">
      <c r="A422" s="5" t="str">
        <f>VLOOKUP(B422,base!A:M,11,FALSE)</f>
        <v>TRIFÁSICO</v>
      </c>
      <c r="B422" t="s">
        <v>324</v>
      </c>
      <c r="C422" s="1">
        <v>67996071169</v>
      </c>
      <c r="D422" s="60">
        <v>62955505136492</v>
      </c>
      <c r="E422" s="63" t="s">
        <v>433</v>
      </c>
      <c r="F422" t="s">
        <v>434</v>
      </c>
      <c r="G422" s="4">
        <v>45748</v>
      </c>
      <c r="H422" s="4" t="str">
        <f>Faturamento!$B401&amp;Faturamento!$G401</f>
        <v>10/129490-945748</v>
      </c>
      <c r="I422" t="s">
        <v>435</v>
      </c>
      <c r="J422" s="37">
        <v>201</v>
      </c>
      <c r="K422" s="53">
        <v>359.02</v>
      </c>
      <c r="L422" s="53">
        <v>310.10749999999996</v>
      </c>
      <c r="M422" s="5" t="str">
        <f>IF(Faturamento!$S401&lt;&gt;"","Não emitido",IF(Faturamento!$I401="NÃO","Pendente Fatura", IF(Faturamento!$R401&lt;&gt;"","Aprovado",IF(Faturamento!$O401&lt;&gt;0,"Pendente Emissão","Processo de Calculo"))))</f>
        <v>Aprovado</v>
      </c>
      <c r="N422" s="3">
        <v>195.65</v>
      </c>
      <c r="O422" s="3">
        <v>146.74</v>
      </c>
      <c r="P422" s="4"/>
      <c r="Q422" s="4"/>
      <c r="R422" s="3">
        <v>146.74</v>
      </c>
      <c r="S422"/>
      <c r="T422" s="51" t="s">
        <v>899</v>
      </c>
      <c r="U422" s="51"/>
      <c r="V422" t="s">
        <v>568</v>
      </c>
      <c r="W422" s="3">
        <v>146.74</v>
      </c>
      <c r="X422" s="123">
        <f>IF(Faturamento!$V521="Pago",IFERROR(W422-R422,0),0)</f>
        <v>0</v>
      </c>
      <c r="Y422" s="4"/>
      <c r="Z422" s="4"/>
      <c r="AA422" s="5"/>
      <c r="AB422" s="5"/>
      <c r="AI422"/>
    </row>
    <row r="423" spans="1:35" hidden="1" x14ac:dyDescent="0.3">
      <c r="A423" s="5" t="str">
        <f>VLOOKUP(B423,base!A:M,11,FALSE)</f>
        <v>BIFÁSICO</v>
      </c>
      <c r="B423" t="s">
        <v>271</v>
      </c>
      <c r="C423" s="1" t="s">
        <v>126</v>
      </c>
      <c r="D423" s="60">
        <v>62955505269026</v>
      </c>
      <c r="E423" s="63" t="s">
        <v>433</v>
      </c>
      <c r="F423" t="s">
        <v>434</v>
      </c>
      <c r="G423" s="4">
        <v>45901</v>
      </c>
      <c r="H423" s="4" t="str">
        <f>Faturamento!$B869&amp;Faturamento!$G869</f>
        <v>10/341308-545689</v>
      </c>
      <c r="I423" t="s">
        <v>435</v>
      </c>
      <c r="J423">
        <v>189</v>
      </c>
      <c r="K423" s="3">
        <v>301.79052631578946</v>
      </c>
      <c r="L423" s="3">
        <v>248.42906469000263</v>
      </c>
      <c r="M423" s="5" t="s">
        <v>1489</v>
      </c>
      <c r="N423" s="3">
        <v>198.68052631578951</v>
      </c>
      <c r="O423" s="3">
        <v>145.32</v>
      </c>
      <c r="P423" s="4">
        <v>45933</v>
      </c>
      <c r="Q423" s="4">
        <v>45943</v>
      </c>
      <c r="R423" s="3">
        <f>O423</f>
        <v>145.32</v>
      </c>
      <c r="S423"/>
      <c r="T423" s="51" t="s">
        <v>1617</v>
      </c>
      <c r="U423" s="51" t="s">
        <v>1618</v>
      </c>
      <c r="V423" t="s">
        <v>568</v>
      </c>
      <c r="W423" s="3">
        <v>198.68052631578951</v>
      </c>
      <c r="X423" s="123">
        <f>IF(Faturamento!$V886="Pago",IFERROR(W423-R423,0),0)</f>
        <v>0</v>
      </c>
      <c r="Y423" s="4">
        <v>45973</v>
      </c>
      <c r="Z423" s="4"/>
      <c r="AA423" s="5"/>
      <c r="AB423" s="5"/>
      <c r="AI423"/>
    </row>
    <row r="424" spans="1:35" hidden="1" x14ac:dyDescent="0.3">
      <c r="A424" s="5" t="str">
        <f>VLOOKUP(B424,base!A:M,11,FALSE)</f>
        <v>TRIFÁSICO</v>
      </c>
      <c r="B424" t="s">
        <v>290</v>
      </c>
      <c r="C424" s="1">
        <v>67992637973</v>
      </c>
      <c r="D424" s="60">
        <v>62955505354481</v>
      </c>
      <c r="E424" s="63" t="s">
        <v>433</v>
      </c>
      <c r="F424" t="s">
        <v>434</v>
      </c>
      <c r="G424" s="4">
        <v>45839</v>
      </c>
      <c r="H424" s="4" t="str">
        <f>Faturamento!$B659&amp;Faturamento!$G659</f>
        <v>10/435964-245809</v>
      </c>
      <c r="I424" t="s">
        <v>435</v>
      </c>
      <c r="J424" s="37">
        <v>186</v>
      </c>
      <c r="K424" s="53">
        <v>332.61913043478262</v>
      </c>
      <c r="L424" s="53">
        <v>289.68711991304349</v>
      </c>
      <c r="M424" s="5" t="str">
        <f>IF(Faturamento!$S659&lt;&gt;"","Não emitido",IF(Faturamento!$I659="NÃO","Pendente Fatura", IF(Faturamento!$R659&lt;&gt;"","Aprovado",IF(Faturamento!$O659&lt;&gt;0,"Pendente Emissão","Processo de Calculo"))))</f>
        <v>Aprovado</v>
      </c>
      <c r="N424" s="3">
        <v>187.14913043478259</v>
      </c>
      <c r="O424" s="3">
        <v>144.22</v>
      </c>
      <c r="P424" s="4">
        <v>45910</v>
      </c>
      <c r="Q424" s="4">
        <v>45920</v>
      </c>
      <c r="R424" s="3">
        <v>144.22</v>
      </c>
      <c r="S424"/>
      <c r="T424" s="51" t="s">
        <v>1231</v>
      </c>
      <c r="U424" s="51" t="s">
        <v>1232</v>
      </c>
      <c r="V424" t="s">
        <v>568</v>
      </c>
      <c r="W424" s="3">
        <v>144.22</v>
      </c>
      <c r="X424" s="123">
        <f>IF(Faturamento!$V520="Pago",IFERROR(W424-R424,0),0)</f>
        <v>0</v>
      </c>
      <c r="Y424" s="4"/>
      <c r="Z424" s="4"/>
      <c r="AA424" s="5"/>
      <c r="AB424" s="5"/>
      <c r="AI424"/>
    </row>
    <row r="425" spans="1:35" hidden="1" x14ac:dyDescent="0.3">
      <c r="A425" s="5" t="str">
        <f>VLOOKUP(B425,base!A:M,11,FALSE)</f>
        <v>MONOFÁSICO</v>
      </c>
      <c r="B425" s="37" t="s">
        <v>167</v>
      </c>
      <c r="C425" s="56">
        <v>67992337953</v>
      </c>
      <c r="D425" s="59">
        <v>62955505091456</v>
      </c>
      <c r="E425" s="37" t="s">
        <v>433</v>
      </c>
      <c r="F425" s="37" t="s">
        <v>434</v>
      </c>
      <c r="G425" s="52">
        <v>45717</v>
      </c>
      <c r="H425" s="52" t="str">
        <f>Faturamento!$B258&amp;Faturamento!$G258</f>
        <v>10/931327-145689</v>
      </c>
      <c r="I425" s="37" t="s">
        <v>435</v>
      </c>
      <c r="J425">
        <v>172</v>
      </c>
      <c r="K425" s="3">
        <v>279.75</v>
      </c>
      <c r="L425" s="3">
        <v>231.75250000000003</v>
      </c>
      <c r="M425" s="5" t="str">
        <f>IF(Faturamento!$S258&lt;&gt;"","Não emitido",IF(Faturamento!$I258="NÃO","Pendente Fatura", IF(Faturamento!$R258&lt;&gt;"","Aprovado",IF(Faturamento!$O258&lt;&gt;0,"Pendente Emissão","Processo de Calculo"))))</f>
        <v>Aprovado</v>
      </c>
      <c r="N425" s="53">
        <v>326.54999999999995</v>
      </c>
      <c r="O425" s="53">
        <v>143.99</v>
      </c>
      <c r="P425" s="52"/>
      <c r="Q425" s="52"/>
      <c r="R425" s="53">
        <v>143.99</v>
      </c>
      <c r="S425" s="37"/>
      <c r="T425" s="51" t="s">
        <v>798</v>
      </c>
      <c r="U425" s="51"/>
      <c r="V425" s="37" t="s">
        <v>702</v>
      </c>
      <c r="W425" s="53">
        <v>0</v>
      </c>
      <c r="X425" s="123">
        <f>IF(Faturamento!$V110="Pago",IFERROR(W425-R425,0),0)</f>
        <v>-143.99</v>
      </c>
      <c r="Y425" s="52"/>
      <c r="Z425" s="52"/>
      <c r="AA425" s="5"/>
      <c r="AB425" s="5"/>
      <c r="AI425"/>
    </row>
    <row r="426" spans="1:35" hidden="1" x14ac:dyDescent="0.3">
      <c r="A426" s="5" t="e">
        <f>VLOOKUP(B426,base!A:M,11,FALSE)</f>
        <v>#N/A</v>
      </c>
      <c r="B426" s="37" t="s">
        <v>658</v>
      </c>
      <c r="C426" s="56" t="e">
        <v>#N/A</v>
      </c>
      <c r="D426" s="59" t="s">
        <v>1180</v>
      </c>
      <c r="E426" s="37" t="s">
        <v>433</v>
      </c>
      <c r="F426" s="37" t="s">
        <v>434</v>
      </c>
      <c r="G426" s="52">
        <v>45870</v>
      </c>
      <c r="H426" s="52" t="str">
        <f>Faturamento!$B796&amp;Faturamento!$G796</f>
        <v>10/191945-545627</v>
      </c>
      <c r="I426" s="37" t="s">
        <v>435</v>
      </c>
      <c r="J426">
        <v>0</v>
      </c>
      <c r="M426" s="5" t="str">
        <f>IF(Faturamento!$S796&lt;&gt;"","Não emitido",IF(Faturamento!$I796="NÃO","Pendente Fatura", IF(Faturamento!$R796&lt;&gt;"","Aprovado",IF(Faturamento!$O796&lt;&gt;0,"Pendente Emissão","Processo de Calculo"))))</f>
        <v>Não emitido</v>
      </c>
      <c r="N426" s="53">
        <v>142.66999999999999</v>
      </c>
      <c r="O426" s="53">
        <v>142.66999999999999</v>
      </c>
      <c r="P426" s="52"/>
      <c r="Q426" s="52"/>
      <c r="R426" s="53"/>
      <c r="S426" s="37" t="s">
        <v>1393</v>
      </c>
      <c r="T426" s="51" t="s">
        <v>1483</v>
      </c>
      <c r="U426" s="51" t="e">
        <v>#N/A</v>
      </c>
      <c r="V426" s="37" t="s">
        <v>438</v>
      </c>
      <c r="W426" s="53"/>
      <c r="X426" s="123">
        <f>IF(Faturamento!$V868="Pago",IFERROR(W426-R426,0),0)</f>
        <v>0</v>
      </c>
      <c r="Y426" s="52"/>
      <c r="Z426" s="52"/>
      <c r="AA426" s="5"/>
      <c r="AB426" s="5"/>
      <c r="AI426"/>
    </row>
    <row r="427" spans="1:35" hidden="1" x14ac:dyDescent="0.3">
      <c r="A427" s="5" t="str">
        <f>VLOOKUP(B427,base!A:M,11,FALSE)</f>
        <v>TRIFÁSICO</v>
      </c>
      <c r="B427" s="37" t="s">
        <v>287</v>
      </c>
      <c r="C427" s="56" t="s">
        <v>288</v>
      </c>
      <c r="D427" s="59">
        <v>62955505273058</v>
      </c>
      <c r="E427" s="37" t="s">
        <v>433</v>
      </c>
      <c r="F427" s="37" t="s">
        <v>434</v>
      </c>
      <c r="G427" s="52">
        <v>45717</v>
      </c>
      <c r="H427" s="52" t="str">
        <f>Faturamento!$B266&amp;Faturamento!$G266</f>
        <v>10/513413-545717</v>
      </c>
      <c r="I427" s="37" t="s">
        <v>435</v>
      </c>
      <c r="J427">
        <v>170</v>
      </c>
      <c r="K427" s="3">
        <v>301.39</v>
      </c>
      <c r="L427" s="3">
        <v>253.95249999999999</v>
      </c>
      <c r="M427" s="5" t="str">
        <f>IF(Faturamento!$S266&lt;&gt;"","Não emitido",IF(Faturamento!$I266="NÃO","Pendente Fatura", IF(Faturamento!$R266&lt;&gt;"","Aprovado",IF(Faturamento!$O266&lt;&gt;0,"Pendente Emissão","Processo de Calculo"))))</f>
        <v>Aprovado</v>
      </c>
      <c r="N427" s="53">
        <v>189.75</v>
      </c>
      <c r="O427" s="53">
        <v>142.31</v>
      </c>
      <c r="P427" s="52"/>
      <c r="Q427" s="52"/>
      <c r="R427" s="53">
        <v>142.31</v>
      </c>
      <c r="S427" s="37"/>
      <c r="T427" s="51" t="s">
        <v>806</v>
      </c>
      <c r="U427" s="51"/>
      <c r="V427" s="37" t="s">
        <v>568</v>
      </c>
      <c r="W427" s="53">
        <v>142.31</v>
      </c>
      <c r="X427" s="123">
        <f>IF(Faturamento!$V519="Pago",IFERROR(W427-R427,0),0)</f>
        <v>0</v>
      </c>
      <c r="Y427" s="52"/>
      <c r="Z427" s="52"/>
      <c r="AA427" s="5"/>
      <c r="AB427" s="5"/>
      <c r="AI427"/>
    </row>
    <row r="428" spans="1:35" hidden="1" x14ac:dyDescent="0.3">
      <c r="A428" s="5" t="str">
        <f>VLOOKUP(B428,base!A:M,11,FALSE)</f>
        <v>TRIFÁSICO</v>
      </c>
      <c r="B428" t="s">
        <v>345</v>
      </c>
      <c r="C428" s="1">
        <v>0</v>
      </c>
      <c r="D428" s="60">
        <v>62955505402710</v>
      </c>
      <c r="E428" s="63" t="s">
        <v>433</v>
      </c>
      <c r="F428" t="s">
        <v>434</v>
      </c>
      <c r="G428" s="4">
        <v>45901</v>
      </c>
      <c r="H428" s="4" t="str">
        <f>Faturamento!$B821&amp;Faturamento!$G821</f>
        <v>10/931327-145627</v>
      </c>
      <c r="I428" t="s">
        <v>435</v>
      </c>
      <c r="J428">
        <v>161</v>
      </c>
      <c r="K428" s="3">
        <v>375.17340000000002</v>
      </c>
      <c r="L428" s="3">
        <v>322.93651351182484</v>
      </c>
      <c r="M428" s="5" t="s">
        <v>1489</v>
      </c>
      <c r="N428" s="3">
        <v>194.49339999999998</v>
      </c>
      <c r="O428" s="3">
        <v>142.26</v>
      </c>
      <c r="P428" s="4">
        <v>45933</v>
      </c>
      <c r="Q428" s="4">
        <v>45943</v>
      </c>
      <c r="R428" s="3">
        <f>O428</f>
        <v>142.26</v>
      </c>
      <c r="S428"/>
      <c r="T428" s="51" t="s">
        <v>1526</v>
      </c>
      <c r="U428" s="51" t="s">
        <v>1527</v>
      </c>
      <c r="V428" t="s">
        <v>568</v>
      </c>
      <c r="W428" s="3">
        <f>O428</f>
        <v>142.26</v>
      </c>
      <c r="X428" s="123">
        <f>IF(Faturamento!$V518="Pago",IFERROR(W428-R428,0),0)</f>
        <v>0</v>
      </c>
      <c r="Y428" s="4"/>
      <c r="Z428" s="4"/>
      <c r="AA428" s="5"/>
      <c r="AB428" s="5"/>
      <c r="AI428"/>
    </row>
    <row r="429" spans="1:35" hidden="1" x14ac:dyDescent="0.3">
      <c r="A429" s="5" t="str">
        <f>VLOOKUP(B429,base!A:M,11,FALSE)</f>
        <v>TRIFÁSICO</v>
      </c>
      <c r="B429" s="37" t="s">
        <v>206</v>
      </c>
      <c r="C429" s="56">
        <v>67992637973</v>
      </c>
      <c r="D429" s="59">
        <v>62955505017213</v>
      </c>
      <c r="E429" s="37" t="s">
        <v>433</v>
      </c>
      <c r="F429" s="37" t="s">
        <v>434</v>
      </c>
      <c r="G429" s="52">
        <v>45658</v>
      </c>
      <c r="H429" s="52" t="str">
        <f>Faturamento!$B64&amp;Faturamento!$G64</f>
        <v>10/2247256-745931</v>
      </c>
      <c r="I429" s="37" t="s">
        <v>435</v>
      </c>
      <c r="J429">
        <v>169</v>
      </c>
      <c r="K429" s="3">
        <v>330.03999999999996</v>
      </c>
      <c r="L429" s="3">
        <v>282.88</v>
      </c>
      <c r="M429" s="5" t="s">
        <v>1489</v>
      </c>
      <c r="N429" s="53">
        <v>188.64000000000001</v>
      </c>
      <c r="O429" s="53">
        <v>141.47999999999999</v>
      </c>
      <c r="P429" s="52"/>
      <c r="Q429" s="52"/>
      <c r="R429" s="53">
        <v>141.47999999999999</v>
      </c>
      <c r="S429" s="37"/>
      <c r="T429" s="51" t="s">
        <v>620</v>
      </c>
      <c r="U429" s="51"/>
      <c r="V429" s="37" t="s">
        <v>568</v>
      </c>
      <c r="W429" s="53">
        <v>141.47999999999999</v>
      </c>
      <c r="X429" s="123">
        <f>IF(Faturamento!$V517="Pago",IFERROR(W429-R429,0),0)</f>
        <v>0</v>
      </c>
      <c r="Y429" s="52"/>
      <c r="Z429" s="52"/>
      <c r="AA429" s="5">
        <v>283032</v>
      </c>
      <c r="AB429" s="5">
        <v>502</v>
      </c>
      <c r="AC429" s="5" t="s">
        <v>434</v>
      </c>
      <c r="AD429" s="5" t="s">
        <v>621</v>
      </c>
      <c r="AE429" s="5">
        <v>120.62</v>
      </c>
      <c r="AG429" s="5" t="s">
        <v>622</v>
      </c>
      <c r="AH429" s="5" t="s">
        <v>441</v>
      </c>
      <c r="AI429"/>
    </row>
    <row r="430" spans="1:35" hidden="1" x14ac:dyDescent="0.3">
      <c r="A430" s="5" t="str">
        <f>VLOOKUP(B430,base!A:M,11,FALSE)</f>
        <v>BIFÁSICO</v>
      </c>
      <c r="B430" t="s">
        <v>208</v>
      </c>
      <c r="C430" s="1">
        <v>67996711972</v>
      </c>
      <c r="D430" s="60">
        <v>62955505016594</v>
      </c>
      <c r="E430" s="63" t="s">
        <v>433</v>
      </c>
      <c r="F430" t="s">
        <v>434</v>
      </c>
      <c r="G430" s="4">
        <v>45839</v>
      </c>
      <c r="H430" s="4" t="str">
        <f>Faturamento!$B677&amp;Faturamento!$G677</f>
        <v>10/237441-145689</v>
      </c>
      <c r="I430" t="s">
        <v>435</v>
      </c>
      <c r="J430" s="37">
        <v>178</v>
      </c>
      <c r="K430" s="53">
        <v>260.45800000000003</v>
      </c>
      <c r="L430" s="53">
        <v>219.3820948</v>
      </c>
      <c r="M430" s="5" t="str">
        <f>IF(Faturamento!$S677&lt;&gt;"","Não emitido",IF(Faturamento!$I677="NÃO","Pendente Fatura", IF(Faturamento!$R677&lt;&gt;"","Aprovado",IF(Faturamento!$O677&lt;&gt;0,"Pendente Emissão","Processo de Calculo"))))</f>
        <v>Aprovado</v>
      </c>
      <c r="N430" s="3">
        <v>181.08799999999999</v>
      </c>
      <c r="O430" s="3">
        <v>140.01</v>
      </c>
      <c r="P430" s="4">
        <v>45910</v>
      </c>
      <c r="Q430" s="4">
        <v>45920</v>
      </c>
      <c r="R430" s="3">
        <v>140.01</v>
      </c>
      <c r="S430"/>
      <c r="T430" s="51" t="s">
        <v>1267</v>
      </c>
      <c r="U430" s="51" t="s">
        <v>1268</v>
      </c>
      <c r="V430" t="s">
        <v>568</v>
      </c>
      <c r="W430" s="3">
        <v>140.01</v>
      </c>
      <c r="X430" s="123">
        <f>IF(Faturamento!$V516="Pago",IFERROR(W430-R430,0),0)</f>
        <v>0</v>
      </c>
      <c r="Y430" s="4"/>
      <c r="Z430" s="4"/>
      <c r="AA430" s="5"/>
      <c r="AB430" s="5"/>
      <c r="AI430"/>
    </row>
    <row r="431" spans="1:35" hidden="1" x14ac:dyDescent="0.3">
      <c r="A431" s="5" t="str">
        <f>VLOOKUP(B431,base!A:M,11,FALSE)</f>
        <v>TRIFÁSICO</v>
      </c>
      <c r="B431" s="37" t="s">
        <v>264</v>
      </c>
      <c r="C431" s="56">
        <v>0</v>
      </c>
      <c r="D431" s="59">
        <v>62955505248886</v>
      </c>
      <c r="E431" s="37" t="s">
        <v>433</v>
      </c>
      <c r="F431" s="37" t="s">
        <v>434</v>
      </c>
      <c r="G431" s="52">
        <v>45901</v>
      </c>
      <c r="H431" s="52" t="str">
        <f>Faturamento!$B874&amp;Faturamento!$G874</f>
        <v>10/78338-145689</v>
      </c>
      <c r="I431" s="37" t="s">
        <v>435</v>
      </c>
      <c r="J431">
        <v>178</v>
      </c>
      <c r="K431" s="3">
        <v>300.80971830985919</v>
      </c>
      <c r="L431" s="3">
        <v>250.55593532191946</v>
      </c>
      <c r="M431" s="5" t="s">
        <v>1489</v>
      </c>
      <c r="N431" s="53">
        <v>187.1097183098592</v>
      </c>
      <c r="O431" s="53">
        <v>136.86000000000001</v>
      </c>
      <c r="P431" s="52">
        <v>45933</v>
      </c>
      <c r="Q431" s="52">
        <v>45943</v>
      </c>
      <c r="R431" s="53">
        <f>O431</f>
        <v>136.86000000000001</v>
      </c>
      <c r="S431" s="37"/>
      <c r="T431" s="51" t="s">
        <v>1627</v>
      </c>
      <c r="U431" s="51" t="s">
        <v>1628</v>
      </c>
      <c r="V431" s="37" t="s">
        <v>568</v>
      </c>
      <c r="W431" s="53">
        <f>R431</f>
        <v>136.86000000000001</v>
      </c>
      <c r="X431" s="123">
        <f>IF(Faturamento!$V514="Pago",IFERROR(W431-R431,0),0)</f>
        <v>0</v>
      </c>
      <c r="Y431" s="52"/>
      <c r="Z431" s="52"/>
      <c r="AA431" s="5"/>
      <c r="AB431" s="5"/>
      <c r="AI431"/>
    </row>
    <row r="432" spans="1:35" hidden="1" x14ac:dyDescent="0.3">
      <c r="A432" s="5" t="str">
        <f>VLOOKUP(B432,base!A:M,11,FALSE)</f>
        <v>TRIFÁSICO</v>
      </c>
      <c r="B432" t="s">
        <v>224</v>
      </c>
      <c r="C432" s="1">
        <v>0</v>
      </c>
      <c r="D432" s="60">
        <v>62955505088404</v>
      </c>
      <c r="E432" s="63" t="s">
        <v>433</v>
      </c>
      <c r="F432" t="s">
        <v>434</v>
      </c>
      <c r="G432" s="4">
        <v>45870</v>
      </c>
      <c r="H432" s="4" t="str">
        <f>Faturamento!$B721&amp;Faturamento!$G721</f>
        <v>10/1117293-945901</v>
      </c>
      <c r="I432" t="s">
        <v>435</v>
      </c>
      <c r="J432">
        <v>148</v>
      </c>
      <c r="K432" s="3">
        <v>337.79320000000001</v>
      </c>
      <c r="L432" s="3">
        <v>298.06400810602833</v>
      </c>
      <c r="M432" s="5" t="str">
        <f>IF(Faturamento!$S721&lt;&gt;"","Não emitido",IF(Faturamento!$I721="NÃO","Pendente Fatura", IF(Faturamento!$R721&lt;&gt;"","Aprovado",IF(Faturamento!$O721&lt;&gt;0,"Pendente Emissão","Processo de Calculo"))))</f>
        <v>Aprovado</v>
      </c>
      <c r="N432" s="3">
        <v>175.82320000000001</v>
      </c>
      <c r="O432" s="3">
        <v>136.09</v>
      </c>
      <c r="P432" s="4">
        <v>45910</v>
      </c>
      <c r="Q432" s="4">
        <v>45920</v>
      </c>
      <c r="R432" s="3">
        <v>136.09</v>
      </c>
      <c r="S432"/>
      <c r="T432" s="51" t="s">
        <v>1345</v>
      </c>
      <c r="U432" s="51" t="s">
        <v>1346</v>
      </c>
      <c r="V432" t="s">
        <v>568</v>
      </c>
      <c r="W432" s="3">
        <v>136.09</v>
      </c>
      <c r="X432" s="123">
        <f>IF(Faturamento!$V513="Pago",IFERROR(W432-R432,0),0)</f>
        <v>0</v>
      </c>
      <c r="Y432" s="4"/>
      <c r="Z432" s="4"/>
      <c r="AA432" s="5"/>
      <c r="AB432" s="5"/>
      <c r="AI432"/>
    </row>
    <row r="433" spans="1:35" hidden="1" x14ac:dyDescent="0.3">
      <c r="A433" s="5" t="str">
        <f>VLOOKUP(B433,base!A:M,11,FALSE)</f>
        <v>TRIFÁSICO</v>
      </c>
      <c r="B433" t="s">
        <v>118</v>
      </c>
      <c r="C433" s="1">
        <v>67996135721</v>
      </c>
      <c r="D433" s="60">
        <v>62955505182257</v>
      </c>
      <c r="E433" s="63" t="s">
        <v>433</v>
      </c>
      <c r="F433" t="s">
        <v>434</v>
      </c>
      <c r="G433" s="4">
        <v>45778</v>
      </c>
      <c r="H433" s="4" t="str">
        <f>Faturamento!$B445&amp;Faturamento!$G445</f>
        <v>10/10232-745689</v>
      </c>
      <c r="I433" t="s">
        <v>435</v>
      </c>
      <c r="J433">
        <v>159</v>
      </c>
      <c r="K433" s="3">
        <v>354.82740000000001</v>
      </c>
      <c r="L433" s="3">
        <v>309.50554999999997</v>
      </c>
      <c r="M433" s="5" t="str">
        <f>IF(Faturamento!$S445&lt;&gt;"","Não emitido",IF(Faturamento!$I445="NÃO","Pendente Fatura", IF(Faturamento!$R445&lt;&gt;"","Aprovado",IF(Faturamento!$O445&lt;&gt;0,"Pendente Emissão","Processo de Calculo"))))</f>
        <v>Aprovado</v>
      </c>
      <c r="N433" s="3">
        <v>181.28739999999999</v>
      </c>
      <c r="O433" s="3">
        <v>135.97</v>
      </c>
      <c r="P433" s="4"/>
      <c r="Q433" s="4"/>
      <c r="R433" s="3">
        <v>135.97</v>
      </c>
      <c r="S433"/>
      <c r="T433" s="51" t="s">
        <v>940</v>
      </c>
      <c r="U433" s="51"/>
      <c r="V433" t="s">
        <v>568</v>
      </c>
      <c r="W433" s="3">
        <v>181.29</v>
      </c>
      <c r="X433" s="123">
        <f>IF(Faturamento!$V177="Pago",IFERROR(W433-R433,0),0)</f>
        <v>45.319999999999993</v>
      </c>
      <c r="Y433" s="4">
        <v>45968</v>
      </c>
      <c r="Z433" s="4"/>
      <c r="AA433" s="5"/>
      <c r="AB433" s="5"/>
      <c r="AI433"/>
    </row>
    <row r="434" spans="1:35" hidden="1" x14ac:dyDescent="0.3">
      <c r="A434" s="5" t="str">
        <f>VLOOKUP(B434,base!A:M,11,FALSE)</f>
        <v>TRIFÁSICO</v>
      </c>
      <c r="B434" s="37" t="s">
        <v>181</v>
      </c>
      <c r="C434" s="56">
        <v>67996150274</v>
      </c>
      <c r="D434" s="59">
        <v>62955505197360</v>
      </c>
      <c r="E434" s="37" t="s">
        <v>433</v>
      </c>
      <c r="F434" s="37" t="s">
        <v>434</v>
      </c>
      <c r="G434" s="52">
        <v>45748</v>
      </c>
      <c r="H434" s="52" t="str">
        <f>Faturamento!$B364&amp;Faturamento!$G364</f>
        <v>10/257864-945658</v>
      </c>
      <c r="I434" s="37" t="s">
        <v>435</v>
      </c>
      <c r="J434" s="37">
        <v>165</v>
      </c>
      <c r="K434" s="53">
        <v>457.84999999999997</v>
      </c>
      <c r="L434" s="53">
        <v>412.57</v>
      </c>
      <c r="M434" s="5" t="str">
        <f>IF(Faturamento!$S364&lt;&gt;"","Não emitido",IF(Faturamento!$I364="NÃO","Pendente Fatura", IF(Faturamento!$R364&lt;&gt;"","Aprovado",IF(Faturamento!$O364&lt;&gt;0,"Pendente Emissão","Processo de Calculo"))))</f>
        <v>Aprovado</v>
      </c>
      <c r="N434" s="53">
        <v>181.11999999999998</v>
      </c>
      <c r="O434" s="53">
        <v>135.84</v>
      </c>
      <c r="P434" s="52"/>
      <c r="Q434" s="52"/>
      <c r="R434" s="53">
        <v>135.84</v>
      </c>
      <c r="S434" s="37"/>
      <c r="T434" s="51" t="s">
        <v>864</v>
      </c>
      <c r="U434" s="51" t="e">
        <v>#N/A</v>
      </c>
      <c r="V434" s="37" t="s">
        <v>369</v>
      </c>
      <c r="W434" s="53">
        <v>0</v>
      </c>
      <c r="X434" s="123">
        <f>IF(Faturamento!$V157="Pago",IFERROR(W434-R434,0),0)</f>
        <v>-135.84</v>
      </c>
      <c r="Y434" s="52"/>
      <c r="Z434" s="196" t="s">
        <v>1795</v>
      </c>
      <c r="AA434" s="5"/>
      <c r="AB434" s="5"/>
      <c r="AI434"/>
    </row>
    <row r="435" spans="1:35" hidden="1" x14ac:dyDescent="0.3">
      <c r="A435" s="5" t="str">
        <f>VLOOKUP(B435,base!A:M,11,FALSE)</f>
        <v>BIFÁSICO</v>
      </c>
      <c r="B435" s="37" t="s">
        <v>158</v>
      </c>
      <c r="C435" s="56">
        <v>67996266684</v>
      </c>
      <c r="D435" s="59">
        <v>62955505197521</v>
      </c>
      <c r="E435" s="37" t="s">
        <v>433</v>
      </c>
      <c r="F435" s="37" t="s">
        <v>434</v>
      </c>
      <c r="G435" s="52">
        <v>45839</v>
      </c>
      <c r="H435" s="52" t="str">
        <f>Faturamento!$B678&amp;Faturamento!$G678</f>
        <v>10/530195-745809</v>
      </c>
      <c r="I435" s="37" t="s">
        <v>435</v>
      </c>
      <c r="J435" s="37">
        <v>174</v>
      </c>
      <c r="K435" s="53">
        <v>226.78714285714284</v>
      </c>
      <c r="L435" s="53">
        <v>186.62674028571428</v>
      </c>
      <c r="M435" s="5" t="str">
        <f>IF(Faturamento!$S678&lt;&gt;"","Não emitido",IF(Faturamento!$I678="NÃO","Pendente Fatura", IF(Faturamento!$R678&lt;&gt;"","Aprovado",IF(Faturamento!$O678&lt;&gt;0,"Pendente Emissão","Processo de Calculo"))))</f>
        <v>Aprovado</v>
      </c>
      <c r="N435" s="53">
        <v>175.97714285714284</v>
      </c>
      <c r="O435" s="53">
        <v>135.82</v>
      </c>
      <c r="P435" s="52">
        <v>45910</v>
      </c>
      <c r="Q435" s="52">
        <v>45920</v>
      </c>
      <c r="R435" s="53">
        <v>135.82</v>
      </c>
      <c r="S435" s="37"/>
      <c r="T435" s="51" t="s">
        <v>1269</v>
      </c>
      <c r="U435" s="51" t="s">
        <v>1270</v>
      </c>
      <c r="V435" s="37" t="s">
        <v>568</v>
      </c>
      <c r="W435" s="53">
        <v>135.82</v>
      </c>
      <c r="X435" s="123">
        <f>IF(Faturamento!$V512="Pago",IFERROR(W435-R435,0),0)</f>
        <v>0</v>
      </c>
      <c r="Y435" s="52"/>
      <c r="Z435" s="52"/>
      <c r="AA435" s="5"/>
      <c r="AB435" s="5"/>
      <c r="AI435"/>
    </row>
    <row r="436" spans="1:35" hidden="1" x14ac:dyDescent="0.3">
      <c r="A436" s="5" t="str">
        <f>VLOOKUP(B436,base!A:M,11,FALSE)</f>
        <v>BIFÁSICO</v>
      </c>
      <c r="B436" t="s">
        <v>250</v>
      </c>
      <c r="C436" s="56">
        <v>65999839279</v>
      </c>
      <c r="D436">
        <v>62955505015512</v>
      </c>
      <c r="E436" s="37" t="s">
        <v>433</v>
      </c>
      <c r="F436" t="s">
        <v>108</v>
      </c>
      <c r="G436" s="4">
        <v>45931</v>
      </c>
      <c r="H436" s="52" t="str">
        <f>Faturamento!$B921&amp;Faturamento!$G921</f>
        <v>10/3054052-045748</v>
      </c>
      <c r="I436" s="37" t="s">
        <v>435</v>
      </c>
      <c r="J436">
        <v>176</v>
      </c>
      <c r="K436" s="3">
        <v>323.32434782608692</v>
      </c>
      <c r="L436" s="3">
        <v>270.74343625634009</v>
      </c>
      <c r="M436" s="5" t="s">
        <v>1489</v>
      </c>
      <c r="N436" s="53">
        <v>188.00434782608693</v>
      </c>
      <c r="O436" s="53">
        <v>135.41999999999999</v>
      </c>
      <c r="P436" s="52">
        <v>45967</v>
      </c>
      <c r="Q436" s="52">
        <v>45974</v>
      </c>
      <c r="R436" s="53">
        <v>135.41999999999999</v>
      </c>
      <c r="S436" s="37"/>
      <c r="T436" s="3" t="str">
        <f>D436&amp;R436</f>
        <v>62955505015512135,42</v>
      </c>
      <c r="U436" s="3" t="s">
        <v>1733</v>
      </c>
      <c r="V436" s="37" t="s">
        <v>568</v>
      </c>
      <c r="W436" s="13">
        <f>R436</f>
        <v>135.41999999999999</v>
      </c>
      <c r="X436" s="124">
        <f>IF(Faturamento!$V923="Pago",IFERROR(W436-R436,0),0)</f>
        <v>0</v>
      </c>
    </row>
    <row r="437" spans="1:35" hidden="1" x14ac:dyDescent="0.3">
      <c r="A437" s="5" t="str">
        <f>VLOOKUP(B437,base!A:M,11,FALSE)</f>
        <v>TRIFÁSICO</v>
      </c>
      <c r="B437" t="s">
        <v>266</v>
      </c>
      <c r="C437" s="1">
        <v>67991060202</v>
      </c>
      <c r="D437" s="60">
        <v>62955505213233</v>
      </c>
      <c r="E437" s="63" t="s">
        <v>433</v>
      </c>
      <c r="F437" t="s">
        <v>434</v>
      </c>
      <c r="G437" s="4">
        <v>45839</v>
      </c>
      <c r="H437" s="4" t="str">
        <f>Faturamento!$B651&amp;Faturamento!$G651</f>
        <v>10/530195-745658</v>
      </c>
      <c r="I437" t="s">
        <v>435</v>
      </c>
      <c r="J437" s="37">
        <v>169</v>
      </c>
      <c r="K437" s="53">
        <v>282.51624999999996</v>
      </c>
      <c r="L437" s="53">
        <v>243.50764024999995</v>
      </c>
      <c r="M437" s="5" t="str">
        <f>IF(Faturamento!$S651&lt;&gt;"","Não emitido",IF(Faturamento!$I651="NÃO","Pendente Fatura", IF(Faturamento!$R651&lt;&gt;"","Aprovado",IF(Faturamento!$O651&lt;&gt;0,"Pendente Emissão","Processo de Calculo"))))</f>
        <v>Aprovado</v>
      </c>
      <c r="N437" s="3">
        <v>173.34625</v>
      </c>
      <c r="O437" s="3">
        <v>134.34</v>
      </c>
      <c r="P437" s="4">
        <v>45910</v>
      </c>
      <c r="Q437" s="4">
        <v>45920</v>
      </c>
      <c r="R437" s="3">
        <v>134.34</v>
      </c>
      <c r="S437"/>
      <c r="T437" s="51" t="s">
        <v>1215</v>
      </c>
      <c r="U437" s="51" t="s">
        <v>1216</v>
      </c>
      <c r="V437" t="s">
        <v>568</v>
      </c>
      <c r="W437" s="3">
        <v>134.34</v>
      </c>
      <c r="X437" s="123">
        <f>IF(Faturamento!$V510="Pago",IFERROR(W437-R437,0),0)</f>
        <v>0</v>
      </c>
      <c r="Y437" s="4"/>
      <c r="Z437" s="4"/>
      <c r="AA437" s="5"/>
      <c r="AB437" s="5"/>
      <c r="AI437"/>
    </row>
    <row r="438" spans="1:35" hidden="1" x14ac:dyDescent="0.3">
      <c r="A438" s="5" t="str">
        <f>VLOOKUP(B438,base!A:M,11,FALSE)</f>
        <v>BIFÁSICO</v>
      </c>
      <c r="B438" t="s">
        <v>107</v>
      </c>
      <c r="C438" s="56">
        <v>6792157907</v>
      </c>
      <c r="D438">
        <v>62955505878987</v>
      </c>
      <c r="E438" s="37" t="s">
        <v>433</v>
      </c>
      <c r="F438" t="s">
        <v>108</v>
      </c>
      <c r="G438" s="4">
        <v>45931</v>
      </c>
      <c r="H438" s="52" t="str">
        <f>Faturamento!$B947&amp;Faturamento!$G947</f>
        <v>10/504844-245809</v>
      </c>
      <c r="I438" s="37" t="s">
        <v>435</v>
      </c>
      <c r="J438">
        <v>254</v>
      </c>
      <c r="K438" s="3">
        <v>505.87439999999998</v>
      </c>
      <c r="L438" s="3">
        <v>418.37552175159158</v>
      </c>
      <c r="M438" s="5" t="s">
        <v>1489</v>
      </c>
      <c r="N438" s="53">
        <v>312.8544</v>
      </c>
      <c r="O438" s="53">
        <v>225.36</v>
      </c>
      <c r="P438" s="52">
        <v>45967</v>
      </c>
      <c r="Q438" s="52">
        <v>45974</v>
      </c>
      <c r="R438" s="53">
        <v>225.36</v>
      </c>
      <c r="S438" s="37"/>
      <c r="T438" s="3" t="str">
        <f>D438&amp;R438</f>
        <v>62955505878987225,36</v>
      </c>
      <c r="U438" s="3" t="s">
        <v>1759</v>
      </c>
      <c r="V438" s="37" t="s">
        <v>369</v>
      </c>
      <c r="X438" s="124">
        <f>IF(Faturamento!$V949="Pago",IFERROR(W438-R438,0),0)</f>
        <v>0</v>
      </c>
      <c r="Z438" s="196" t="s">
        <v>1795</v>
      </c>
    </row>
    <row r="439" spans="1:35" hidden="1" x14ac:dyDescent="0.3">
      <c r="A439" s="5" t="str">
        <f>VLOOKUP(B439,base!A:M,11,FALSE)</f>
        <v>TRIFÁSICO</v>
      </c>
      <c r="B439" s="37" t="s">
        <v>194</v>
      </c>
      <c r="C439" s="56">
        <v>67996266684</v>
      </c>
      <c r="D439" s="59">
        <v>62955505016080</v>
      </c>
      <c r="E439" s="37" t="s">
        <v>433</v>
      </c>
      <c r="F439" s="37" t="s">
        <v>434</v>
      </c>
      <c r="G439" s="52">
        <v>45778</v>
      </c>
      <c r="H439" s="52" t="str">
        <f>Faturamento!$B436&amp;Faturamento!$G436</f>
        <v>10/3125732-245931</v>
      </c>
      <c r="I439" s="37" t="s">
        <v>435</v>
      </c>
      <c r="J439">
        <v>155</v>
      </c>
      <c r="K439" s="3">
        <v>1060.2699999999998</v>
      </c>
      <c r="L439" s="3">
        <v>1016.0924999999997</v>
      </c>
      <c r="M439" s="5" t="str">
        <f>IF(Faturamento!$S436&lt;&gt;"","Não emitido",IF(Faturamento!$I436="NÃO","Pendente Fatura", IF(Faturamento!$R436&lt;&gt;"","Aprovado",IF(Faturamento!$O436&lt;&gt;0,"Pendente Emissão","Processo de Calculo"))))</f>
        <v>Aprovado</v>
      </c>
      <c r="N439" s="53">
        <v>176.70999999999998</v>
      </c>
      <c r="O439" s="53">
        <v>132.53</v>
      </c>
      <c r="P439" s="52"/>
      <c r="Q439" s="52"/>
      <c r="R439" s="53">
        <v>132.53</v>
      </c>
      <c r="S439" s="37"/>
      <c r="T439" s="51" t="s">
        <v>931</v>
      </c>
      <c r="U439" s="51"/>
      <c r="V439" s="37" t="s">
        <v>369</v>
      </c>
      <c r="W439" s="53">
        <v>0</v>
      </c>
      <c r="X439" s="123">
        <f>IF(Faturamento!$V175="Pago",IFERROR(W439-R439,0),0)</f>
        <v>-132.53</v>
      </c>
      <c r="Y439" s="52"/>
      <c r="Z439" s="196" t="s">
        <v>1795</v>
      </c>
      <c r="AA439" s="5"/>
      <c r="AB439" s="5"/>
      <c r="AI439"/>
    </row>
    <row r="440" spans="1:35" hidden="1" x14ac:dyDescent="0.3">
      <c r="A440" s="5" t="str">
        <f>VLOOKUP(B440,base!A:M,11,FALSE)</f>
        <v>TRIFÁSICO</v>
      </c>
      <c r="B440" t="s">
        <v>311</v>
      </c>
      <c r="C440" s="1" t="s">
        <v>313</v>
      </c>
      <c r="D440" s="60">
        <v>62955505193534</v>
      </c>
      <c r="E440" s="63" t="s">
        <v>433</v>
      </c>
      <c r="F440" t="s">
        <v>434</v>
      </c>
      <c r="G440" s="4">
        <v>45748</v>
      </c>
      <c r="H440" s="4" t="str">
        <f>Faturamento!$B349&amp;Faturamento!$G349</f>
        <v>10/8777-545748</v>
      </c>
      <c r="I440" t="s">
        <v>435</v>
      </c>
      <c r="J440" s="37">
        <v>160</v>
      </c>
      <c r="K440" s="53">
        <v>453.76000000000005</v>
      </c>
      <c r="L440" s="53">
        <v>409.62250000000006</v>
      </c>
      <c r="M440" s="5" t="str">
        <f>IF(Faturamento!$S349&lt;&gt;"","Não emitido",IF(Faturamento!$I349="NÃO","Pendente Fatura", IF(Faturamento!$R349&lt;&gt;"","Aprovado",IF(Faturamento!$O349&lt;&gt;0,"Pendente Emissão","Processo de Calculo"))))</f>
        <v>Aprovado</v>
      </c>
      <c r="N440" s="3">
        <v>176.55</v>
      </c>
      <c r="O440" s="3">
        <v>132.41</v>
      </c>
      <c r="P440" s="4"/>
      <c r="Q440" s="4"/>
      <c r="R440" s="3">
        <v>132.41</v>
      </c>
      <c r="S440"/>
      <c r="T440" s="51" t="s">
        <v>851</v>
      </c>
      <c r="U440" s="51" t="e">
        <v>#N/A</v>
      </c>
      <c r="V440" t="s">
        <v>568</v>
      </c>
      <c r="W440" s="3">
        <v>176.55</v>
      </c>
      <c r="X440" s="123">
        <f>IF(Faturamento!$V582="Pago",IFERROR(W440-R440,0),0)</f>
        <v>44.140000000000015</v>
      </c>
      <c r="Y440" s="4">
        <v>45938</v>
      </c>
      <c r="Z440" s="4"/>
      <c r="AA440" s="5"/>
      <c r="AB440" s="5"/>
      <c r="AI440"/>
    </row>
    <row r="441" spans="1:35" hidden="1" x14ac:dyDescent="0.3">
      <c r="A441" s="5" t="str">
        <f>VLOOKUP(B441,base!A:M,11,FALSE)</f>
        <v>MONOFÁSICO</v>
      </c>
      <c r="B441" t="s">
        <v>167</v>
      </c>
      <c r="C441" s="56">
        <v>67992337953</v>
      </c>
      <c r="D441">
        <v>62955505091456</v>
      </c>
      <c r="E441" s="37" t="s">
        <v>433</v>
      </c>
      <c r="F441" t="s">
        <v>108</v>
      </c>
      <c r="G441" s="4">
        <v>45931</v>
      </c>
      <c r="H441" s="52" t="str">
        <f>Faturamento!$B959&amp;Faturamento!$G959</f>
        <v>10/2794432-145839</v>
      </c>
      <c r="I441" s="37" t="s">
        <v>435</v>
      </c>
      <c r="J441">
        <v>101</v>
      </c>
      <c r="K441" s="3">
        <v>195.59631578947366</v>
      </c>
      <c r="L441" s="3">
        <v>164.51659315984998</v>
      </c>
      <c r="M441" s="5" t="s">
        <v>1489</v>
      </c>
      <c r="N441" s="53">
        <v>193.31631577947368</v>
      </c>
      <c r="O441" s="53">
        <v>162.24</v>
      </c>
      <c r="P441" s="52">
        <v>45967</v>
      </c>
      <c r="Q441" s="52">
        <v>45974</v>
      </c>
      <c r="R441" s="53">
        <v>162.24</v>
      </c>
      <c r="S441" s="37"/>
      <c r="T441" s="3" t="str">
        <f>D441&amp;R441</f>
        <v>62955505091456162,24</v>
      </c>
      <c r="U441" s="3" t="s">
        <v>1771</v>
      </c>
      <c r="V441" s="37" t="s">
        <v>369</v>
      </c>
      <c r="X441" s="124">
        <f>IF(Faturamento!$V961="Pago",IFERROR(W441-R441,0),0)</f>
        <v>0</v>
      </c>
      <c r="Z441" s="196" t="s">
        <v>1795</v>
      </c>
    </row>
    <row r="442" spans="1:35" hidden="1" x14ac:dyDescent="0.3">
      <c r="A442" s="5" t="str">
        <f>VLOOKUP(B442,base!A:M,11,FALSE)</f>
        <v>TRIFÁSICO</v>
      </c>
      <c r="B442" t="s">
        <v>345</v>
      </c>
      <c r="C442" s="56" t="s">
        <v>346</v>
      </c>
      <c r="D442">
        <v>62955505402710</v>
      </c>
      <c r="E442" s="37" t="s">
        <v>433</v>
      </c>
      <c r="F442" t="s">
        <v>108</v>
      </c>
      <c r="G442" s="4">
        <v>45931</v>
      </c>
      <c r="H442" s="52" t="str">
        <f>Faturamento!$B952&amp;Faturamento!$G952</f>
        <v>10/3123706-845809</v>
      </c>
      <c r="I442" s="37" t="s">
        <v>435</v>
      </c>
      <c r="J442">
        <v>149</v>
      </c>
      <c r="K442" s="3">
        <v>350.25890000000004</v>
      </c>
      <c r="L442" s="3">
        <v>299.66243782732965</v>
      </c>
      <c r="M442" s="5" t="s">
        <v>1489</v>
      </c>
      <c r="N442" s="53">
        <v>180.90890000000002</v>
      </c>
      <c r="O442" s="53">
        <v>130.31</v>
      </c>
      <c r="P442" s="52">
        <v>45967</v>
      </c>
      <c r="Q442" s="52">
        <v>45974</v>
      </c>
      <c r="R442" s="53">
        <v>130.31</v>
      </c>
      <c r="S442" s="37"/>
      <c r="T442" s="3" t="str">
        <f>D442&amp;R442</f>
        <v>62955505402710130,31</v>
      </c>
      <c r="U442" s="3" t="s">
        <v>1764</v>
      </c>
      <c r="V442" s="37" t="s">
        <v>568</v>
      </c>
      <c r="W442" s="13">
        <f>R442</f>
        <v>130.31</v>
      </c>
      <c r="X442" s="124">
        <f>IF(Faturamento!$V954="Pago",IFERROR(W442-R442,0),0)</f>
        <v>0</v>
      </c>
    </row>
    <row r="443" spans="1:35" hidden="1" x14ac:dyDescent="0.3">
      <c r="A443" s="5" t="str">
        <f>VLOOKUP(B443,base!A:M,11,FALSE)</f>
        <v>TRIFÁSICO</v>
      </c>
      <c r="B443" s="37" t="s">
        <v>266</v>
      </c>
      <c r="C443" s="56">
        <v>0</v>
      </c>
      <c r="D443" s="59">
        <v>62955505213233</v>
      </c>
      <c r="E443" s="37" t="s">
        <v>433</v>
      </c>
      <c r="F443" s="37" t="s">
        <v>434</v>
      </c>
      <c r="G443" s="52">
        <v>45870</v>
      </c>
      <c r="H443" s="52" t="str">
        <f>Faturamento!$B758&amp;Faturamento!$G758</f>
        <v>10/72605-945839</v>
      </c>
      <c r="I443" s="37" t="s">
        <v>435</v>
      </c>
      <c r="J443">
        <v>165</v>
      </c>
      <c r="K443" s="3">
        <v>281.86589041095891</v>
      </c>
      <c r="L443" s="3">
        <v>243.9392596321338</v>
      </c>
      <c r="M443" s="5" t="str">
        <f>IF(Faturamento!$S758&lt;&gt;"","Não emitido",IF(Faturamento!$I758="NÃO","Pendente Fatura", IF(Faturamento!$R758&lt;&gt;"","Aprovado",IF(Faturamento!$O758&lt;&gt;0,"Pendente Emissão","Processo de Calculo"))))</f>
        <v>Aprovado</v>
      </c>
      <c r="N443" s="53">
        <v>167.84589041095893</v>
      </c>
      <c r="O443" s="53">
        <v>129.91999999999999</v>
      </c>
      <c r="P443" s="52">
        <v>45910</v>
      </c>
      <c r="Q443" s="52">
        <v>45920</v>
      </c>
      <c r="R443" s="53">
        <v>129.91999999999999</v>
      </c>
      <c r="S443" s="37"/>
      <c r="T443" s="51" t="s">
        <v>1412</v>
      </c>
      <c r="U443" s="51" t="s">
        <v>1413</v>
      </c>
      <c r="V443" s="37" t="s">
        <v>568</v>
      </c>
      <c r="W443" s="53">
        <v>129.91999999999999</v>
      </c>
      <c r="X443" s="123">
        <f>IF(Faturamento!$V508="Pago",IFERROR(W443-R443,0),0)</f>
        <v>0</v>
      </c>
      <c r="Y443" s="52"/>
      <c r="Z443" s="52"/>
      <c r="AA443" s="5"/>
      <c r="AB443" s="5"/>
      <c r="AI443"/>
    </row>
    <row r="444" spans="1:35" hidden="1" x14ac:dyDescent="0.3">
      <c r="A444" s="5" t="str">
        <f>VLOOKUP(B444,base!A:M,11,FALSE)</f>
        <v>BIFÁSICO</v>
      </c>
      <c r="B444" t="s">
        <v>348</v>
      </c>
      <c r="C444" s="56">
        <v>67996150274</v>
      </c>
      <c r="D444">
        <v>62955505897930</v>
      </c>
      <c r="E444" s="37" t="s">
        <v>433</v>
      </c>
      <c r="F444" t="s">
        <v>108</v>
      </c>
      <c r="G444" s="4">
        <v>45931</v>
      </c>
      <c r="H444" s="52" t="str">
        <f>Faturamento!$B927&amp;Faturamento!$G927</f>
        <v>10/3170252-545778</v>
      </c>
      <c r="I444" s="37" t="s">
        <v>435</v>
      </c>
      <c r="J444">
        <v>170</v>
      </c>
      <c r="K444" s="3">
        <v>654.87552706552697</v>
      </c>
      <c r="L444" s="3">
        <v>604.59604576448089</v>
      </c>
      <c r="M444" s="5" t="s">
        <v>1489</v>
      </c>
      <c r="N444" s="53">
        <v>179.77552706552706</v>
      </c>
      <c r="O444" s="53">
        <v>129.5</v>
      </c>
      <c r="P444" s="52">
        <v>45967</v>
      </c>
      <c r="Q444" s="52">
        <v>45974</v>
      </c>
      <c r="R444" s="53">
        <v>129.5</v>
      </c>
      <c r="S444" s="37"/>
      <c r="T444" s="3" t="str">
        <f>D444&amp;R444</f>
        <v>62955505897930129,5</v>
      </c>
      <c r="U444" s="3" t="s">
        <v>1739</v>
      </c>
      <c r="V444" s="37" t="s">
        <v>568</v>
      </c>
      <c r="W444" s="13">
        <f>R444</f>
        <v>129.5</v>
      </c>
      <c r="X444" s="124">
        <f>IF(Faturamento!$V929="Pago",IFERROR(W444-R444,0),0)</f>
        <v>0</v>
      </c>
    </row>
    <row r="445" spans="1:35" hidden="1" x14ac:dyDescent="0.3">
      <c r="A445" s="5" t="str">
        <f>VLOOKUP(B445,base!A:M,11,FALSE)</f>
        <v>BIFÁSICO</v>
      </c>
      <c r="B445" s="37" t="s">
        <v>114</v>
      </c>
      <c r="C445" s="56" t="s">
        <v>116</v>
      </c>
      <c r="D445" s="59">
        <v>62955505393207</v>
      </c>
      <c r="E445" s="37" t="s">
        <v>433</v>
      </c>
      <c r="F445" s="37" t="s">
        <v>434</v>
      </c>
      <c r="G445" s="52">
        <v>45689</v>
      </c>
      <c r="H445" s="52" t="str">
        <f>Faturamento!$B142&amp;Faturamento!$G142</f>
        <v>10/142353-245658</v>
      </c>
      <c r="I445" s="37" t="s">
        <v>435</v>
      </c>
      <c r="J445" s="37">
        <v>162</v>
      </c>
      <c r="K445" s="53">
        <v>269.5</v>
      </c>
      <c r="L445" s="53">
        <v>226.39250000000001</v>
      </c>
      <c r="M445" s="5" t="str">
        <f>IF(Faturamento!$S142&lt;&gt;"","Não emitido",IF(Faturamento!$I142="NÃO","Pendente Fatura", IF(Faturamento!$R142&lt;&gt;"","Aprovado",IF(Faturamento!$O142&lt;&gt;0,"Pendente Emissão","Processo de Calculo"))))</f>
        <v>Aprovado</v>
      </c>
      <c r="N445" s="53">
        <v>172.42999999999998</v>
      </c>
      <c r="O445" s="53">
        <v>129.32</v>
      </c>
      <c r="P445" s="52"/>
      <c r="Q445" s="52"/>
      <c r="R445" s="53">
        <v>129.32</v>
      </c>
      <c r="S445" s="37"/>
      <c r="T445" s="51" t="s">
        <v>703</v>
      </c>
      <c r="U445" s="51"/>
      <c r="V445" s="37" t="s">
        <v>568</v>
      </c>
      <c r="W445" s="53">
        <v>129.32</v>
      </c>
      <c r="X445" s="123">
        <f>IF(Faturamento!$V507="Pago",IFERROR(W445-R445,0),0)</f>
        <v>0</v>
      </c>
      <c r="Y445" s="52"/>
      <c r="Z445" s="52"/>
      <c r="AA445" s="5"/>
      <c r="AB445" s="5"/>
      <c r="AI445"/>
    </row>
    <row r="446" spans="1:35" hidden="1" x14ac:dyDescent="0.3">
      <c r="A446" s="5" t="str">
        <f>VLOOKUP(B446,base!A:M,11,FALSE)</f>
        <v>TRIFÁSICO</v>
      </c>
      <c r="B446" t="s">
        <v>264</v>
      </c>
      <c r="C446" s="1">
        <v>67992876000</v>
      </c>
      <c r="D446" s="60">
        <v>62955505248886</v>
      </c>
      <c r="E446" s="63" t="s">
        <v>433</v>
      </c>
      <c r="F446" t="s">
        <v>434</v>
      </c>
      <c r="G446" s="4">
        <v>45778</v>
      </c>
      <c r="H446" s="4" t="str">
        <f>Faturamento!$B523&amp;Faturamento!$G523</f>
        <v>10/3125732-245658</v>
      </c>
      <c r="I446" t="s">
        <v>435</v>
      </c>
      <c r="J446">
        <v>176</v>
      </c>
      <c r="K446" s="3">
        <v>294.14913043478259</v>
      </c>
      <c r="L446" s="3">
        <v>251.14934782608697</v>
      </c>
      <c r="M446" s="5" t="str">
        <f>IF(Faturamento!$S523&lt;&gt;"","Não emitido",IF(Faturamento!$I523="NÃO","Pendente Fatura", IF(Faturamento!$R523&lt;&gt;"","Aprovado",IF(Faturamento!$O523&lt;&gt;0,"Pendente Emissão","Processo de Calculo"))))</f>
        <v>Aprovado</v>
      </c>
      <c r="N446" s="3">
        <v>171.99913043478261</v>
      </c>
      <c r="O446" s="3">
        <v>129</v>
      </c>
      <c r="P446" s="4"/>
      <c r="Q446" s="4"/>
      <c r="R446" s="3">
        <v>129</v>
      </c>
      <c r="S446"/>
      <c r="T446" s="51" t="s">
        <v>1008</v>
      </c>
      <c r="U446" s="51"/>
      <c r="V446" t="s">
        <v>568</v>
      </c>
      <c r="W446" s="3">
        <v>172</v>
      </c>
      <c r="X446" s="123">
        <f>IF(Faturamento!$V570="Pago",IFERROR(W446-R446,0),0)</f>
        <v>43</v>
      </c>
      <c r="Y446" s="52">
        <v>45929</v>
      </c>
      <c r="Z446" s="52"/>
      <c r="AA446" s="5"/>
      <c r="AB446" s="5"/>
      <c r="AI446"/>
    </row>
    <row r="447" spans="1:35" hidden="1" x14ac:dyDescent="0.3">
      <c r="A447" s="5" t="str">
        <f>VLOOKUP(B447,base!A:M,11,FALSE)</f>
        <v>TRIFÁSICO</v>
      </c>
      <c r="B447" s="37" t="s">
        <v>218</v>
      </c>
      <c r="C447" s="56">
        <v>67991120875</v>
      </c>
      <c r="D447" s="59">
        <v>62955505379395</v>
      </c>
      <c r="E447" s="37" t="s">
        <v>433</v>
      </c>
      <c r="F447" s="37" t="s">
        <v>434</v>
      </c>
      <c r="G447" s="52">
        <v>45839</v>
      </c>
      <c r="H447" s="52" t="str">
        <f>Faturamento!$B624&amp;Faturamento!$G624</f>
        <v>10/1288241-145839</v>
      </c>
      <c r="I447" s="37" t="s">
        <v>435</v>
      </c>
      <c r="J447" s="37">
        <v>137</v>
      </c>
      <c r="K447" s="53">
        <v>275.66310000000004</v>
      </c>
      <c r="L447" s="53">
        <v>239.10979286000003</v>
      </c>
      <c r="M447" s="5" t="str">
        <f>IF(Faturamento!$S624&lt;&gt;"","Não emitido",IF(Faturamento!$I624="NÃO","Pendente Fatura", IF(Faturamento!$R624&lt;&gt;"","Aprovado",IF(Faturamento!$O624&lt;&gt;0,"Pendente Emissão","Processo de Calculo"))))</f>
        <v>Aprovado</v>
      </c>
      <c r="N447" s="53">
        <v>164.67310000000006</v>
      </c>
      <c r="O447" s="53">
        <v>128.12</v>
      </c>
      <c r="P447" s="52">
        <v>45910</v>
      </c>
      <c r="Q447" s="52">
        <v>45920</v>
      </c>
      <c r="R447" s="53">
        <v>128.12</v>
      </c>
      <c r="S447" s="37"/>
      <c r="T447" s="51" t="s">
        <v>1163</v>
      </c>
      <c r="U447" s="51" t="s">
        <v>1164</v>
      </c>
      <c r="V447" s="37" t="s">
        <v>568</v>
      </c>
      <c r="W447" s="53">
        <v>128.12</v>
      </c>
      <c r="X447" s="123">
        <f>IF(Faturamento!$V506="Pago",IFERROR(W447-R447,0),0)</f>
        <v>0</v>
      </c>
      <c r="Y447" s="52"/>
      <c r="Z447" s="52"/>
      <c r="AA447" s="5"/>
      <c r="AB447" s="5"/>
      <c r="AI447"/>
    </row>
    <row r="448" spans="1:35" hidden="1" x14ac:dyDescent="0.3">
      <c r="A448" s="5" t="str">
        <f>VLOOKUP(B448,base!A:M,11,FALSE)</f>
        <v>TRIFÁSICO</v>
      </c>
      <c r="B448" t="s">
        <v>181</v>
      </c>
      <c r="C448" s="56">
        <v>67996150274</v>
      </c>
      <c r="D448">
        <v>62955505197360</v>
      </c>
      <c r="E448" s="37" t="s">
        <v>433</v>
      </c>
      <c r="F448" t="s">
        <v>108</v>
      </c>
      <c r="G448" s="4">
        <v>45931</v>
      </c>
      <c r="H448" s="52" t="str">
        <f>Faturamento!$B954&amp;Faturamento!$G954</f>
        <v>10/3054052-045809</v>
      </c>
      <c r="I448" s="37" t="s">
        <v>435</v>
      </c>
      <c r="J448">
        <v>170</v>
      </c>
      <c r="K448" s="3">
        <v>393.18600000000004</v>
      </c>
      <c r="L448" s="3">
        <v>335.3774215097086</v>
      </c>
      <c r="M448" s="5" t="s">
        <v>1489</v>
      </c>
      <c r="N448" s="53">
        <v>206.69600000000003</v>
      </c>
      <c r="O448" s="53">
        <v>148.88999999999999</v>
      </c>
      <c r="P448" s="52">
        <v>45967</v>
      </c>
      <c r="Q448" s="52">
        <v>45974</v>
      </c>
      <c r="R448" s="53">
        <v>148.88999999999999</v>
      </c>
      <c r="S448" s="37"/>
      <c r="T448" s="3" t="str">
        <f>D448&amp;R448</f>
        <v>62955505197360148,89</v>
      </c>
      <c r="U448" s="3" t="s">
        <v>1766</v>
      </c>
      <c r="V448" s="37" t="s">
        <v>369</v>
      </c>
      <c r="X448" s="124">
        <f>IF(Faturamento!$V956="Pago",IFERROR(W448-R448,0),0)</f>
        <v>0</v>
      </c>
      <c r="Z448" s="196" t="s">
        <v>1795</v>
      </c>
    </row>
    <row r="449" spans="1:35" hidden="1" x14ac:dyDescent="0.3">
      <c r="A449" s="5" t="str">
        <f>VLOOKUP(B449,base!A:M,11,FALSE)</f>
        <v>BIFÁSICO</v>
      </c>
      <c r="B449" s="37" t="s">
        <v>114</v>
      </c>
      <c r="C449" s="56">
        <v>0</v>
      </c>
      <c r="D449" s="59">
        <v>62955505393207</v>
      </c>
      <c r="E449" s="37" t="s">
        <v>433</v>
      </c>
      <c r="F449" s="37" t="s">
        <v>434</v>
      </c>
      <c r="G449" s="52">
        <v>45901</v>
      </c>
      <c r="H449" s="52" t="str">
        <f>Faturamento!$B838&amp;Faturamento!$G838</f>
        <v>10/150263-245689</v>
      </c>
      <c r="I449" s="37" t="s">
        <v>435</v>
      </c>
      <c r="J449">
        <v>144</v>
      </c>
      <c r="K449" s="3">
        <v>264.65120000000002</v>
      </c>
      <c r="L449" s="3">
        <v>217.92077848265603</v>
      </c>
      <c r="M449" s="5" t="s">
        <v>1489</v>
      </c>
      <c r="N449" s="53">
        <v>173.99120000000002</v>
      </c>
      <c r="O449" s="53">
        <v>127.26</v>
      </c>
      <c r="P449" s="52">
        <v>45933</v>
      </c>
      <c r="Q449" s="52">
        <v>45943</v>
      </c>
      <c r="R449" s="53">
        <f>O449</f>
        <v>127.26</v>
      </c>
      <c r="S449" s="37"/>
      <c r="T449" s="51" t="s">
        <v>1558</v>
      </c>
      <c r="U449" s="51" t="s">
        <v>1559</v>
      </c>
      <c r="V449" s="37" t="s">
        <v>568</v>
      </c>
      <c r="W449" s="53">
        <f>O449</f>
        <v>127.26</v>
      </c>
      <c r="X449" s="123">
        <f>IF(Faturamento!$V505="Pago",IFERROR(W449-R449,0),0)</f>
        <v>0</v>
      </c>
      <c r="Y449" s="52"/>
      <c r="Z449" s="52"/>
      <c r="AA449" s="5"/>
      <c r="AB449" s="5"/>
      <c r="AI449"/>
    </row>
    <row r="450" spans="1:35" hidden="1" x14ac:dyDescent="0.3">
      <c r="A450" s="5" t="str">
        <f>VLOOKUP(B450,base!A:M,11,FALSE)</f>
        <v>BIFÁSICO</v>
      </c>
      <c r="B450" s="37" t="s">
        <v>276</v>
      </c>
      <c r="C450" s="56" t="s">
        <v>278</v>
      </c>
      <c r="D450" s="59">
        <v>62955505000167</v>
      </c>
      <c r="E450" s="37" t="s">
        <v>433</v>
      </c>
      <c r="F450" s="37" t="s">
        <v>434</v>
      </c>
      <c r="G450" s="52">
        <v>45658</v>
      </c>
      <c r="H450" s="52" t="str">
        <f>Faturamento!$B76&amp;Faturamento!$G76</f>
        <v>10/1672452-845931</v>
      </c>
      <c r="I450" s="37" t="s">
        <v>435</v>
      </c>
      <c r="J450">
        <v>159</v>
      </c>
      <c r="K450" s="3">
        <v>223.25</v>
      </c>
      <c r="L450" s="3">
        <v>180.88749999999999</v>
      </c>
      <c r="M450" s="5" t="str">
        <f>IF(Faturamento!$S76&lt;&gt;"","Não emitido",IF(Faturamento!$I76="NÃO","Pendente Fatura", IF(Faturamento!$R76&lt;&gt;"","Aprovado",IF(Faturamento!$O76&lt;&gt;0,"Pendente Emissão","Processo de Calculo"))))</f>
        <v>Aprovado</v>
      </c>
      <c r="N450" s="53">
        <v>169.45</v>
      </c>
      <c r="O450" s="53">
        <v>127.09</v>
      </c>
      <c r="P450" s="52"/>
      <c r="Q450" s="52"/>
      <c r="R450" s="53">
        <v>127.09</v>
      </c>
      <c r="S450" s="37"/>
      <c r="T450" s="51" t="s">
        <v>635</v>
      </c>
      <c r="U450" s="51"/>
      <c r="V450" s="37" t="s">
        <v>568</v>
      </c>
      <c r="W450" s="53">
        <v>127.09</v>
      </c>
      <c r="X450" s="123">
        <f>IF(Faturamento!$V504="Pago",IFERROR(W450-R450,0),0)</f>
        <v>0</v>
      </c>
      <c r="Y450" s="52"/>
      <c r="Z450" s="52"/>
      <c r="AA450" s="5"/>
      <c r="AB450" s="5"/>
      <c r="AI450"/>
    </row>
    <row r="451" spans="1:35" hidden="1" x14ac:dyDescent="0.3">
      <c r="A451" s="5" t="str">
        <f>VLOOKUP(B451,base!A:M,11,FALSE)</f>
        <v>BIFÁSICO</v>
      </c>
      <c r="B451" t="s">
        <v>257</v>
      </c>
      <c r="C451" s="1">
        <v>0</v>
      </c>
      <c r="D451" s="60">
        <v>62955505239119</v>
      </c>
      <c r="E451" s="63" t="s">
        <v>433</v>
      </c>
      <c r="F451" t="s">
        <v>434</v>
      </c>
      <c r="G451" s="4">
        <v>45901</v>
      </c>
      <c r="H451" s="4" t="str">
        <f>Faturamento!$B865&amp;Faturamento!$G865</f>
        <v>10/129490-945689</v>
      </c>
      <c r="I451" t="s">
        <v>435</v>
      </c>
      <c r="J451">
        <v>165</v>
      </c>
      <c r="K451" s="3">
        <v>228.21826086956526</v>
      </c>
      <c r="L451" s="3">
        <v>181.6282899381884</v>
      </c>
      <c r="M451" s="5" t="s">
        <v>1489</v>
      </c>
      <c r="N451" s="3">
        <v>173.46826086956523</v>
      </c>
      <c r="O451" s="3">
        <v>126.88</v>
      </c>
      <c r="P451" s="4">
        <v>45933</v>
      </c>
      <c r="Q451" s="4">
        <v>45943</v>
      </c>
      <c r="R451" s="3">
        <f>O451</f>
        <v>126.88</v>
      </c>
      <c r="S451"/>
      <c r="T451" s="51" t="s">
        <v>1609</v>
      </c>
      <c r="U451" s="51" t="s">
        <v>1610</v>
      </c>
      <c r="V451" t="s">
        <v>568</v>
      </c>
      <c r="W451" s="3">
        <f>R451</f>
        <v>126.88</v>
      </c>
      <c r="X451" s="123">
        <f>IF(Faturamento!$V503="Pago",IFERROR(W451-R451,0),0)</f>
        <v>0</v>
      </c>
      <c r="Y451" s="4"/>
      <c r="Z451" s="4"/>
      <c r="AA451" s="5"/>
      <c r="AB451" s="5"/>
      <c r="AI451"/>
    </row>
    <row r="452" spans="1:35" hidden="1" x14ac:dyDescent="0.3">
      <c r="A452" s="5" t="str">
        <f>VLOOKUP(B452,base!A:M,11,FALSE)</f>
        <v>TRIFÁSICO</v>
      </c>
      <c r="B452" s="37" t="s">
        <v>326</v>
      </c>
      <c r="C452" s="56">
        <v>0</v>
      </c>
      <c r="D452" s="59">
        <v>62955505058599</v>
      </c>
      <c r="E452" s="37" t="s">
        <v>433</v>
      </c>
      <c r="F452" s="37" t="s">
        <v>434</v>
      </c>
      <c r="G452" s="52">
        <v>45901</v>
      </c>
      <c r="H452" s="52" t="str">
        <f>Faturamento!$B862&amp;Faturamento!$G862</f>
        <v>10/13786-945689</v>
      </c>
      <c r="I452" s="37" t="s">
        <v>435</v>
      </c>
      <c r="J452">
        <v>165</v>
      </c>
      <c r="K452" s="3">
        <v>325.72958904109589</v>
      </c>
      <c r="L452" s="3">
        <v>279.14463297492421</v>
      </c>
      <c r="M452" s="5" t="s">
        <v>1489</v>
      </c>
      <c r="N452" s="53">
        <v>173.44958904109589</v>
      </c>
      <c r="O452" s="53">
        <v>126.86</v>
      </c>
      <c r="P452" s="52">
        <v>45933</v>
      </c>
      <c r="Q452" s="52">
        <v>45943</v>
      </c>
      <c r="R452" s="53">
        <f>O452</f>
        <v>126.86</v>
      </c>
      <c r="S452" s="37"/>
      <c r="T452" s="51" t="s">
        <v>1603</v>
      </c>
      <c r="U452" s="51" t="s">
        <v>1604</v>
      </c>
      <c r="V452" s="37" t="s">
        <v>568</v>
      </c>
      <c r="W452" s="53">
        <f>R452</f>
        <v>126.86</v>
      </c>
      <c r="X452" s="123">
        <f>IF(Faturamento!$V502="Pago",IFERROR(W452-R452,0),0)</f>
        <v>0</v>
      </c>
      <c r="Y452" s="52"/>
      <c r="Z452" s="52"/>
      <c r="AA452" s="5"/>
      <c r="AB452" s="5"/>
      <c r="AI452"/>
    </row>
    <row r="453" spans="1:35" hidden="1" x14ac:dyDescent="0.3">
      <c r="A453" s="5" t="str">
        <f>VLOOKUP(B453,base!A:M,11,FALSE)</f>
        <v>BIFÁSICO</v>
      </c>
      <c r="B453" t="s">
        <v>353</v>
      </c>
      <c r="C453" s="1" t="e">
        <v>#N/A</v>
      </c>
      <c r="D453" s="60" t="s">
        <v>1180</v>
      </c>
      <c r="E453" s="63" t="s">
        <v>433</v>
      </c>
      <c r="F453" t="s">
        <v>434</v>
      </c>
      <c r="G453" s="4">
        <v>45839</v>
      </c>
      <c r="H453" s="4" t="str">
        <f>Faturamento!$B633&amp;Faturamento!$G633</f>
        <v>10/72605-945901</v>
      </c>
      <c r="I453" t="s">
        <v>435</v>
      </c>
      <c r="J453" s="37">
        <v>141</v>
      </c>
      <c r="K453" s="53"/>
      <c r="L453" s="53"/>
      <c r="M453" s="5" t="str">
        <f>IF(Faturamento!$S633&lt;&gt;"","Não emitido",IF(Faturamento!$I633="NÃO","Pendente Fatura", IF(Faturamento!$R633&lt;&gt;"","Aprovado",IF(Faturamento!$O633&lt;&gt;0,"Pendente Emissão","Processo de Calculo"))))</f>
        <v>Aprovado</v>
      </c>
      <c r="N453" s="3">
        <v>163.98917647058826</v>
      </c>
      <c r="O453" s="3">
        <v>126.37</v>
      </c>
      <c r="P453" s="4">
        <v>45910</v>
      </c>
      <c r="Q453" s="4">
        <v>45920</v>
      </c>
      <c r="R453" s="3">
        <v>0</v>
      </c>
      <c r="S453" t="s">
        <v>1181</v>
      </c>
      <c r="T453" s="51" t="s">
        <v>1182</v>
      </c>
      <c r="U453" s="51"/>
      <c r="V453" t="s">
        <v>438</v>
      </c>
      <c r="W453" s="3"/>
      <c r="X453" s="123">
        <f>IF(Faturamento!$V836="Pago",IFERROR(W453-R453,0),0)</f>
        <v>0</v>
      </c>
      <c r="Y453" s="4"/>
      <c r="Z453" s="4"/>
      <c r="AA453" s="5"/>
      <c r="AB453" s="5"/>
      <c r="AI453"/>
    </row>
    <row r="454" spans="1:35" hidden="1" x14ac:dyDescent="0.3">
      <c r="A454" s="5" t="str">
        <f>VLOOKUP(B454,base!A:M,11,FALSE)</f>
        <v>TRIFÁSICO</v>
      </c>
      <c r="B454" t="s">
        <v>238</v>
      </c>
      <c r="C454" s="1">
        <v>0</v>
      </c>
      <c r="D454" s="60">
        <v>62955505016080</v>
      </c>
      <c r="E454" s="63" t="s">
        <v>433</v>
      </c>
      <c r="F454" t="s">
        <v>434</v>
      </c>
      <c r="G454" s="4">
        <v>45870</v>
      </c>
      <c r="H454" s="4" t="str">
        <f>Faturamento!$B723&amp;Faturamento!$G723</f>
        <v>10/31292-645717</v>
      </c>
      <c r="I454" t="s">
        <v>435</v>
      </c>
      <c r="J454">
        <v>141</v>
      </c>
      <c r="K454" s="3">
        <v>340.43110000000001</v>
      </c>
      <c r="L454" s="3">
        <v>303.57886657404185</v>
      </c>
      <c r="M454" s="5" t="s">
        <v>1489</v>
      </c>
      <c r="N454" s="3">
        <v>163.09109999999998</v>
      </c>
      <c r="O454" s="3">
        <v>126.24</v>
      </c>
      <c r="P454" s="4">
        <v>45910</v>
      </c>
      <c r="Q454" s="4">
        <v>45920</v>
      </c>
      <c r="R454" s="3">
        <v>126.24</v>
      </c>
      <c r="S454"/>
      <c r="T454" s="51" t="s">
        <v>1349</v>
      </c>
      <c r="U454" s="51" t="s">
        <v>1350</v>
      </c>
      <c r="V454" t="s">
        <v>568</v>
      </c>
      <c r="W454" s="3">
        <v>126.24</v>
      </c>
      <c r="X454" s="123">
        <f>IF(Faturamento!$V501="Pago",IFERROR(W454-R454,0),0)</f>
        <v>0</v>
      </c>
      <c r="Y454" s="4">
        <v>45924</v>
      </c>
      <c r="Z454" s="4"/>
      <c r="AA454" s="5"/>
      <c r="AB454" s="5"/>
      <c r="AI454"/>
    </row>
    <row r="455" spans="1:35" hidden="1" x14ac:dyDescent="0.3">
      <c r="A455" s="5" t="str">
        <f>VLOOKUP(B455,base!A:M,11,FALSE)</f>
        <v>TRIFÁSICO</v>
      </c>
      <c r="B455" t="s">
        <v>224</v>
      </c>
      <c r="C455" s="1" t="s">
        <v>226</v>
      </c>
      <c r="D455" s="60">
        <v>62955505088404</v>
      </c>
      <c r="E455" s="63" t="s">
        <v>433</v>
      </c>
      <c r="F455" t="s">
        <v>434</v>
      </c>
      <c r="G455" s="4">
        <v>45839</v>
      </c>
      <c r="H455" s="4" t="str">
        <f>Faturamento!$B647&amp;Faturamento!$G647</f>
        <v>10/532081-745870</v>
      </c>
      <c r="I455" t="s">
        <v>435</v>
      </c>
      <c r="J455" s="37">
        <v>138</v>
      </c>
      <c r="K455" s="53">
        <v>319.99940000000004</v>
      </c>
      <c r="L455" s="53">
        <v>283.18083763999999</v>
      </c>
      <c r="M455" s="5" t="str">
        <f>IF(Faturamento!$S647&lt;&gt;"","Não emitido",IF(Faturamento!$I647="NÃO","Pendente Fatura", IF(Faturamento!$R647&lt;&gt;"","Aprovado",IF(Faturamento!$O647&lt;&gt;0,"Pendente Emissão","Processo de Calculo"))))</f>
        <v>Aprovado</v>
      </c>
      <c r="N455" s="3">
        <v>162.39940000000001</v>
      </c>
      <c r="O455" s="3">
        <v>125.58</v>
      </c>
      <c r="P455" s="4">
        <v>45910</v>
      </c>
      <c r="Q455" s="4">
        <v>45920</v>
      </c>
      <c r="R455" s="3">
        <v>125.58</v>
      </c>
      <c r="S455"/>
      <c r="T455" s="51" t="s">
        <v>1207</v>
      </c>
      <c r="U455" s="51" t="s">
        <v>1208</v>
      </c>
      <c r="V455" t="s">
        <v>568</v>
      </c>
      <c r="W455" s="3">
        <v>125.58</v>
      </c>
      <c r="X455" s="123">
        <f>IF(Faturamento!$V500="Pago",IFERROR(W455-R455,0),0)</f>
        <v>0</v>
      </c>
      <c r="Y455" s="4"/>
      <c r="Z455" s="4"/>
      <c r="AA455" s="5"/>
      <c r="AB455" s="5"/>
      <c r="AI455"/>
    </row>
    <row r="456" spans="1:35" hidden="1" x14ac:dyDescent="0.3">
      <c r="A456" s="5" t="str">
        <f>VLOOKUP(B456,base!A:M,11,FALSE)</f>
        <v>TRIFÁSICO</v>
      </c>
      <c r="B456" s="37" t="s">
        <v>184</v>
      </c>
      <c r="C456" s="56">
        <v>0</v>
      </c>
      <c r="D456" s="59">
        <v>62955505017213</v>
      </c>
      <c r="E456" s="37" t="s">
        <v>433</v>
      </c>
      <c r="F456" s="37" t="s">
        <v>434</v>
      </c>
      <c r="G456" s="52">
        <v>45901</v>
      </c>
      <c r="H456" s="52" t="str">
        <f>Faturamento!$B820&amp;Faturamento!$G820</f>
        <v>10/532723-445627</v>
      </c>
      <c r="I456" s="37" t="s">
        <v>435</v>
      </c>
      <c r="J456">
        <v>142</v>
      </c>
      <c r="K456" s="3">
        <v>313.60479999999995</v>
      </c>
      <c r="L456" s="3">
        <v>267.53411648903329</v>
      </c>
      <c r="M456" s="5" t="s">
        <v>1489</v>
      </c>
      <c r="N456" s="53">
        <v>171.53479999999996</v>
      </c>
      <c r="O456" s="53">
        <v>125.46</v>
      </c>
      <c r="P456" s="52">
        <v>45933</v>
      </c>
      <c r="Q456" s="52">
        <v>45943</v>
      </c>
      <c r="R456" s="53">
        <f>O456</f>
        <v>125.46</v>
      </c>
      <c r="S456" s="37"/>
      <c r="T456" s="51" t="s">
        <v>1524</v>
      </c>
      <c r="U456" s="51" t="s">
        <v>1525</v>
      </c>
      <c r="V456" s="37" t="s">
        <v>568</v>
      </c>
      <c r="W456" s="53">
        <f>R456</f>
        <v>125.46</v>
      </c>
      <c r="X456" s="123">
        <f>IF(Faturamento!$V499="Pago",IFERROR(W456-R456,0),0)</f>
        <v>0</v>
      </c>
      <c r="Y456" s="52"/>
      <c r="Z456" s="52"/>
      <c r="AA456" s="5"/>
      <c r="AB456" s="5"/>
      <c r="AI456"/>
    </row>
    <row r="457" spans="1:35" hidden="1" x14ac:dyDescent="0.3">
      <c r="A457" s="5" t="str">
        <f>VLOOKUP(B457,base!A:M,11,FALSE)</f>
        <v>BIFÁSICO</v>
      </c>
      <c r="B457" t="s">
        <v>114</v>
      </c>
      <c r="C457" s="1" t="s">
        <v>116</v>
      </c>
      <c r="D457" s="60">
        <v>62955505393207</v>
      </c>
      <c r="E457" s="63" t="s">
        <v>433</v>
      </c>
      <c r="F457" t="s">
        <v>434</v>
      </c>
      <c r="G457" s="4">
        <v>45748</v>
      </c>
      <c r="H457" s="4" t="str">
        <f>Faturamento!$B371&amp;Faturamento!$G371</f>
        <v>10/341308-545839</v>
      </c>
      <c r="I457" t="s">
        <v>435</v>
      </c>
      <c r="J457" s="37">
        <v>149</v>
      </c>
      <c r="K457" s="53">
        <v>253.47999999999996</v>
      </c>
      <c r="L457" s="53">
        <v>211.69249999999994</v>
      </c>
      <c r="M457" s="5" t="str">
        <f>IF(Faturamento!$S371&lt;&gt;"","Não emitido",IF(Faturamento!$I371="NÃO","Pendente Fatura", IF(Faturamento!$R371&lt;&gt;"","Aprovado",IF(Faturamento!$O371&lt;&gt;0,"Pendente Emissão","Processo de Calculo"))))</f>
        <v>Aprovado</v>
      </c>
      <c r="N457" s="3">
        <v>167.14999999999998</v>
      </c>
      <c r="O457" s="3">
        <v>125.36</v>
      </c>
      <c r="P457" s="4"/>
      <c r="Q457" s="4"/>
      <c r="R457" s="3">
        <v>125.36</v>
      </c>
      <c r="S457"/>
      <c r="T457" s="51" t="s">
        <v>871</v>
      </c>
      <c r="U457" s="51"/>
      <c r="V457" t="s">
        <v>568</v>
      </c>
      <c r="W457" s="3">
        <v>125.36</v>
      </c>
      <c r="X457" s="123">
        <f>IF(Faturamento!$V498="Pago",IFERROR(W457-R457,0),0)</f>
        <v>0</v>
      </c>
      <c r="Y457" s="4"/>
      <c r="Z457" s="4"/>
      <c r="AA457" s="5"/>
      <c r="AB457" s="5"/>
      <c r="AI457"/>
    </row>
    <row r="458" spans="1:35" hidden="1" x14ac:dyDescent="0.3">
      <c r="A458" s="5" t="str">
        <f>VLOOKUP(B458,base!A:M,11,FALSE)</f>
        <v>MONOFÁSICO</v>
      </c>
      <c r="B458" s="37" t="s">
        <v>173</v>
      </c>
      <c r="C458" s="56" t="s">
        <v>175</v>
      </c>
      <c r="D458" s="59">
        <v>62955505084751</v>
      </c>
      <c r="E458" s="37" t="s">
        <v>433</v>
      </c>
      <c r="F458" s="37" t="s">
        <v>434</v>
      </c>
      <c r="G458" s="52">
        <v>45748</v>
      </c>
      <c r="H458" s="52" t="str">
        <f>Faturamento!$B368&amp;Faturamento!$G368</f>
        <v>10/452884-045689</v>
      </c>
      <c r="I458" s="37" t="s">
        <v>435</v>
      </c>
      <c r="J458" s="37">
        <v>149</v>
      </c>
      <c r="K458" s="53">
        <v>263.01</v>
      </c>
      <c r="L458" s="53">
        <v>221.4075</v>
      </c>
      <c r="M458" s="5" t="str">
        <f>IF(Faturamento!$S368&lt;&gt;"","Não emitido",IF(Faturamento!$I368="NÃO","Pendente Fatura", IF(Faturamento!$R368&lt;&gt;"","Aprovado",IF(Faturamento!$O368&lt;&gt;0,"Pendente Emissão","Processo de Calculo"))))</f>
        <v>Aprovado</v>
      </c>
      <c r="N458" s="53">
        <v>166.41</v>
      </c>
      <c r="O458" s="53">
        <v>124.81</v>
      </c>
      <c r="P458" s="52"/>
      <c r="Q458" s="52"/>
      <c r="R458" s="53">
        <v>124.81</v>
      </c>
      <c r="S458" s="37"/>
      <c r="T458" s="51" t="s">
        <v>868</v>
      </c>
      <c r="U458" s="51"/>
      <c r="V458" s="37" t="s">
        <v>568</v>
      </c>
      <c r="W458" s="53">
        <v>124.81</v>
      </c>
      <c r="X458" s="123">
        <f>IF(Faturamento!$V497="Pago",IFERROR(W458-R458,0),0)</f>
        <v>0</v>
      </c>
      <c r="Y458" s="52"/>
      <c r="Z458" s="52"/>
      <c r="AA458" s="5"/>
      <c r="AB458" s="5"/>
      <c r="AI458"/>
    </row>
    <row r="459" spans="1:35" hidden="1" x14ac:dyDescent="0.3">
      <c r="A459" s="5" t="str">
        <f>VLOOKUP(B459,base!A:M,11,FALSE)</f>
        <v>BIFÁSICO</v>
      </c>
      <c r="B459" t="s">
        <v>297</v>
      </c>
      <c r="C459" s="1">
        <v>67996266684</v>
      </c>
      <c r="D459" s="60">
        <v>62955505016080</v>
      </c>
      <c r="E459" s="63" t="s">
        <v>433</v>
      </c>
      <c r="F459" t="s">
        <v>434</v>
      </c>
      <c r="G459" s="4">
        <v>45778</v>
      </c>
      <c r="H459" s="4" t="str">
        <f>Faturamento!$B449&amp;Faturamento!$G449</f>
        <v>10/10232-745901</v>
      </c>
      <c r="I459" t="s">
        <v>435</v>
      </c>
      <c r="J459">
        <v>163</v>
      </c>
      <c r="K459" s="3">
        <v>267.45633333333336</v>
      </c>
      <c r="L459" s="3">
        <v>226.04725000000002</v>
      </c>
      <c r="M459" s="5" t="str">
        <f>IF(Faturamento!$S449&lt;&gt;"","Não emitido",IF(Faturamento!$I449="NÃO","Pendente Fatura", IF(Faturamento!$R449&lt;&gt;"","Aprovado",IF(Faturamento!$O449&lt;&gt;0,"Pendente Emissão","Processo de Calculo"))))</f>
        <v>Aprovado</v>
      </c>
      <c r="N459" s="3">
        <v>165.63633333333334</v>
      </c>
      <c r="O459" s="3">
        <v>124.23</v>
      </c>
      <c r="P459" s="4"/>
      <c r="Q459" s="4"/>
      <c r="R459" s="3">
        <v>124.23</v>
      </c>
      <c r="S459"/>
      <c r="T459" s="51" t="s">
        <v>943</v>
      </c>
      <c r="U459" s="51"/>
      <c r="V459" t="s">
        <v>568</v>
      </c>
      <c r="W459" s="3">
        <v>165.64</v>
      </c>
      <c r="X459" s="123">
        <f>IF(Faturamento!$V564="Pago",IFERROR(W459-R459,0),0)</f>
        <v>41.409999999999982</v>
      </c>
      <c r="Y459" s="4">
        <v>45933</v>
      </c>
      <c r="Z459" s="4"/>
      <c r="AA459" s="5"/>
      <c r="AB459" s="5"/>
      <c r="AI459"/>
    </row>
    <row r="460" spans="1:35" hidden="1" x14ac:dyDescent="0.3">
      <c r="A460" s="5" t="str">
        <f>VLOOKUP(B460,base!A:M,11,FALSE)</f>
        <v>TRIFÁSICO</v>
      </c>
      <c r="B460" t="s">
        <v>322</v>
      </c>
      <c r="C460" s="1">
        <v>67998363594</v>
      </c>
      <c r="D460" s="60">
        <v>62955505182257</v>
      </c>
      <c r="E460" s="63" t="s">
        <v>433</v>
      </c>
      <c r="F460" t="s">
        <v>434</v>
      </c>
      <c r="G460" s="4">
        <v>45778</v>
      </c>
      <c r="H460" s="4" t="str">
        <f>Faturamento!$B489&amp;Faturamento!$G489</f>
        <v>10/435964-245870</v>
      </c>
      <c r="I460" t="s">
        <v>435</v>
      </c>
      <c r="J460">
        <v>166</v>
      </c>
      <c r="K460" s="3">
        <v>320.51718309859154</v>
      </c>
      <c r="L460" s="3">
        <v>280.0028873239437</v>
      </c>
      <c r="M460" s="5" t="str">
        <f>IF(Faturamento!$S489&lt;&gt;"","Não emitido",IF(Faturamento!$I489="NÃO","Pendente Fatura", IF(Faturamento!$R489&lt;&gt;"","Aprovado",IF(Faturamento!$O489&lt;&gt;0,"Pendente Emissão","Processo de Calculo"))))</f>
        <v>Aprovado</v>
      </c>
      <c r="N460" s="3">
        <v>162.05718309859157</v>
      </c>
      <c r="O460" s="3">
        <v>121.54</v>
      </c>
      <c r="P460" s="4"/>
      <c r="Q460" s="4"/>
      <c r="R460" s="3">
        <v>121.54</v>
      </c>
      <c r="S460"/>
      <c r="T460" s="51" t="s">
        <v>977</v>
      </c>
      <c r="U460" s="51"/>
      <c r="V460" t="s">
        <v>568</v>
      </c>
      <c r="W460" s="3">
        <v>121.54</v>
      </c>
      <c r="X460" s="123">
        <f>IF(Faturamento!$V495="Pago",IFERROR(W460-R460,0),0)</f>
        <v>0</v>
      </c>
      <c r="Y460" s="4"/>
      <c r="Z460" s="4"/>
      <c r="AA460" s="5"/>
      <c r="AB460" s="5"/>
      <c r="AI460"/>
    </row>
    <row r="461" spans="1:35" hidden="1" x14ac:dyDescent="0.3">
      <c r="A461" s="5" t="str">
        <f>VLOOKUP(B461,base!A:M,11,FALSE)</f>
        <v>MONOFÁSICO</v>
      </c>
      <c r="B461" t="s">
        <v>173</v>
      </c>
      <c r="C461" s="1">
        <v>0</v>
      </c>
      <c r="D461" s="60">
        <v>62955505084751</v>
      </c>
      <c r="E461" s="63" t="s">
        <v>433</v>
      </c>
      <c r="F461" t="s">
        <v>434</v>
      </c>
      <c r="G461" s="4">
        <v>45901</v>
      </c>
      <c r="H461" s="4" t="str">
        <f>Faturamento!$B839&amp;Faturamento!$G839</f>
        <v>10/925970-645689</v>
      </c>
      <c r="I461" t="s">
        <v>435</v>
      </c>
      <c r="J461">
        <v>140</v>
      </c>
      <c r="K461" s="3">
        <v>264.51</v>
      </c>
      <c r="L461" s="3">
        <v>220.03865205342674</v>
      </c>
      <c r="M461" s="5" t="s">
        <v>1489</v>
      </c>
      <c r="N461" s="3">
        <v>165.58000000000004</v>
      </c>
      <c r="O461" s="3">
        <v>121.11</v>
      </c>
      <c r="P461" s="4">
        <v>45933</v>
      </c>
      <c r="Q461" s="4">
        <v>45943</v>
      </c>
      <c r="R461" s="3">
        <f>O461</f>
        <v>121.11</v>
      </c>
      <c r="S461"/>
      <c r="T461" s="51" t="s">
        <v>1560</v>
      </c>
      <c r="U461" s="51" t="s">
        <v>1561</v>
      </c>
      <c r="V461" t="s">
        <v>568</v>
      </c>
      <c r="W461" s="3">
        <v>121.11</v>
      </c>
      <c r="X461" s="123">
        <f>IF(Faturamento!$V494="Pago",IFERROR(W461-R461,0),0)</f>
        <v>0</v>
      </c>
      <c r="Y461" s="4">
        <v>45953</v>
      </c>
      <c r="Z461" s="4"/>
      <c r="AA461" s="5"/>
      <c r="AB461" s="5"/>
      <c r="AI461"/>
    </row>
    <row r="462" spans="1:35" hidden="1" x14ac:dyDescent="0.3">
      <c r="A462" s="5" t="str">
        <f>VLOOKUP(B462,base!A:M,11,FALSE)</f>
        <v>MONOFÁSICO</v>
      </c>
      <c r="B462" s="37" t="s">
        <v>173</v>
      </c>
      <c r="C462" s="56" t="s">
        <v>175</v>
      </c>
      <c r="D462" s="59">
        <v>62955505084751</v>
      </c>
      <c r="E462" s="37" t="s">
        <v>433</v>
      </c>
      <c r="F462" s="37" t="s">
        <v>434</v>
      </c>
      <c r="G462" s="52">
        <v>45689</v>
      </c>
      <c r="H462" s="52" t="str">
        <f>Faturamento!$B148&amp;Faturamento!$G148</f>
        <v>10/1672452-845778</v>
      </c>
      <c r="I462" s="37" t="s">
        <v>435</v>
      </c>
      <c r="J462" s="37">
        <v>155</v>
      </c>
      <c r="K462" s="53">
        <v>254.02999999999997</v>
      </c>
      <c r="L462" s="53">
        <v>213.72499999999999</v>
      </c>
      <c r="M462" s="5" t="str">
        <f>IF(Faturamento!$S148&lt;&gt;"","Não emitido",IF(Faturamento!$I148="NÃO","Pendente Fatura", IF(Faturamento!$R148&lt;&gt;"","Aprovado",IF(Faturamento!$O148&lt;&gt;0,"Pendente Emissão","Processo de Calculo"))))</f>
        <v>Aprovado</v>
      </c>
      <c r="N462" s="53">
        <v>161.22</v>
      </c>
      <c r="O462" s="53">
        <v>120.92</v>
      </c>
      <c r="P462" s="52"/>
      <c r="Q462" s="52"/>
      <c r="R462" s="53">
        <v>120.92</v>
      </c>
      <c r="S462" s="37"/>
      <c r="T462" s="51" t="s">
        <v>709</v>
      </c>
      <c r="U462" s="51"/>
      <c r="V462" s="37" t="s">
        <v>568</v>
      </c>
      <c r="W462" s="53">
        <v>120.92</v>
      </c>
      <c r="X462" s="123">
        <f>IF(Faturamento!$V493="Pago",IFERROR(W462-R462,0),0)</f>
        <v>0</v>
      </c>
      <c r="Y462" s="52"/>
      <c r="Z462" s="52"/>
      <c r="AA462" s="5"/>
      <c r="AB462" s="5"/>
      <c r="AI462"/>
    </row>
    <row r="463" spans="1:35" hidden="1" x14ac:dyDescent="0.3">
      <c r="A463" s="5" t="str">
        <f>VLOOKUP(B463,base!A:M,11,FALSE)</f>
        <v>TRIFÁSICO</v>
      </c>
      <c r="B463" t="s">
        <v>228</v>
      </c>
      <c r="C463" s="1">
        <v>67991162146</v>
      </c>
      <c r="D463" s="60">
        <v>62955505015199</v>
      </c>
      <c r="E463" s="63" t="s">
        <v>433</v>
      </c>
      <c r="F463" t="s">
        <v>434</v>
      </c>
      <c r="G463" s="4">
        <v>45658</v>
      </c>
      <c r="H463" s="4" t="str">
        <f>Faturamento!$B53&amp;Faturamento!$G53</f>
        <v>10/191945-545658</v>
      </c>
      <c r="I463" t="s">
        <v>435</v>
      </c>
      <c r="J463">
        <v>164</v>
      </c>
      <c r="K463" s="3">
        <v>552.54999999999995</v>
      </c>
      <c r="L463" s="3">
        <v>512.27749999999992</v>
      </c>
      <c r="M463" s="5" t="str">
        <f>IF(Faturamento!$S53&lt;&gt;"","Não emitido",IF(Faturamento!$I53="NÃO","Pendente Fatura", IF(Faturamento!$R53&lt;&gt;"","Aprovado",IF(Faturamento!$O53&lt;&gt;0,"Pendente Emissão","Processo de Calculo"))))</f>
        <v>Aprovado</v>
      </c>
      <c r="N463" s="3">
        <v>161.09</v>
      </c>
      <c r="O463" s="3">
        <v>120.82</v>
      </c>
      <c r="P463" s="4"/>
      <c r="Q463" s="4"/>
      <c r="R463" s="3">
        <v>120.82</v>
      </c>
      <c r="S463"/>
      <c r="T463" s="51" t="s">
        <v>589</v>
      </c>
      <c r="U463" s="51"/>
      <c r="V463" t="s">
        <v>568</v>
      </c>
      <c r="W463" s="3">
        <v>120.82</v>
      </c>
      <c r="X463" s="123">
        <f>IF(Faturamento!$V492="Pago",IFERROR(W463-R463,0),0)</f>
        <v>0</v>
      </c>
      <c r="Y463" s="4"/>
      <c r="Z463" s="4"/>
      <c r="AA463" s="5">
        <v>283032</v>
      </c>
      <c r="AB463" s="5">
        <v>502</v>
      </c>
      <c r="AC463" s="5" t="s">
        <v>434</v>
      </c>
      <c r="AD463" s="5" t="s">
        <v>590</v>
      </c>
      <c r="AE463" s="5">
        <v>16.72</v>
      </c>
      <c r="AG463" s="5" t="s">
        <v>591</v>
      </c>
      <c r="AH463" s="5" t="s">
        <v>494</v>
      </c>
      <c r="AI463"/>
    </row>
    <row r="464" spans="1:35" hidden="1" x14ac:dyDescent="0.3">
      <c r="A464" s="5" t="str">
        <f>VLOOKUP(B464,base!A:M,11,FALSE)</f>
        <v>TRIFÁSICO</v>
      </c>
      <c r="B464" s="37" t="s">
        <v>264</v>
      </c>
      <c r="C464" s="56">
        <v>67992876000</v>
      </c>
      <c r="D464" s="59">
        <v>62955505248886</v>
      </c>
      <c r="E464" s="37" t="s">
        <v>433</v>
      </c>
      <c r="F464" s="37" t="s">
        <v>434</v>
      </c>
      <c r="G464" s="52">
        <v>45809</v>
      </c>
      <c r="H464" s="52" t="str">
        <f>Faturamento!$B592&amp;Faturamento!$G592</f>
        <v>10/150263-245901</v>
      </c>
      <c r="I464" s="37" t="s">
        <v>435</v>
      </c>
      <c r="J464" s="37">
        <v>159</v>
      </c>
      <c r="K464" s="53">
        <v>271.0549315068493</v>
      </c>
      <c r="L464" s="53">
        <v>232.8985320127905</v>
      </c>
      <c r="M464" s="5" t="s">
        <v>1489</v>
      </c>
      <c r="N464" s="53">
        <v>160.82493150684928</v>
      </c>
      <c r="O464" s="53">
        <v>120.62</v>
      </c>
      <c r="P464" s="52">
        <v>45860</v>
      </c>
      <c r="Q464" s="52">
        <v>45871</v>
      </c>
      <c r="R464" s="53">
        <v>120.62</v>
      </c>
      <c r="S464" s="37"/>
      <c r="T464" s="51" t="s">
        <v>1143</v>
      </c>
      <c r="U464" s="51" t="s">
        <v>1144</v>
      </c>
      <c r="V464" s="37" t="s">
        <v>568</v>
      </c>
      <c r="W464" s="53">
        <v>120.62</v>
      </c>
      <c r="X464" s="123">
        <f>IF(Faturamento!$V491="Pago",IFERROR(W464-R464,0),0)</f>
        <v>0</v>
      </c>
      <c r="Y464" s="52"/>
      <c r="Z464" s="52"/>
      <c r="AA464" s="5"/>
      <c r="AB464" s="5"/>
      <c r="AI464"/>
    </row>
    <row r="465" spans="1:35" hidden="1" x14ac:dyDescent="0.3">
      <c r="A465" s="5" t="str">
        <f>VLOOKUP(B465,base!A:M,11,FALSE)</f>
        <v>TRIFÁSICO</v>
      </c>
      <c r="B465" s="37" t="s">
        <v>287</v>
      </c>
      <c r="C465" s="56" t="s">
        <v>288</v>
      </c>
      <c r="D465" s="59">
        <v>62955505273058</v>
      </c>
      <c r="E465" s="37" t="s">
        <v>433</v>
      </c>
      <c r="F465" s="37" t="s">
        <v>434</v>
      </c>
      <c r="G465" s="52">
        <v>45778</v>
      </c>
      <c r="H465" s="52" t="str">
        <f>Faturamento!$B460&amp;Faturamento!$G460</f>
        <v>10/69319-245778</v>
      </c>
      <c r="I465" s="37" t="s">
        <v>435</v>
      </c>
      <c r="J465">
        <v>151</v>
      </c>
      <c r="K465" s="3">
        <v>270.70011235955059</v>
      </c>
      <c r="L465" s="3">
        <v>230.59258426966295</v>
      </c>
      <c r="M465" s="5" t="str">
        <f>IF(Faturamento!$S460&lt;&gt;"","Não emitido",IF(Faturamento!$I460="NÃO","Pendente Fatura", IF(Faturamento!$R460&lt;&gt;"","Aprovado",IF(Faturamento!$O460&lt;&gt;0,"Pendente Emissão","Processo de Calculo"))))</f>
        <v>Aprovado</v>
      </c>
      <c r="N465" s="53">
        <v>160.43011235955055</v>
      </c>
      <c r="O465" s="53">
        <v>120.32</v>
      </c>
      <c r="P465" s="52"/>
      <c r="Q465" s="52"/>
      <c r="R465" s="53">
        <v>120.32</v>
      </c>
      <c r="S465" s="37"/>
      <c r="T465" s="51" t="s">
        <v>952</v>
      </c>
      <c r="U465" s="51"/>
      <c r="V465" s="37" t="s">
        <v>568</v>
      </c>
      <c r="W465" s="53">
        <v>120.32</v>
      </c>
      <c r="X465" s="123">
        <f>IF(Faturamento!$V490="Pago",IFERROR(W465-R465,0),0)</f>
        <v>0</v>
      </c>
      <c r="Y465" s="52"/>
      <c r="Z465" s="52"/>
      <c r="AA465" s="5"/>
      <c r="AB465" s="5"/>
      <c r="AI465"/>
    </row>
    <row r="466" spans="1:35" hidden="1" x14ac:dyDescent="0.3">
      <c r="A466" s="5" t="str">
        <f>VLOOKUP(B466,base!A:M,11,FALSE)</f>
        <v>TRIFÁSICO</v>
      </c>
      <c r="B466" t="s">
        <v>311</v>
      </c>
      <c r="C466" s="1">
        <v>0</v>
      </c>
      <c r="D466" s="60">
        <v>62955505193534</v>
      </c>
      <c r="E466" s="63" t="s">
        <v>433</v>
      </c>
      <c r="F466" t="s">
        <v>434</v>
      </c>
      <c r="G466" s="4">
        <v>45901</v>
      </c>
      <c r="H466" s="4" t="str">
        <f>Faturamento!$B825&amp;Faturamento!$G825</f>
        <v>10/135237-645658</v>
      </c>
      <c r="I466" t="s">
        <v>435</v>
      </c>
      <c r="J466">
        <v>136</v>
      </c>
      <c r="K466" s="3">
        <v>338.12199999999996</v>
      </c>
      <c r="L466" s="3">
        <v>293.99389630198164</v>
      </c>
      <c r="M466" s="5" t="s">
        <v>1489</v>
      </c>
      <c r="N466" s="3">
        <v>164.30199999999999</v>
      </c>
      <c r="O466" s="3">
        <v>120.17</v>
      </c>
      <c r="P466" s="4">
        <v>45933</v>
      </c>
      <c r="Q466" s="4">
        <v>45943</v>
      </c>
      <c r="R466" s="3">
        <f>O466</f>
        <v>120.17</v>
      </c>
      <c r="S466"/>
      <c r="T466" s="51" t="s">
        <v>1534</v>
      </c>
      <c r="U466" s="51" t="s">
        <v>1535</v>
      </c>
      <c r="V466" t="s">
        <v>568</v>
      </c>
      <c r="W466" s="3">
        <f>R466</f>
        <v>120.17</v>
      </c>
      <c r="X466" s="123">
        <f>IF(Faturamento!$V489="Pago",IFERROR(W466-R466,0),0)</f>
        <v>0</v>
      </c>
      <c r="Y466" s="4"/>
      <c r="Z466" s="4"/>
      <c r="AA466" s="5"/>
      <c r="AB466" s="5"/>
      <c r="AI466"/>
    </row>
    <row r="467" spans="1:35" hidden="1" x14ac:dyDescent="0.3">
      <c r="A467" s="5" t="str">
        <f>VLOOKUP(B467,base!A:M,11,FALSE)</f>
        <v>TRIFÁSICO</v>
      </c>
      <c r="B467" s="37" t="s">
        <v>151</v>
      </c>
      <c r="C467" s="56">
        <v>0</v>
      </c>
      <c r="D467" s="59">
        <v>62955505335851</v>
      </c>
      <c r="E467" s="37" t="s">
        <v>433</v>
      </c>
      <c r="F467" s="37" t="s">
        <v>434</v>
      </c>
      <c r="G467" s="52">
        <v>45870</v>
      </c>
      <c r="H467" s="52" t="str">
        <f>Faturamento!$B790&amp;Faturamento!$G790</f>
        <v>10/2794432-145627</v>
      </c>
      <c r="I467" s="37" t="s">
        <v>435</v>
      </c>
      <c r="J467">
        <v>154</v>
      </c>
      <c r="K467" s="3">
        <v>266.97236842105264</v>
      </c>
      <c r="L467" s="3">
        <v>232.04051716169911</v>
      </c>
      <c r="M467" s="5" t="s">
        <v>1489</v>
      </c>
      <c r="N467" s="53">
        <v>154.59236842105261</v>
      </c>
      <c r="O467" s="53">
        <v>119.66</v>
      </c>
      <c r="P467" s="52">
        <v>45910</v>
      </c>
      <c r="Q467" s="52">
        <v>45920</v>
      </c>
      <c r="R467" s="53">
        <v>119.66</v>
      </c>
      <c r="S467" s="37"/>
      <c r="T467" s="51" t="s">
        <v>1474</v>
      </c>
      <c r="U467" s="51" t="s">
        <v>1475</v>
      </c>
      <c r="V467" s="37" t="s">
        <v>568</v>
      </c>
      <c r="W467" s="53">
        <v>119.66</v>
      </c>
      <c r="X467" s="123">
        <f>IF(Faturamento!$V488="Pago",IFERROR(W467-R467,0),0)</f>
        <v>0</v>
      </c>
      <c r="Y467" s="52"/>
      <c r="Z467" s="52"/>
      <c r="AA467" s="5"/>
      <c r="AB467" s="5"/>
      <c r="AI467"/>
    </row>
    <row r="468" spans="1:35" hidden="1" x14ac:dyDescent="0.3">
      <c r="A468" s="5" t="str">
        <f>VLOOKUP(B468,base!A:M,11,FALSE)</f>
        <v>MONOFÁSICO</v>
      </c>
      <c r="B468" t="s">
        <v>173</v>
      </c>
      <c r="C468" s="1" t="s">
        <v>175</v>
      </c>
      <c r="D468" s="60">
        <v>62955505084751</v>
      </c>
      <c r="E468" s="63" t="s">
        <v>433</v>
      </c>
      <c r="F468" t="s">
        <v>434</v>
      </c>
      <c r="G468" s="4">
        <v>45658</v>
      </c>
      <c r="H468" s="4" t="str">
        <f>Faturamento!$B51&amp;Faturamento!$G51</f>
        <v>10/202838-945778</v>
      </c>
      <c r="I468" t="s">
        <v>435</v>
      </c>
      <c r="J468">
        <v>152</v>
      </c>
      <c r="K468" s="3">
        <v>263.95</v>
      </c>
      <c r="L468" s="3">
        <v>224.13249999999999</v>
      </c>
      <c r="M468" s="5" t="str">
        <f>IF(Faturamento!$S51&lt;&gt;"","Não emitido",IF(Faturamento!$I51="NÃO","Pendente Fatura", IF(Faturamento!$R51&lt;&gt;"","Aprovado",IF(Faturamento!$O51&lt;&gt;0,"Pendente Emissão","Processo de Calculo"))))</f>
        <v>Aprovado</v>
      </c>
      <c r="N468" s="3">
        <v>159.27000000000004</v>
      </c>
      <c r="O468" s="3">
        <v>119.45</v>
      </c>
      <c r="P468" s="4"/>
      <c r="Q468" s="4"/>
      <c r="R468" s="3">
        <v>119.45</v>
      </c>
      <c r="S468"/>
      <c r="T468" s="51" t="s">
        <v>583</v>
      </c>
      <c r="U468" s="51"/>
      <c r="V468" t="s">
        <v>568</v>
      </c>
      <c r="W468" s="3">
        <v>119.45</v>
      </c>
      <c r="X468" s="123">
        <f>IF(Faturamento!$V487="Pago",IFERROR(W468-R468,0),0)</f>
        <v>0</v>
      </c>
      <c r="Y468" s="4"/>
      <c r="Z468" s="4"/>
      <c r="AA468" s="5">
        <v>283032</v>
      </c>
      <c r="AB468" s="5">
        <v>502</v>
      </c>
      <c r="AC468" s="5" t="s">
        <v>434</v>
      </c>
      <c r="AD468" s="5" t="s">
        <v>584</v>
      </c>
      <c r="AE468" s="5">
        <v>237.65</v>
      </c>
      <c r="AG468" s="5" t="s">
        <v>585</v>
      </c>
      <c r="AH468" s="5" t="s">
        <v>441</v>
      </c>
      <c r="AI468"/>
    </row>
    <row r="469" spans="1:35" hidden="1" x14ac:dyDescent="0.3">
      <c r="A469" s="5" t="str">
        <f>VLOOKUP(B469,base!A:M,11,FALSE)</f>
        <v>TRIFÁSICO</v>
      </c>
      <c r="B469" t="s">
        <v>283</v>
      </c>
      <c r="C469" s="1">
        <v>6796411024</v>
      </c>
      <c r="D469" s="60">
        <v>62955505182257</v>
      </c>
      <c r="E469" s="63" t="s">
        <v>433</v>
      </c>
      <c r="F469" t="s">
        <v>434</v>
      </c>
      <c r="G469" s="4">
        <v>45809</v>
      </c>
      <c r="H469" s="4" t="str">
        <f>Faturamento!$B569&amp;Faturamento!$G569</f>
        <v>10/156956-545870</v>
      </c>
      <c r="I469" t="s">
        <v>435</v>
      </c>
      <c r="J469" s="37">
        <v>158</v>
      </c>
      <c r="K469" s="53">
        <v>370.63433962264151</v>
      </c>
      <c r="L469" s="53">
        <v>332.95496161047947</v>
      </c>
      <c r="M469" s="5" t="str">
        <f>IF(Faturamento!$S569&lt;&gt;"","Não emitido",IF(Faturamento!$I569="NÃO","Pendente Fatura", IF(Faturamento!$R569&lt;&gt;"","Aprovado",IF(Faturamento!$O569&lt;&gt;0,"Pendente Emissão","Processo de Calculo"))))</f>
        <v>Aprovado</v>
      </c>
      <c r="N469" s="3">
        <v>158.81433962264151</v>
      </c>
      <c r="O469" s="3">
        <v>119.11</v>
      </c>
      <c r="P469" s="4">
        <v>45860</v>
      </c>
      <c r="Q469" s="4">
        <v>45871</v>
      </c>
      <c r="R469" s="3">
        <v>119.11</v>
      </c>
      <c r="S469"/>
      <c r="T469" s="51" t="s">
        <v>1097</v>
      </c>
      <c r="U469" s="51" t="s">
        <v>1098</v>
      </c>
      <c r="V469" t="s">
        <v>568</v>
      </c>
      <c r="W469" s="3">
        <v>119.11</v>
      </c>
      <c r="X469" s="123">
        <f>IF(Faturamento!$V486="Pago",IFERROR(W469-R469,0),0)</f>
        <v>0</v>
      </c>
      <c r="Y469" s="4" t="s">
        <v>1043</v>
      </c>
      <c r="Z469" s="4"/>
      <c r="AA469" s="5"/>
      <c r="AB469" s="5"/>
      <c r="AI469"/>
    </row>
    <row r="470" spans="1:35" hidden="1" x14ac:dyDescent="0.3">
      <c r="A470" s="5" t="str">
        <f>VLOOKUP(B470,base!A:M,11,FALSE)</f>
        <v>TRIFÁSICO</v>
      </c>
      <c r="B470" t="s">
        <v>320</v>
      </c>
      <c r="C470" s="1">
        <v>67981263396</v>
      </c>
      <c r="D470" s="60">
        <v>62955505135500</v>
      </c>
      <c r="E470" s="63" t="s">
        <v>433</v>
      </c>
      <c r="F470" t="s">
        <v>434</v>
      </c>
      <c r="G470" s="4">
        <v>45809</v>
      </c>
      <c r="H470" s="4" t="str">
        <f>Faturamento!$B583&amp;Faturamento!$G583</f>
        <v>10/52987-545901</v>
      </c>
      <c r="I470" t="s">
        <v>435</v>
      </c>
      <c r="J470" s="37">
        <v>158</v>
      </c>
      <c r="K470" s="53">
        <v>404.61525179856119</v>
      </c>
      <c r="L470" s="53">
        <v>366.94040245390278</v>
      </c>
      <c r="M470" s="5" t="str">
        <f>IF(Faturamento!$S583&lt;&gt;"","Não emitido",IF(Faturamento!$I583="NÃO","Pendente Fatura", IF(Faturamento!$R583&lt;&gt;"","Aprovado",IF(Faturamento!$O583&lt;&gt;0,"Pendente Emissão","Processo de Calculo"))))</f>
        <v>Aprovado</v>
      </c>
      <c r="N470" s="3">
        <v>158.79525179856117</v>
      </c>
      <c r="O470" s="3">
        <v>119.1</v>
      </c>
      <c r="P470" s="4">
        <v>45860</v>
      </c>
      <c r="Q470" s="4">
        <v>45871</v>
      </c>
      <c r="R470" s="3">
        <v>119.1</v>
      </c>
      <c r="S470"/>
      <c r="T470" s="51" t="s">
        <v>1125</v>
      </c>
      <c r="U470" s="51" t="s">
        <v>1126</v>
      </c>
      <c r="V470" t="s">
        <v>568</v>
      </c>
      <c r="W470" s="3">
        <v>119.1</v>
      </c>
      <c r="X470" s="123">
        <f>IF(Faturamento!$V485="Pago",IFERROR(W470-R470,0),0)</f>
        <v>0</v>
      </c>
      <c r="Y470" s="4" t="s">
        <v>1043</v>
      </c>
      <c r="Z470" s="4"/>
      <c r="AA470" s="5"/>
      <c r="AB470" s="5"/>
      <c r="AI470"/>
    </row>
    <row r="471" spans="1:35" hidden="1" x14ac:dyDescent="0.3">
      <c r="A471" s="5" t="str">
        <f>VLOOKUP(B471,base!A:M,11,FALSE)</f>
        <v>BIFÁSICO</v>
      </c>
      <c r="B471" s="37" t="s">
        <v>208</v>
      </c>
      <c r="C471" s="56">
        <v>67996711972</v>
      </c>
      <c r="D471" s="59">
        <v>62955505016594</v>
      </c>
      <c r="E471" s="37" t="s">
        <v>433</v>
      </c>
      <c r="F471" s="37" t="s">
        <v>434</v>
      </c>
      <c r="G471" s="52">
        <v>45809</v>
      </c>
      <c r="H471" s="52" t="str">
        <f>Faturamento!$B588&amp;Faturamento!$G588</f>
        <v>10/466560-045778</v>
      </c>
      <c r="I471" s="37" t="s">
        <v>435</v>
      </c>
      <c r="J471" s="37">
        <v>158</v>
      </c>
      <c r="K471" s="53">
        <v>317.38102564102564</v>
      </c>
      <c r="L471" s="53">
        <v>279.70717897022962</v>
      </c>
      <c r="M471" s="5" t="str">
        <f>IF(Faturamento!$S588&lt;&gt;"","Não emitido",IF(Faturamento!$I588="NÃO","Pendente Fatura", IF(Faturamento!$R588&lt;&gt;"","Aprovado",IF(Faturamento!$O588&lt;&gt;0,"Pendente Emissão","Processo de Calculo"))))</f>
        <v>Aprovado</v>
      </c>
      <c r="N471" s="53">
        <v>158.7910256410257</v>
      </c>
      <c r="O471" s="53">
        <v>119.09</v>
      </c>
      <c r="P471" s="52">
        <v>45860</v>
      </c>
      <c r="Q471" s="52">
        <v>45871</v>
      </c>
      <c r="R471" s="53">
        <v>119.09</v>
      </c>
      <c r="S471" s="37"/>
      <c r="T471" s="51" t="s">
        <v>1135</v>
      </c>
      <c r="U471" s="51" t="s">
        <v>1136</v>
      </c>
      <c r="V471" s="37" t="s">
        <v>568</v>
      </c>
      <c r="W471" s="53">
        <v>119.09</v>
      </c>
      <c r="X471" s="123">
        <f>IF(Faturamento!$V483="Pago",IFERROR(W471-R471,0),0)</f>
        <v>0</v>
      </c>
      <c r="Y471" s="52" t="s">
        <v>1046</v>
      </c>
      <c r="Z471" s="52"/>
      <c r="AA471" s="5"/>
      <c r="AB471" s="5"/>
      <c r="AI471"/>
    </row>
    <row r="472" spans="1:35" hidden="1" x14ac:dyDescent="0.3">
      <c r="A472" s="5" t="str">
        <f>VLOOKUP(B472,base!A:M,11,FALSE)</f>
        <v>TRIFÁSICO</v>
      </c>
      <c r="B472" s="37" t="s">
        <v>330</v>
      </c>
      <c r="C472" s="56" t="s">
        <v>332</v>
      </c>
      <c r="D472" s="59">
        <v>62955505016837</v>
      </c>
      <c r="E472" s="37" t="s">
        <v>433</v>
      </c>
      <c r="F472" s="37" t="s">
        <v>434</v>
      </c>
      <c r="G472" s="52">
        <v>45809</v>
      </c>
      <c r="H472" s="52" t="str">
        <f>Faturamento!$B590&amp;Faturamento!$G590</f>
        <v>10/226667-445689</v>
      </c>
      <c r="I472" s="37" t="s">
        <v>435</v>
      </c>
      <c r="J472" s="37">
        <v>158</v>
      </c>
      <c r="K472" s="53">
        <v>322.46172413793107</v>
      </c>
      <c r="L472" s="53">
        <v>284.78771174577133</v>
      </c>
      <c r="M472" s="5" t="str">
        <f>IF(Faturamento!$S590&lt;&gt;"","Não emitido",IF(Faturamento!$I590="NÃO","Pendente Fatura", IF(Faturamento!$R590&lt;&gt;"","Aprovado",IF(Faturamento!$O590&lt;&gt;0,"Pendente Emissão","Processo de Calculo"))))</f>
        <v>Aprovado</v>
      </c>
      <c r="N472" s="53">
        <v>158.79172413793108</v>
      </c>
      <c r="O472" s="53">
        <v>119.09</v>
      </c>
      <c r="P472" s="52">
        <v>45860</v>
      </c>
      <c r="Q472" s="52">
        <v>45871</v>
      </c>
      <c r="R472" s="53">
        <v>119.09</v>
      </c>
      <c r="S472" s="37"/>
      <c r="T472" s="51" t="s">
        <v>1139</v>
      </c>
      <c r="U472" s="51" t="s">
        <v>1140</v>
      </c>
      <c r="V472" s="37" t="s">
        <v>568</v>
      </c>
      <c r="W472" s="53">
        <v>119.09</v>
      </c>
      <c r="X472" s="123">
        <f>IF(Faturamento!$V484="Pago",IFERROR(W472-R472,0),0)</f>
        <v>0</v>
      </c>
      <c r="Y472" s="52" t="s">
        <v>1046</v>
      </c>
      <c r="Z472" s="52"/>
      <c r="AA472" s="5"/>
      <c r="AB472" s="5"/>
      <c r="AI472"/>
    </row>
    <row r="473" spans="1:35" hidden="1" x14ac:dyDescent="0.3">
      <c r="A473" s="5" t="str">
        <f>VLOOKUP(B473,base!A:M,11,FALSE)</f>
        <v>TRIFÁSICO</v>
      </c>
      <c r="B473" s="37" t="s">
        <v>326</v>
      </c>
      <c r="C473" s="56" t="s">
        <v>328</v>
      </c>
      <c r="D473" s="59">
        <v>62955505058599</v>
      </c>
      <c r="E473" s="37" t="s">
        <v>433</v>
      </c>
      <c r="F473" s="37" t="s">
        <v>434</v>
      </c>
      <c r="G473" s="52">
        <v>45809</v>
      </c>
      <c r="H473" s="52" t="str">
        <f>Faturamento!$B562&amp;Faturamento!$G562</f>
        <v>10/1698130-045778</v>
      </c>
      <c r="I473" s="37" t="s">
        <v>435</v>
      </c>
      <c r="J473" s="37">
        <v>158</v>
      </c>
      <c r="K473" s="53">
        <v>363.26655172413791</v>
      </c>
      <c r="L473" s="53">
        <v>325.65070753063969</v>
      </c>
      <c r="M473" s="5" t="str">
        <f>IF(Faturamento!$S562&lt;&gt;"","Não emitido",IF(Faturamento!$I562="NÃO","Pendente Fatura", IF(Faturamento!$R562&lt;&gt;"","Aprovado",IF(Faturamento!$O562&lt;&gt;0,"Pendente Emissão","Processo de Calculo"))))</f>
        <v>Aprovado</v>
      </c>
      <c r="N473" s="53">
        <v>158.54655172413794</v>
      </c>
      <c r="O473" s="53">
        <v>118.91</v>
      </c>
      <c r="P473" s="52">
        <v>45860</v>
      </c>
      <c r="Q473" s="52">
        <v>45871</v>
      </c>
      <c r="R473" s="53">
        <v>118.91</v>
      </c>
      <c r="S473" s="37"/>
      <c r="T473" s="51" t="s">
        <v>1083</v>
      </c>
      <c r="U473" s="51" t="s">
        <v>1084</v>
      </c>
      <c r="V473" s="37" t="s">
        <v>568</v>
      </c>
      <c r="W473" s="53">
        <v>118.91</v>
      </c>
      <c r="X473" s="123">
        <f>IF(Faturamento!$V482="Pago",IFERROR(W473-R473,0),0)</f>
        <v>0</v>
      </c>
      <c r="Y473" s="52" t="s">
        <v>1018</v>
      </c>
      <c r="Z473" s="52"/>
      <c r="AA473" s="5"/>
      <c r="AB473" s="5"/>
      <c r="AI473"/>
    </row>
    <row r="474" spans="1:35" hidden="1" x14ac:dyDescent="0.3">
      <c r="A474" s="5" t="str">
        <f>VLOOKUP(B474,base!A:M,11,FALSE)</f>
        <v>TRIFÁSICO</v>
      </c>
      <c r="B474" t="s">
        <v>186</v>
      </c>
      <c r="C474" s="1" t="s">
        <v>403</v>
      </c>
      <c r="D474" s="60">
        <v>62955505016160</v>
      </c>
      <c r="E474" s="63" t="s">
        <v>433</v>
      </c>
      <c r="F474" t="s">
        <v>434</v>
      </c>
      <c r="G474" s="4">
        <v>45809</v>
      </c>
      <c r="H474" s="4" t="str">
        <f>Faturamento!$B575&amp;Faturamento!$G575</f>
        <v>10/1288241-145748</v>
      </c>
      <c r="I474" t="s">
        <v>435</v>
      </c>
      <c r="J474" s="37">
        <v>158</v>
      </c>
      <c r="K474" s="53">
        <v>499.89433179723505</v>
      </c>
      <c r="L474" s="53">
        <v>462.28375937596576</v>
      </c>
      <c r="M474" s="5" t="str">
        <f>IF(Faturamento!$S575&lt;&gt;"","Não emitido",IF(Faturamento!$I575="NÃO","Pendente Fatura", IF(Faturamento!$R575&lt;&gt;"","Aprovado",IF(Faturamento!$O575&lt;&gt;0,"Pendente Emissão","Processo de Calculo"))))</f>
        <v>Aprovado</v>
      </c>
      <c r="N474" s="3">
        <v>158.52433179723505</v>
      </c>
      <c r="O474" s="3">
        <v>118.89</v>
      </c>
      <c r="P474" s="4">
        <v>45860</v>
      </c>
      <c r="Q474" s="4">
        <v>45871</v>
      </c>
      <c r="R474" s="3">
        <v>118.89</v>
      </c>
      <c r="S474"/>
      <c r="T474" s="51" t="s">
        <v>1109</v>
      </c>
      <c r="U474" s="51" t="s">
        <v>1110</v>
      </c>
      <c r="V474" t="s">
        <v>568</v>
      </c>
      <c r="W474" s="3">
        <v>118.89</v>
      </c>
      <c r="X474" s="123">
        <f>IF(Faturamento!$V481="Pago",IFERROR(W474-R474,0),0)</f>
        <v>0</v>
      </c>
      <c r="Y474" s="4" t="s">
        <v>1046</v>
      </c>
      <c r="Z474" s="4"/>
      <c r="AA474" s="5"/>
      <c r="AB474" s="5"/>
      <c r="AI474"/>
    </row>
    <row r="475" spans="1:35" hidden="1" x14ac:dyDescent="0.3">
      <c r="A475" s="5" t="str">
        <f>VLOOKUP(B475,base!A:M,11,FALSE)</f>
        <v>BIFÁSICO</v>
      </c>
      <c r="B475" t="s">
        <v>130</v>
      </c>
      <c r="C475" s="1" t="s">
        <v>132</v>
      </c>
      <c r="D475" s="60">
        <v>62955505000167</v>
      </c>
      <c r="E475" s="63" t="s">
        <v>433</v>
      </c>
      <c r="F475" t="s">
        <v>434</v>
      </c>
      <c r="G475" s="4">
        <v>45809</v>
      </c>
      <c r="H475" s="4" t="str">
        <f>Faturamento!$B589&amp;Faturamento!$G589</f>
        <v>10/150263-245809</v>
      </c>
      <c r="I475" t="s">
        <v>435</v>
      </c>
      <c r="J475" s="37">
        <v>158</v>
      </c>
      <c r="K475" s="53">
        <v>320.38982300884959</v>
      </c>
      <c r="L475" s="53">
        <v>282.88945727464102</v>
      </c>
      <c r="M475" s="5" t="str">
        <f>IF(Faturamento!$S589&lt;&gt;"","Não emitido",IF(Faturamento!$I589="NÃO","Pendente Fatura", IF(Faturamento!$R589&lt;&gt;"","Aprovado",IF(Faturamento!$O589&lt;&gt;0,"Pendente Emissão","Processo de Calculo"))))</f>
        <v>Aprovado</v>
      </c>
      <c r="N475" s="3">
        <v>158.05982300884955</v>
      </c>
      <c r="O475" s="3">
        <v>118.54</v>
      </c>
      <c r="P475" s="4">
        <v>45860</v>
      </c>
      <c r="Q475" s="4">
        <v>45871</v>
      </c>
      <c r="R475" s="3">
        <v>118.54</v>
      </c>
      <c r="S475"/>
      <c r="T475" s="51" t="s">
        <v>1137</v>
      </c>
      <c r="U475" s="51" t="s">
        <v>1138</v>
      </c>
      <c r="V475" t="s">
        <v>369</v>
      </c>
      <c r="W475" s="3">
        <v>0</v>
      </c>
      <c r="X475" s="123">
        <f>IF(Faturamento!$V208="Pago",IFERROR(W475-R475,0),0)</f>
        <v>-118.54</v>
      </c>
      <c r="Y475" s="4"/>
      <c r="Z475" s="196" t="s">
        <v>1795</v>
      </c>
      <c r="AA475" s="5"/>
      <c r="AB475" s="5"/>
      <c r="AI475"/>
    </row>
    <row r="476" spans="1:35" hidden="1" x14ac:dyDescent="0.3">
      <c r="A476" s="5" t="str">
        <f>VLOOKUP(B476,base!A:M,11,FALSE)</f>
        <v>BIFÁSICO</v>
      </c>
      <c r="B476" t="s">
        <v>268</v>
      </c>
      <c r="C476" s="1">
        <v>67996859014</v>
      </c>
      <c r="D476" s="60">
        <v>62955505177504</v>
      </c>
      <c r="E476" s="63" t="s">
        <v>433</v>
      </c>
      <c r="F476" t="s">
        <v>434</v>
      </c>
      <c r="G476" s="4">
        <v>45809</v>
      </c>
      <c r="H476" s="4" t="str">
        <f>Faturamento!$B577&amp;Faturamento!$G577</f>
        <v>10/530195-745748</v>
      </c>
      <c r="I476" t="s">
        <v>435</v>
      </c>
      <c r="J476" s="37">
        <v>158</v>
      </c>
      <c r="K476" s="53">
        <v>390.94936507936507</v>
      </c>
      <c r="L476" s="53">
        <v>353.52977443796465</v>
      </c>
      <c r="M476" s="5" t="str">
        <f>IF(Faturamento!$S577&lt;&gt;"","Não emitido",IF(Faturamento!$I577="NÃO","Pendente Fatura", IF(Faturamento!$R577&lt;&gt;"","Aprovado",IF(Faturamento!$O577&lt;&gt;0,"Pendente Emissão","Processo de Calculo"))))</f>
        <v>Aprovado</v>
      </c>
      <c r="N476" s="3">
        <v>157.7193650793651</v>
      </c>
      <c r="O476" s="3">
        <v>118.29</v>
      </c>
      <c r="P476" s="4">
        <v>45860</v>
      </c>
      <c r="Q476" s="4">
        <v>45871</v>
      </c>
      <c r="R476" s="3">
        <v>118.29</v>
      </c>
      <c r="S476"/>
      <c r="T476" s="51" t="s">
        <v>1113</v>
      </c>
      <c r="U476" s="51" t="s">
        <v>1114</v>
      </c>
      <c r="V476" t="s">
        <v>369</v>
      </c>
      <c r="W476" s="3">
        <v>0</v>
      </c>
      <c r="X476" s="123">
        <f>IF(Faturamento!$V205="Pago",IFERROR(W476-R476,0),0)</f>
        <v>-118.29</v>
      </c>
      <c r="Y476" s="4"/>
      <c r="Z476" s="196" t="s">
        <v>1795</v>
      </c>
      <c r="AA476" s="5"/>
      <c r="AB476" s="5"/>
      <c r="AI476"/>
    </row>
    <row r="477" spans="1:35" hidden="1" x14ac:dyDescent="0.3">
      <c r="A477" s="5" t="str">
        <f>VLOOKUP(B477,base!A:M,11,FALSE)</f>
        <v>BIFÁSICO</v>
      </c>
      <c r="B477" s="37" t="s">
        <v>215</v>
      </c>
      <c r="C477" s="85">
        <v>67981311823</v>
      </c>
      <c r="D477" s="59">
        <v>62955505182176</v>
      </c>
      <c r="E477" s="37" t="s">
        <v>433</v>
      </c>
      <c r="F477" s="37" t="s">
        <v>434</v>
      </c>
      <c r="G477" s="52">
        <v>45748</v>
      </c>
      <c r="H477" s="52" t="str">
        <f>Faturamento!$B370&amp;Faturamento!$G370</f>
        <v>10/480529-745870</v>
      </c>
      <c r="I477" s="37" t="s">
        <v>435</v>
      </c>
      <c r="J477" s="37">
        <v>145</v>
      </c>
      <c r="K477" s="53">
        <v>271.08</v>
      </c>
      <c r="L477" s="53">
        <v>231.69750000000002</v>
      </c>
      <c r="M477" s="5" t="str">
        <f>IF(Faturamento!$S370&lt;&gt;"","Não emitido",IF(Faturamento!$I370="NÃO","Pendente Fatura", IF(Faturamento!$R370&lt;&gt;"","Aprovado",IF(Faturamento!$O370&lt;&gt;0,"Pendente Emissão","Processo de Calculo"))))</f>
        <v>Aprovado</v>
      </c>
      <c r="N477" s="53">
        <v>157.53</v>
      </c>
      <c r="O477" s="53">
        <v>118.15</v>
      </c>
      <c r="P477" s="52"/>
      <c r="Q477" s="52"/>
      <c r="R477" s="53">
        <v>118.15</v>
      </c>
      <c r="S477" s="37"/>
      <c r="T477" s="51" t="s">
        <v>870</v>
      </c>
      <c r="U477" s="51" t="e">
        <v>#N/A</v>
      </c>
      <c r="V477" s="37" t="s">
        <v>369</v>
      </c>
      <c r="W477" s="53">
        <v>0</v>
      </c>
      <c r="X477" s="123">
        <f>IF(Faturamento!$V158="Pago",IFERROR(W477-R477,0),0)</f>
        <v>-118.15</v>
      </c>
      <c r="Y477" s="52"/>
      <c r="Z477" s="196" t="s">
        <v>1795</v>
      </c>
      <c r="AA477" s="5"/>
      <c r="AB477" s="5"/>
      <c r="AI477"/>
    </row>
    <row r="478" spans="1:35" hidden="1" x14ac:dyDescent="0.3">
      <c r="A478" s="5" t="str">
        <f>VLOOKUP(B478,base!A:M,11,FALSE)</f>
        <v>BIFÁSICO</v>
      </c>
      <c r="B478" s="37" t="s">
        <v>271</v>
      </c>
      <c r="C478" s="56">
        <v>67996687077</v>
      </c>
      <c r="D478" s="59">
        <v>62955505269026</v>
      </c>
      <c r="E478" s="37" t="s">
        <v>433</v>
      </c>
      <c r="F478" s="37" t="s">
        <v>434</v>
      </c>
      <c r="G478" s="52">
        <v>45809</v>
      </c>
      <c r="H478" s="52" t="str">
        <f>Faturamento!$B584&amp;Faturamento!$G584</f>
        <v>10/1266128-645870</v>
      </c>
      <c r="I478" s="37" t="s">
        <v>435</v>
      </c>
      <c r="J478" s="37">
        <v>158</v>
      </c>
      <c r="K478" s="53">
        <v>266.93333333333334</v>
      </c>
      <c r="L478" s="53">
        <v>229.591095111317</v>
      </c>
      <c r="M478" s="5" t="str">
        <f>IF(Faturamento!$S584&lt;&gt;"","Não emitido",IF(Faturamento!$I584="NÃO","Pendente Fatura", IF(Faturamento!$R584&lt;&gt;"","Aprovado",IF(Faturamento!$O584&lt;&gt;0,"Pendente Emissão","Processo de Calculo"))))</f>
        <v>Aprovado</v>
      </c>
      <c r="N478" s="53">
        <v>157.39333333333335</v>
      </c>
      <c r="O478" s="53">
        <v>118.05</v>
      </c>
      <c r="P478" s="52">
        <v>45860</v>
      </c>
      <c r="Q478" s="52">
        <v>45871</v>
      </c>
      <c r="R478" s="53">
        <v>118.05</v>
      </c>
      <c r="S478" s="37"/>
      <c r="T478" s="51" t="s">
        <v>1127</v>
      </c>
      <c r="U478" s="51" t="s">
        <v>1128</v>
      </c>
      <c r="V478" s="37" t="s">
        <v>568</v>
      </c>
      <c r="W478" s="53">
        <v>157.39333333333335</v>
      </c>
      <c r="X478" s="123">
        <f>IF(Faturamento!$V206="Pago",IFERROR(W478-R478,0),0)</f>
        <v>39.343333333333348</v>
      </c>
      <c r="Y478" s="52">
        <v>45973</v>
      </c>
      <c r="Z478" s="52"/>
      <c r="AA478" s="5"/>
      <c r="AB478" s="5"/>
      <c r="AI478"/>
    </row>
    <row r="479" spans="1:35" hidden="1" x14ac:dyDescent="0.3">
      <c r="A479" s="5" t="str">
        <f>VLOOKUP(B479,base!A:M,11,FALSE)</f>
        <v>MONOFÁSICO</v>
      </c>
      <c r="B479" t="s">
        <v>261</v>
      </c>
      <c r="C479" s="1">
        <v>67999159477</v>
      </c>
      <c r="D479" s="60">
        <v>62955505000167</v>
      </c>
      <c r="E479" s="63" t="s">
        <v>433</v>
      </c>
      <c r="F479" t="s">
        <v>434</v>
      </c>
      <c r="G479" s="4">
        <v>45717</v>
      </c>
      <c r="H479" s="4" t="str">
        <f>Faturamento!$B275&amp;Faturamento!$G275</f>
        <v>10/3123706-845870</v>
      </c>
      <c r="I479" t="s">
        <v>435</v>
      </c>
      <c r="J479">
        <v>141</v>
      </c>
      <c r="K479" s="3">
        <v>191.59</v>
      </c>
      <c r="L479" s="3">
        <v>152.24250000000001</v>
      </c>
      <c r="M479" s="5" t="str">
        <f>IF(Faturamento!$S275&lt;&gt;"","Não emitido",IF(Faturamento!$I275="NÃO","Pendente Fatura", IF(Faturamento!$R275&lt;&gt;"","Aprovado",IF(Faturamento!$O275&lt;&gt;0,"Pendente Emissão","Processo de Calculo"))))</f>
        <v>Aprovado</v>
      </c>
      <c r="N479" s="3">
        <v>157.38999999999999</v>
      </c>
      <c r="O479" s="3">
        <v>118.04</v>
      </c>
      <c r="P479" s="4"/>
      <c r="Q479" s="4"/>
      <c r="R479" s="3">
        <v>118.04</v>
      </c>
      <c r="S479"/>
      <c r="T479" s="51" t="s">
        <v>815</v>
      </c>
      <c r="U479" s="51"/>
      <c r="V479" t="s">
        <v>568</v>
      </c>
      <c r="W479" s="3">
        <v>118.04</v>
      </c>
      <c r="X479" s="123">
        <f>IF(Faturamento!$V480="Pago",IFERROR(W479-R479,0),0)</f>
        <v>0</v>
      </c>
      <c r="Y479" s="4"/>
      <c r="Z479" s="4"/>
      <c r="AA479" s="5"/>
      <c r="AB479" s="5"/>
      <c r="AI479"/>
    </row>
    <row r="480" spans="1:35" x14ac:dyDescent="0.3">
      <c r="A480" s="5" t="str">
        <f>VLOOKUP(B480,base!A:M,11,FALSE)</f>
        <v>TRIFÁSICO</v>
      </c>
      <c r="B480" s="37" t="s">
        <v>244</v>
      </c>
      <c r="C480" s="56" t="s">
        <v>166</v>
      </c>
      <c r="D480" s="59">
        <v>62955505419443</v>
      </c>
      <c r="E480" s="37" t="s">
        <v>433</v>
      </c>
      <c r="F480" s="37" t="s">
        <v>434</v>
      </c>
      <c r="G480" s="52">
        <v>45839</v>
      </c>
      <c r="H480" s="52" t="str">
        <f>Faturamento!$B632&amp;Faturamento!$G632</f>
        <v>10/69319-245870</v>
      </c>
      <c r="I480" s="37" t="s">
        <v>435</v>
      </c>
      <c r="J480" s="37">
        <v>130</v>
      </c>
      <c r="K480" s="53">
        <v>267.49599999999998</v>
      </c>
      <c r="L480" s="53">
        <v>232.81163759999998</v>
      </c>
      <c r="M480" s="5" t="str">
        <f>IF(Faturamento!$S632&lt;&gt;"","Não emitido",IF(Faturamento!$I632="NÃO","Pendente Fatura", IF(Faturamento!$R632&lt;&gt;"","Aprovado",IF(Faturamento!$O632&lt;&gt;0,"Pendente Emissão","Processo de Calculo"))))</f>
        <v>Aprovado</v>
      </c>
      <c r="N480" s="53">
        <v>152.14600000000002</v>
      </c>
      <c r="O480" s="53">
        <v>117.46</v>
      </c>
      <c r="P480" s="52">
        <v>45910</v>
      </c>
      <c r="Q480" s="52">
        <v>45920</v>
      </c>
      <c r="R480" s="53">
        <v>117.46</v>
      </c>
      <c r="S480" s="37"/>
      <c r="T480" s="51" t="s">
        <v>1178</v>
      </c>
      <c r="U480" s="51" t="s">
        <v>1179</v>
      </c>
      <c r="V480" s="37" t="s">
        <v>568</v>
      </c>
      <c r="W480" s="53">
        <v>117.46</v>
      </c>
      <c r="X480" s="123">
        <f>IF(Faturamento!$V479="Pago",IFERROR(W480-R480,0),0)</f>
        <v>0</v>
      </c>
      <c r="Y480" s="52"/>
      <c r="Z480" s="52"/>
      <c r="AA480" s="5"/>
      <c r="AB480" s="5"/>
      <c r="AI480"/>
    </row>
    <row r="481" spans="1:35" hidden="1" x14ac:dyDescent="0.3">
      <c r="A481" s="5" t="str">
        <f>VLOOKUP(B481,base!A:M,11,FALSE)</f>
        <v>TRIFÁSICO</v>
      </c>
      <c r="B481" t="s">
        <v>151</v>
      </c>
      <c r="C481" s="56">
        <v>67991133770</v>
      </c>
      <c r="D481">
        <v>62955505335851</v>
      </c>
      <c r="E481" s="37" t="s">
        <v>433</v>
      </c>
      <c r="F481" t="s">
        <v>108</v>
      </c>
      <c r="G481" s="4">
        <v>45931</v>
      </c>
      <c r="H481" s="52" t="str">
        <f>Faturamento!$B925&amp;Faturamento!$G925</f>
        <v>10/113971-645778</v>
      </c>
      <c r="I481" s="37" t="s">
        <v>435</v>
      </c>
      <c r="J481">
        <v>151</v>
      </c>
      <c r="K481" s="3">
        <v>334.66572649572646</v>
      </c>
      <c r="L481" s="3">
        <v>289.10997164282008</v>
      </c>
      <c r="M481" s="5" t="s">
        <v>1489</v>
      </c>
      <c r="N481" s="53">
        <v>162.88572649572649</v>
      </c>
      <c r="O481" s="53">
        <v>117.33</v>
      </c>
      <c r="P481" s="52">
        <v>45967</v>
      </c>
      <c r="Q481" s="52">
        <v>45974</v>
      </c>
      <c r="R481" s="53">
        <v>117.33</v>
      </c>
      <c r="S481" s="37"/>
      <c r="T481" s="3" t="str">
        <f>D481&amp;R481</f>
        <v>62955505335851117,33</v>
      </c>
      <c r="U481" s="3" t="s">
        <v>1737</v>
      </c>
      <c r="V481" s="37" t="s">
        <v>568</v>
      </c>
      <c r="W481" s="13">
        <f>R481</f>
        <v>117.33</v>
      </c>
      <c r="X481" s="124">
        <f>IF(Faturamento!$V927="Pago",IFERROR(W481-R481,0),0)</f>
        <v>0</v>
      </c>
    </row>
    <row r="482" spans="1:35" hidden="1" x14ac:dyDescent="0.3">
      <c r="A482" s="5" t="str">
        <f>VLOOKUP(B482,base!A:M,11,FALSE)</f>
        <v>TRIFÁSICO</v>
      </c>
      <c r="B482" t="s">
        <v>287</v>
      </c>
      <c r="C482" s="1" t="s">
        <v>288</v>
      </c>
      <c r="D482" s="60">
        <v>62955505273058</v>
      </c>
      <c r="E482" s="63" t="s">
        <v>433</v>
      </c>
      <c r="F482" t="s">
        <v>434</v>
      </c>
      <c r="G482" s="4">
        <v>45748</v>
      </c>
      <c r="H482" s="4" t="str">
        <f>Faturamento!$B363&amp;Faturamento!$G363</f>
        <v>10/1184751-445778</v>
      </c>
      <c r="I482" t="s">
        <v>435</v>
      </c>
      <c r="J482" s="37">
        <v>142</v>
      </c>
      <c r="K482" s="53">
        <v>267.89999999999998</v>
      </c>
      <c r="L482" s="53">
        <v>228.84249999999997</v>
      </c>
      <c r="M482" s="5" t="str">
        <f>IF(Faturamento!$S363&lt;&gt;"","Não emitido",IF(Faturamento!$I363="NÃO","Pendente Fatura", IF(Faturamento!$R363&lt;&gt;"","Aprovado",IF(Faturamento!$O363&lt;&gt;0,"Pendente Emissão","Processo de Calculo"))))</f>
        <v>Aprovado</v>
      </c>
      <c r="N482" s="3">
        <v>156.22999999999999</v>
      </c>
      <c r="O482" s="3">
        <v>117.17</v>
      </c>
      <c r="P482" s="4"/>
      <c r="Q482" s="4"/>
      <c r="R482" s="3">
        <v>117.17</v>
      </c>
      <c r="S482"/>
      <c r="T482" s="51" t="s">
        <v>863</v>
      </c>
      <c r="U482" s="51"/>
      <c r="V482" t="s">
        <v>568</v>
      </c>
      <c r="W482" s="3">
        <v>117.17</v>
      </c>
      <c r="X482" s="123">
        <f>IF(Faturamento!$V478="Pago",IFERROR(W482-R482,0),0)</f>
        <v>0</v>
      </c>
      <c r="Y482" s="4"/>
      <c r="Z482" s="4"/>
      <c r="AA482" s="5"/>
      <c r="AB482" s="5"/>
      <c r="AI482"/>
    </row>
    <row r="483" spans="1:35" hidden="1" x14ac:dyDescent="0.3">
      <c r="A483" s="5" t="str">
        <f>VLOOKUP(B483,base!A:M,11,FALSE)</f>
        <v>TRIFÁSICO</v>
      </c>
      <c r="B483" t="s">
        <v>222</v>
      </c>
      <c r="C483" s="56">
        <v>67996150274</v>
      </c>
      <c r="D483">
        <v>62955505000167</v>
      </c>
      <c r="E483" s="37" t="s">
        <v>433</v>
      </c>
      <c r="F483" t="s">
        <v>108</v>
      </c>
      <c r="G483" s="4">
        <v>45931</v>
      </c>
      <c r="H483" s="52" t="str">
        <f>Faturamento!$B894&amp;Faturamento!$G894</f>
        <v>10/1674177-945717</v>
      </c>
      <c r="I483" s="37" t="s">
        <v>435</v>
      </c>
      <c r="J483">
        <v>153</v>
      </c>
      <c r="K483" s="3">
        <v>616.46570909090906</v>
      </c>
      <c r="L483" s="3">
        <v>571.02462759079503</v>
      </c>
      <c r="M483" s="5" t="s">
        <v>1489</v>
      </c>
      <c r="N483" s="53">
        <v>162.47570909090911</v>
      </c>
      <c r="O483" s="53">
        <v>117.03</v>
      </c>
      <c r="P483" s="52">
        <v>45967</v>
      </c>
      <c r="Q483" s="52">
        <v>45974</v>
      </c>
      <c r="R483" s="53">
        <v>117.03</v>
      </c>
      <c r="S483" s="37"/>
      <c r="T483" s="3" t="str">
        <f>D483&amp;R483</f>
        <v>62955505000167117,03</v>
      </c>
      <c r="U483" s="3" t="s">
        <v>1706</v>
      </c>
      <c r="V483" s="37" t="s">
        <v>568</v>
      </c>
      <c r="W483" s="13">
        <f>R483</f>
        <v>117.03</v>
      </c>
      <c r="X483" s="124">
        <f>IF(Faturamento!$V896="Pago",IFERROR(W483-R483,0),0)</f>
        <v>0</v>
      </c>
    </row>
    <row r="484" spans="1:35" hidden="1" x14ac:dyDescent="0.3">
      <c r="A484" s="5" t="str">
        <f>VLOOKUP(B484,base!A:M,11,FALSE)</f>
        <v>TRIFÁSICO</v>
      </c>
      <c r="B484" s="37" t="s">
        <v>247</v>
      </c>
      <c r="C484" s="56">
        <v>67999516782</v>
      </c>
      <c r="D484" s="59">
        <v>62955505375721</v>
      </c>
      <c r="E484" s="37" t="s">
        <v>433</v>
      </c>
      <c r="F484" s="37" t="s">
        <v>434</v>
      </c>
      <c r="G484" s="52">
        <v>45778</v>
      </c>
      <c r="H484" s="52" t="str">
        <f>Faturamento!$B508&amp;Faturamento!$G508</f>
        <v>10/29964-445839</v>
      </c>
      <c r="I484" s="37" t="s">
        <v>435</v>
      </c>
      <c r="J484">
        <v>158</v>
      </c>
      <c r="K484" s="3">
        <v>465.41781725888325</v>
      </c>
      <c r="L484" s="3">
        <v>426.54086294416243</v>
      </c>
      <c r="M484" s="5" t="str">
        <f>IF(Faturamento!$S508&lt;&gt;"","Não emitido",IF(Faturamento!$I508="NÃO","Pendente Fatura", IF(Faturamento!$R508&lt;&gt;"","Aprovado",IF(Faturamento!$O508&lt;&gt;0,"Pendente Emissão","Processo de Calculo"))))</f>
        <v>Aprovado</v>
      </c>
      <c r="N484" s="53">
        <v>155.50781725888328</v>
      </c>
      <c r="O484" s="53">
        <v>116.63</v>
      </c>
      <c r="P484" s="52"/>
      <c r="Q484" s="52"/>
      <c r="R484" s="53">
        <v>116.63</v>
      </c>
      <c r="S484" s="37"/>
      <c r="T484" s="51" t="s">
        <v>995</v>
      </c>
      <c r="U484" s="51"/>
      <c r="V484" s="37" t="s">
        <v>568</v>
      </c>
      <c r="W484" s="53">
        <v>116.63</v>
      </c>
      <c r="X484" s="123">
        <f>IF(Faturamento!$V477="Pago",IFERROR(W484-R484,0),0)</f>
        <v>0</v>
      </c>
      <c r="Y484" s="52">
        <v>45897</v>
      </c>
      <c r="Z484" s="52"/>
      <c r="AA484" s="5"/>
      <c r="AB484" s="5"/>
      <c r="AI484"/>
    </row>
    <row r="485" spans="1:35" hidden="1" x14ac:dyDescent="0.3">
      <c r="A485" s="5" t="str">
        <f>VLOOKUP(B485,base!A:M,11,FALSE)</f>
        <v>BIFÁSICO</v>
      </c>
      <c r="B485" s="37" t="s">
        <v>240</v>
      </c>
      <c r="C485" s="56">
        <v>67996135721</v>
      </c>
      <c r="D485" s="59">
        <v>62955505015431</v>
      </c>
      <c r="E485" s="37" t="s">
        <v>433</v>
      </c>
      <c r="F485" s="37" t="s">
        <v>434</v>
      </c>
      <c r="G485" s="52">
        <v>45778</v>
      </c>
      <c r="H485" s="52" t="str">
        <f>Faturamento!$B522&amp;Faturamento!$G522</f>
        <v>10/24514-245658</v>
      </c>
      <c r="I485" s="37" t="s">
        <v>435</v>
      </c>
      <c r="J485">
        <v>158</v>
      </c>
      <c r="K485" s="3">
        <v>414.06215686274504</v>
      </c>
      <c r="L485" s="3">
        <v>375.22911764705879</v>
      </c>
      <c r="M485" s="5" t="str">
        <f>IF(Faturamento!$S522&lt;&gt;"","Não emitido",IF(Faturamento!$I522="NÃO","Pendente Fatura", IF(Faturamento!$R522&lt;&gt;"","Aprovado",IF(Faturamento!$O522&lt;&gt;0,"Pendente Emissão","Processo de Calculo"))))</f>
        <v>Aprovado</v>
      </c>
      <c r="N485" s="53">
        <v>155.33215686274511</v>
      </c>
      <c r="O485" s="53">
        <v>116.5</v>
      </c>
      <c r="P485" s="52"/>
      <c r="Q485" s="52"/>
      <c r="R485" s="53">
        <v>116.5</v>
      </c>
      <c r="S485" s="37"/>
      <c r="T485" s="51" t="s">
        <v>1007</v>
      </c>
      <c r="U485" s="51"/>
      <c r="V485" s="37" t="s">
        <v>568</v>
      </c>
      <c r="W485" s="53">
        <v>155.33000000000001</v>
      </c>
      <c r="X485" s="123">
        <f>IF(Faturamento!$V198="Pago",IFERROR(W485-R485,0),0)</f>
        <v>0</v>
      </c>
      <c r="Y485" s="52">
        <v>45968</v>
      </c>
      <c r="Z485" s="52"/>
      <c r="AA485" s="5"/>
      <c r="AB485" s="5"/>
      <c r="AI485"/>
    </row>
    <row r="486" spans="1:35" hidden="1" x14ac:dyDescent="0.3">
      <c r="A486" s="5" t="str">
        <f>VLOOKUP(B486,base!A:M,11,FALSE)</f>
        <v>BIFÁSICO</v>
      </c>
      <c r="B486" t="s">
        <v>153</v>
      </c>
      <c r="C486" s="1" t="s">
        <v>154</v>
      </c>
      <c r="D486" s="60">
        <v>62955505405140</v>
      </c>
      <c r="E486" s="63" t="s">
        <v>433</v>
      </c>
      <c r="F486" t="s">
        <v>434</v>
      </c>
      <c r="G486" s="4">
        <v>45778</v>
      </c>
      <c r="H486" s="4" t="str">
        <f>Faturamento!$B509&amp;Faturamento!$G509</f>
        <v>10/280638-845658</v>
      </c>
      <c r="I486" t="s">
        <v>435</v>
      </c>
      <c r="J486">
        <v>158</v>
      </c>
      <c r="K486" s="3">
        <v>316.41021276595745</v>
      </c>
      <c r="L486" s="3">
        <v>277.60765957446807</v>
      </c>
      <c r="M486" s="5" t="str">
        <f>IF(Faturamento!$S509&lt;&gt;"","Não emitido",IF(Faturamento!$I509="NÃO","Pendente Fatura", IF(Faturamento!$R509&lt;&gt;"","Aprovado",IF(Faturamento!$O509&lt;&gt;0,"Pendente Emissão","Processo de Calculo"))))</f>
        <v>Aprovado</v>
      </c>
      <c r="N486" s="3">
        <v>155.21021276595749</v>
      </c>
      <c r="O486" s="3">
        <v>116.41</v>
      </c>
      <c r="P486" s="4"/>
      <c r="Q486" s="4"/>
      <c r="R486" s="3">
        <v>116.41</v>
      </c>
      <c r="S486"/>
      <c r="T486" s="51" t="s">
        <v>996</v>
      </c>
      <c r="U486" s="51"/>
      <c r="V486" t="s">
        <v>568</v>
      </c>
      <c r="W486" s="3">
        <v>116.41</v>
      </c>
      <c r="X486" s="123">
        <f>IF(Faturamento!$V476="Pago",IFERROR(W486-R486,0),0)</f>
        <v>0</v>
      </c>
      <c r="Y486" s="4"/>
      <c r="Z486" s="4"/>
      <c r="AA486" s="5"/>
      <c r="AB486" s="5"/>
      <c r="AI486"/>
    </row>
    <row r="487" spans="1:35" hidden="1" x14ac:dyDescent="0.3">
      <c r="A487" s="5" t="str">
        <f>VLOOKUP(B487,base!A:M,11,FALSE)</f>
        <v>TRIFÁSICO</v>
      </c>
      <c r="B487" s="37" t="s">
        <v>230</v>
      </c>
      <c r="C487" s="56" t="s">
        <v>175</v>
      </c>
      <c r="D487" s="59">
        <v>62955505843253</v>
      </c>
      <c r="E487" s="37" t="s">
        <v>433</v>
      </c>
      <c r="F487" s="37" t="s">
        <v>434</v>
      </c>
      <c r="G487" s="52">
        <v>45778</v>
      </c>
      <c r="H487" s="52" t="str">
        <f>Faturamento!$B488&amp;Faturamento!$G488</f>
        <v>10/3092868-345870</v>
      </c>
      <c r="I487" s="37" t="s">
        <v>435</v>
      </c>
      <c r="J487">
        <v>158</v>
      </c>
      <c r="K487" s="3">
        <v>411.62679999999995</v>
      </c>
      <c r="L487" s="3">
        <v>372.94509999999991</v>
      </c>
      <c r="M487" s="5" t="str">
        <f>IF(Faturamento!$S488&lt;&gt;"","Não emitido",IF(Faturamento!$I488="NÃO","Pendente Fatura", IF(Faturamento!$R488&lt;&gt;"","Aprovado",IF(Faturamento!$O488&lt;&gt;0,"Pendente Emissão","Processo de Calculo"))))</f>
        <v>Aprovado</v>
      </c>
      <c r="N487" s="53">
        <v>154.72680000000003</v>
      </c>
      <c r="O487" s="53">
        <v>116.05</v>
      </c>
      <c r="P487" s="52"/>
      <c r="Q487" s="52"/>
      <c r="R487" s="53">
        <v>116.05</v>
      </c>
      <c r="S487" s="37"/>
      <c r="T487" s="51" t="s">
        <v>976</v>
      </c>
      <c r="U487" s="51"/>
      <c r="V487" s="37" t="s">
        <v>568</v>
      </c>
      <c r="W487" s="53">
        <v>116.05</v>
      </c>
      <c r="X487" s="123">
        <f>IF(Faturamento!$V475="Pago",IFERROR(W487-R487,0),0)</f>
        <v>0</v>
      </c>
      <c r="Y487" s="52"/>
      <c r="Z487" s="52"/>
      <c r="AA487" s="5"/>
      <c r="AB487" s="5"/>
      <c r="AI487"/>
    </row>
    <row r="488" spans="1:35" x14ac:dyDescent="0.3">
      <c r="A488" s="5" t="str">
        <f>VLOOKUP(B488,base!A:M,11,FALSE)</f>
        <v>TRIFÁSICO</v>
      </c>
      <c r="B488" s="37" t="s">
        <v>244</v>
      </c>
      <c r="C488" s="56">
        <v>0</v>
      </c>
      <c r="D488" s="59">
        <v>62955505419443</v>
      </c>
      <c r="E488" s="37" t="s">
        <v>433</v>
      </c>
      <c r="F488" s="37" t="s">
        <v>434</v>
      </c>
      <c r="G488" s="52">
        <v>45870</v>
      </c>
      <c r="H488" s="52" t="str">
        <f>Faturamento!$B726&amp;Faturamento!$G726</f>
        <v>10/987178-145717</v>
      </c>
      <c r="I488" s="37" t="s">
        <v>435</v>
      </c>
      <c r="J488">
        <v>127</v>
      </c>
      <c r="K488" s="3">
        <v>267.9289</v>
      </c>
      <c r="L488" s="3">
        <v>234.05984932365962</v>
      </c>
      <c r="M488" s="5" t="str">
        <f>IF(Faturamento!$S726&lt;&gt;"","Não emitido",IF(Faturamento!$I726="NÃO","Pendente Fatura", IF(Faturamento!$R726&lt;&gt;"","Aprovado",IF(Faturamento!$O726&lt;&gt;0,"Pendente Emissão","Processo de Calculo"))))</f>
        <v>Aprovado</v>
      </c>
      <c r="N488" s="53">
        <v>149.88889999999998</v>
      </c>
      <c r="O488" s="53">
        <v>116.02</v>
      </c>
      <c r="P488" s="52">
        <v>45910</v>
      </c>
      <c r="Q488" s="52">
        <v>45920</v>
      </c>
      <c r="R488" s="53">
        <v>116.02</v>
      </c>
      <c r="S488" s="37"/>
      <c r="T488" s="51" t="s">
        <v>1355</v>
      </c>
      <c r="U488" s="51" t="s">
        <v>1356</v>
      </c>
      <c r="V488" s="37" t="s">
        <v>568</v>
      </c>
      <c r="W488" s="53">
        <v>116.02</v>
      </c>
      <c r="X488" s="123">
        <f>IF(Faturamento!$V474="Pago",IFERROR(W488-R488,0),0)</f>
        <v>0</v>
      </c>
      <c r="Y488" s="52"/>
      <c r="Z488" s="52"/>
      <c r="AA488" s="5"/>
      <c r="AB488" s="5"/>
      <c r="AI488"/>
    </row>
    <row r="489" spans="1:35" hidden="1" x14ac:dyDescent="0.3">
      <c r="A489" s="5" t="str">
        <f>VLOOKUP(B489,base!A:M,11,FALSE)</f>
        <v>TRIFÁSICO</v>
      </c>
      <c r="B489" s="37" t="s">
        <v>274</v>
      </c>
      <c r="C489" s="56">
        <v>0</v>
      </c>
      <c r="D489" s="59">
        <v>62955505357405</v>
      </c>
      <c r="E489" s="37" t="s">
        <v>433</v>
      </c>
      <c r="F489" s="37" t="s">
        <v>434</v>
      </c>
      <c r="G489" s="52">
        <v>45870</v>
      </c>
      <c r="H489" s="52" t="str">
        <f>Faturamento!$B770&amp;Faturamento!$G770</f>
        <v>10/1266128-645809</v>
      </c>
      <c r="I489" s="37" t="s">
        <v>435</v>
      </c>
      <c r="J489">
        <v>147</v>
      </c>
      <c r="K489" s="3">
        <v>261.81763157894733</v>
      </c>
      <c r="L489" s="3">
        <v>228.0302134882113</v>
      </c>
      <c r="M489" s="5" t="str">
        <f>IF(Faturamento!$S770&lt;&gt;"","Não emitido",IF(Faturamento!$I770="NÃO","Pendente Fatura", IF(Faturamento!$R770&lt;&gt;"","Aprovado",IF(Faturamento!$O770&lt;&gt;0,"Pendente Emissão","Processo de Calculo"))))</f>
        <v>Aprovado</v>
      </c>
      <c r="N489" s="53">
        <v>149.52763157894734</v>
      </c>
      <c r="O489" s="53">
        <v>115.74</v>
      </c>
      <c r="P489" s="52">
        <v>45910</v>
      </c>
      <c r="Q489" s="52">
        <v>45920</v>
      </c>
      <c r="R489" s="53">
        <v>115.74</v>
      </c>
      <c r="S489" s="37"/>
      <c r="T489" s="51" t="s">
        <v>1436</v>
      </c>
      <c r="U489" s="51" t="s">
        <v>1437</v>
      </c>
      <c r="V489" s="37" t="s">
        <v>568</v>
      </c>
      <c r="W489" s="53">
        <v>115.74</v>
      </c>
      <c r="X489" s="123">
        <f>IF(Faturamento!$V473="Pago",IFERROR(W489-R489,0),0)</f>
        <v>0</v>
      </c>
      <c r="Y489" s="52"/>
      <c r="Z489" s="52"/>
      <c r="AA489" s="5"/>
      <c r="AB489" s="5"/>
      <c r="AI489"/>
    </row>
    <row r="490" spans="1:35" hidden="1" x14ac:dyDescent="0.3">
      <c r="A490" s="5" t="str">
        <f>VLOOKUP(B490,base!A:M,11,FALSE)</f>
        <v>TRIFÁSICO</v>
      </c>
      <c r="B490" t="s">
        <v>140</v>
      </c>
      <c r="C490" s="1">
        <v>67996575782</v>
      </c>
      <c r="D490" s="60">
        <v>62955505015601</v>
      </c>
      <c r="E490" s="63" t="s">
        <v>433</v>
      </c>
      <c r="F490" t="s">
        <v>434</v>
      </c>
      <c r="G490" s="4">
        <v>45689</v>
      </c>
      <c r="H490" s="4" t="str">
        <f>Faturamento!$B145&amp;Faturamento!$G145</f>
        <v>10/61344-845870</v>
      </c>
      <c r="I490" t="s">
        <v>435</v>
      </c>
      <c r="J490" s="37">
        <v>138</v>
      </c>
      <c r="K490" s="53">
        <v>394.65000000000003</v>
      </c>
      <c r="L490" s="53">
        <v>356.14000000000004</v>
      </c>
      <c r="M490" s="5" t="str">
        <f>IF(Faturamento!$S145&lt;&gt;"","Não emitido",IF(Faturamento!$I145="NÃO","Pendente Fatura", IF(Faturamento!$R145&lt;&gt;"","Aprovado",IF(Faturamento!$O145&lt;&gt;0,"Pendente Emissão","Processo de Calculo"))))</f>
        <v>Aprovado</v>
      </c>
      <c r="N490" s="3">
        <v>154.04</v>
      </c>
      <c r="O490" s="3">
        <v>115.53</v>
      </c>
      <c r="P490" s="4"/>
      <c r="Q490" s="4"/>
      <c r="R490" s="3">
        <v>115.53</v>
      </c>
      <c r="S490"/>
      <c r="T490" s="51" t="s">
        <v>706</v>
      </c>
      <c r="U490" s="51"/>
      <c r="V490" t="s">
        <v>568</v>
      </c>
      <c r="W490" s="3">
        <v>115.53</v>
      </c>
      <c r="X490" s="123">
        <f>IF(Faturamento!$V472="Pago",IFERROR(W490-R490,0),0)</f>
        <v>0</v>
      </c>
      <c r="Y490" s="4"/>
      <c r="Z490" s="4"/>
      <c r="AA490" s="5"/>
      <c r="AB490" s="5"/>
      <c r="AI490"/>
    </row>
    <row r="491" spans="1:35" hidden="1" x14ac:dyDescent="0.3">
      <c r="A491" s="5" t="str">
        <f>VLOOKUP(B491,base!A:M,11,FALSE)</f>
        <v>TRIFÁSICO</v>
      </c>
      <c r="B491" t="s">
        <v>213</v>
      </c>
      <c r="C491" s="1">
        <v>0</v>
      </c>
      <c r="D491" s="60">
        <v>62955505274020</v>
      </c>
      <c r="E491" s="63" t="s">
        <v>433</v>
      </c>
      <c r="F491" t="s">
        <v>434</v>
      </c>
      <c r="G491" s="4">
        <v>45901</v>
      </c>
      <c r="H491" s="4" t="str">
        <f>Faturamento!$B875&amp;Faturamento!$G875</f>
        <v>10/3040565-845689</v>
      </c>
      <c r="I491" t="s">
        <v>435</v>
      </c>
      <c r="J491">
        <v>149</v>
      </c>
      <c r="K491" s="3">
        <v>317.80157894736845</v>
      </c>
      <c r="L491" s="3">
        <v>275.73359098511708</v>
      </c>
      <c r="M491" s="5" t="s">
        <v>1489</v>
      </c>
      <c r="N491" s="3">
        <v>156.63157894736841</v>
      </c>
      <c r="O491" s="3">
        <v>114.56</v>
      </c>
      <c r="P491" s="4">
        <v>45933</v>
      </c>
      <c r="Q491" s="4">
        <v>45943</v>
      </c>
      <c r="R491" s="3">
        <f>O491</f>
        <v>114.56</v>
      </c>
      <c r="S491"/>
      <c r="T491" s="51" t="s">
        <v>1629</v>
      </c>
      <c r="U491" s="51" t="s">
        <v>1630</v>
      </c>
      <c r="V491" t="s">
        <v>568</v>
      </c>
      <c r="W491" s="3">
        <f>O491</f>
        <v>114.56</v>
      </c>
      <c r="X491" s="123">
        <f>IF(Faturamento!$V471="Pago",IFERROR(W491-R491,0),0)</f>
        <v>0</v>
      </c>
      <c r="Y491" s="4"/>
      <c r="Z491" s="4"/>
      <c r="AA491" s="5"/>
      <c r="AB491" s="5"/>
      <c r="AI491"/>
    </row>
    <row r="492" spans="1:35" hidden="1" x14ac:dyDescent="0.3">
      <c r="A492" s="5" t="str">
        <f>VLOOKUP(B492,base!A:M,11,FALSE)</f>
        <v>TRIFÁSICO</v>
      </c>
      <c r="B492" t="s">
        <v>143</v>
      </c>
      <c r="C492" s="1" t="s">
        <v>144</v>
      </c>
      <c r="D492" s="60">
        <v>62955505149047</v>
      </c>
      <c r="E492" s="63" t="s">
        <v>433</v>
      </c>
      <c r="F492" t="s">
        <v>434</v>
      </c>
      <c r="G492" s="4">
        <v>45839</v>
      </c>
      <c r="H492" s="4" t="str">
        <f>Faturamento!$B645&amp;Faturamento!$G645</f>
        <v>10/162736-345901</v>
      </c>
      <c r="I492" t="s">
        <v>435</v>
      </c>
      <c r="J492" s="37">
        <v>124</v>
      </c>
      <c r="K492" s="53">
        <v>399.12499999999994</v>
      </c>
      <c r="L492" s="53">
        <v>366.04207899999994</v>
      </c>
      <c r="M492" s="5" t="str">
        <f>IF(Faturamento!$S645&lt;&gt;"","Não emitido",IF(Faturamento!$I645="NÃO","Pendente Fatura", IF(Faturamento!$R645&lt;&gt;"","Aprovado",IF(Faturamento!$O645&lt;&gt;0,"Pendente Emissão","Processo de Calculo"))))</f>
        <v>Aprovado</v>
      </c>
      <c r="N492" s="3">
        <v>147.51500000000001</v>
      </c>
      <c r="O492" s="3">
        <v>114.43</v>
      </c>
      <c r="P492" s="4">
        <v>45910</v>
      </c>
      <c r="Q492" s="4">
        <v>45920</v>
      </c>
      <c r="R492" s="3">
        <v>114.43</v>
      </c>
      <c r="S492"/>
      <c r="T492" s="51" t="s">
        <v>1203</v>
      </c>
      <c r="U492" s="51" t="s">
        <v>1204</v>
      </c>
      <c r="V492" t="s">
        <v>568</v>
      </c>
      <c r="W492" s="3">
        <v>114.43</v>
      </c>
      <c r="X492" s="123">
        <f>IF(Faturamento!$V470="Pago",IFERROR(W492-R492,0),0)</f>
        <v>0</v>
      </c>
      <c r="Y492" s="4"/>
      <c r="Z492" s="4"/>
      <c r="AA492" s="5"/>
      <c r="AB492" s="5"/>
      <c r="AI492"/>
    </row>
    <row r="493" spans="1:35" hidden="1" x14ac:dyDescent="0.3">
      <c r="A493" s="5" t="str">
        <f>VLOOKUP(B493,base!A:M,11,FALSE)</f>
        <v>BIFÁSICO</v>
      </c>
      <c r="B493" s="37" t="s">
        <v>130</v>
      </c>
      <c r="C493" s="56" t="s">
        <v>132</v>
      </c>
      <c r="D493" s="59">
        <v>62955505000167</v>
      </c>
      <c r="E493" s="37" t="s">
        <v>433</v>
      </c>
      <c r="F493" s="37" t="s">
        <v>434</v>
      </c>
      <c r="G493" s="52">
        <v>45658</v>
      </c>
      <c r="H493" s="52" t="str">
        <f>Faturamento!$B90&amp;Faturamento!$G90</f>
        <v>10/2605731-545778</v>
      </c>
      <c r="I493" s="37" t="s">
        <v>435</v>
      </c>
      <c r="J493">
        <v>136</v>
      </c>
      <c r="K493" s="3">
        <v>261.89999999999998</v>
      </c>
      <c r="L493" s="3">
        <v>223.94749999999996</v>
      </c>
      <c r="M493" s="5" t="str">
        <f>IF(Faturamento!$S90&lt;&gt;"","Não emitido",IF(Faturamento!$I90="NÃO","Pendente Fatura", IF(Faturamento!$R90&lt;&gt;"","Aprovado",IF(Faturamento!$O90&lt;&gt;0,"Pendente Emissão","Processo de Calculo"))))</f>
        <v>Aprovado</v>
      </c>
      <c r="N493" s="53">
        <v>151.81</v>
      </c>
      <c r="O493" s="53">
        <v>113.86</v>
      </c>
      <c r="P493" s="52"/>
      <c r="Q493" s="52"/>
      <c r="R493" s="53">
        <v>113.86</v>
      </c>
      <c r="S493" s="37"/>
      <c r="T493" s="51" t="s">
        <v>647</v>
      </c>
      <c r="U493" s="51"/>
      <c r="V493" s="37" t="s">
        <v>568</v>
      </c>
      <c r="W493" s="53">
        <v>113.86</v>
      </c>
      <c r="X493" s="123">
        <f>IF(Faturamento!$V468="Pago",IFERROR(W493-R493,0),0)</f>
        <v>0</v>
      </c>
      <c r="Y493" s="52"/>
      <c r="Z493" s="52"/>
      <c r="AA493" s="5"/>
      <c r="AB493" s="5"/>
      <c r="AI493"/>
    </row>
    <row r="494" spans="1:35" hidden="1" x14ac:dyDescent="0.3">
      <c r="A494" s="5" t="str">
        <f>VLOOKUP(B494,base!A:M,11,FALSE)</f>
        <v>BIFÁSICO</v>
      </c>
      <c r="B494" t="s">
        <v>271</v>
      </c>
      <c r="C494" s="1">
        <v>67996687077</v>
      </c>
      <c r="D494" s="60">
        <v>62955505269026</v>
      </c>
      <c r="E494" s="63" t="s">
        <v>433</v>
      </c>
      <c r="F494" t="s">
        <v>434</v>
      </c>
      <c r="G494" s="4">
        <v>45658</v>
      </c>
      <c r="H494" s="4" t="str">
        <f>Faturamento!$B117&amp;Faturamento!$G117</f>
        <v>10/489076-045931</v>
      </c>
      <c r="I494" t="s">
        <v>435</v>
      </c>
      <c r="J494">
        <v>136</v>
      </c>
      <c r="K494" s="3">
        <v>429.28</v>
      </c>
      <c r="L494" s="3">
        <v>391.32749999999999</v>
      </c>
      <c r="M494" s="5" t="str">
        <f>IF(Faturamento!$S117&lt;&gt;"","Não emitido",IF(Faturamento!$I117="NÃO","Pendente Fatura", IF(Faturamento!$R117&lt;&gt;"","Aprovado",IF(Faturamento!$O117&lt;&gt;0,"Pendente Emissão","Processo de Calculo"))))</f>
        <v>Aprovado</v>
      </c>
      <c r="N494" s="3">
        <v>151.81</v>
      </c>
      <c r="O494" s="3">
        <v>113.86</v>
      </c>
      <c r="P494" s="4"/>
      <c r="Q494" s="4"/>
      <c r="R494" s="3">
        <v>113.86</v>
      </c>
      <c r="S494"/>
      <c r="T494" s="51" t="s">
        <v>675</v>
      </c>
      <c r="U494" s="51"/>
      <c r="V494" t="s">
        <v>568</v>
      </c>
      <c r="W494" s="3">
        <v>113.86</v>
      </c>
      <c r="X494" s="123">
        <f>IF(Faturamento!$V469="Pago",IFERROR(W494-R494,0),0)</f>
        <v>0</v>
      </c>
      <c r="Y494" s="4"/>
      <c r="Z494" s="4"/>
      <c r="AA494" s="5"/>
      <c r="AB494" s="5"/>
      <c r="AI494"/>
    </row>
    <row r="495" spans="1:35" hidden="1" x14ac:dyDescent="0.3">
      <c r="A495" s="5" t="str">
        <f>VLOOKUP(B495,base!A:M,11,FALSE)</f>
        <v>TRIFÁSICO</v>
      </c>
      <c r="B495" t="s">
        <v>264</v>
      </c>
      <c r="C495" s="1">
        <v>67992876000</v>
      </c>
      <c r="D495" s="60">
        <v>62955505248886</v>
      </c>
      <c r="E495" s="63" t="s">
        <v>433</v>
      </c>
      <c r="F495" t="s">
        <v>434</v>
      </c>
      <c r="G495" s="4">
        <v>45839</v>
      </c>
      <c r="H495" s="4" t="str">
        <f>Faturamento!$B683&amp;Faturamento!$G683</f>
        <v>10/1266128-645839</v>
      </c>
      <c r="I495" t="s">
        <v>435</v>
      </c>
      <c r="J495" s="37">
        <v>144</v>
      </c>
      <c r="K495" s="53">
        <v>261.27947368421059</v>
      </c>
      <c r="L495" s="53">
        <v>228.04182842105266</v>
      </c>
      <c r="M495" s="5" t="str">
        <f>IF(Faturamento!$S683&lt;&gt;"","Não emitido",IF(Faturamento!$I683="NÃO","Pendente Fatura", IF(Faturamento!$R683&lt;&gt;"","Aprovado",IF(Faturamento!$O683&lt;&gt;0,"Pendente Emissão","Processo de Calculo"))))</f>
        <v>Aprovado</v>
      </c>
      <c r="N495" s="3">
        <v>146.93947368421055</v>
      </c>
      <c r="O495" s="3">
        <v>113.7</v>
      </c>
      <c r="P495" s="4">
        <v>45910</v>
      </c>
      <c r="Q495" s="4">
        <v>45920</v>
      </c>
      <c r="R495" s="3">
        <v>113.7</v>
      </c>
      <c r="S495"/>
      <c r="T495" s="51" t="s">
        <v>1278</v>
      </c>
      <c r="U495" s="51" t="s">
        <v>1279</v>
      </c>
      <c r="V495" t="s">
        <v>568</v>
      </c>
      <c r="W495" s="3">
        <v>113.7</v>
      </c>
      <c r="X495" s="123">
        <f>IF(Faturamento!$V467="Pago",IFERROR(W495-R495,0),0)</f>
        <v>0</v>
      </c>
      <c r="Y495" s="4"/>
      <c r="Z495" s="4"/>
      <c r="AA495" s="5"/>
      <c r="AB495" s="5"/>
      <c r="AI495"/>
    </row>
    <row r="496" spans="1:35" hidden="1" x14ac:dyDescent="0.3">
      <c r="A496" s="5" t="str">
        <f>VLOOKUP(B496,base!A:M,11,FALSE)</f>
        <v>BIFÁSICO</v>
      </c>
      <c r="B496" t="s">
        <v>204</v>
      </c>
      <c r="C496" s="1">
        <v>67992637973</v>
      </c>
      <c r="D496" s="60">
        <v>62955505040894</v>
      </c>
      <c r="E496" s="63" t="s">
        <v>433</v>
      </c>
      <c r="F496" t="s">
        <v>434</v>
      </c>
      <c r="G496" s="4">
        <v>45658</v>
      </c>
      <c r="H496" s="4" t="str">
        <f>Faturamento!$B63&amp;Faturamento!$G63</f>
        <v>10/61344-845717</v>
      </c>
      <c r="I496" t="s">
        <v>435</v>
      </c>
      <c r="J496">
        <v>135</v>
      </c>
      <c r="K496" s="3">
        <v>249.4</v>
      </c>
      <c r="L496" s="3">
        <v>211.72750000000002</v>
      </c>
      <c r="M496" s="5" t="str">
        <f>IF(Faturamento!$S63&lt;&gt;"","Não emitido",IF(Faturamento!$I63="NÃO","Pendente Fatura", IF(Faturamento!$R63&lt;&gt;"","Aprovado",IF(Faturamento!$O63&lt;&gt;0,"Pendente Emissão","Processo de Calculo"))))</f>
        <v>Aprovado</v>
      </c>
      <c r="N496" s="3">
        <v>150.69</v>
      </c>
      <c r="O496" s="3">
        <v>113.02</v>
      </c>
      <c r="P496" s="4"/>
      <c r="Q496" s="4"/>
      <c r="R496" s="3">
        <v>113.02</v>
      </c>
      <c r="S496"/>
      <c r="T496" s="51" t="s">
        <v>618</v>
      </c>
      <c r="U496" s="51"/>
      <c r="V496" t="s">
        <v>568</v>
      </c>
      <c r="W496" s="3">
        <v>113.02</v>
      </c>
      <c r="X496" s="123">
        <f>IF(Faturamento!$V466="Pago",IFERROR(W496-R496,0),0)</f>
        <v>0</v>
      </c>
      <c r="Y496" s="4"/>
      <c r="Z496" s="4"/>
      <c r="AA496" s="5">
        <v>283032</v>
      </c>
      <c r="AB496" s="5">
        <v>502</v>
      </c>
      <c r="AC496" s="5" t="s">
        <v>434</v>
      </c>
      <c r="AD496" s="5" t="s">
        <v>457</v>
      </c>
      <c r="AE496" s="5">
        <v>48.78</v>
      </c>
      <c r="AG496" s="5" t="s">
        <v>619</v>
      </c>
      <c r="AH496" s="5" t="s">
        <v>526</v>
      </c>
      <c r="AI496"/>
    </row>
    <row r="497" spans="1:35" hidden="1" x14ac:dyDescent="0.3">
      <c r="A497" s="5" t="str">
        <f>VLOOKUP(B497,base!A:M,11,FALSE)</f>
        <v>TRIFÁSICO</v>
      </c>
      <c r="B497" s="37" t="s">
        <v>302</v>
      </c>
      <c r="C497" s="56" t="s">
        <v>126</v>
      </c>
      <c r="D497" s="59">
        <v>62955505321630</v>
      </c>
      <c r="E497" s="37" t="s">
        <v>433</v>
      </c>
      <c r="F497" s="37" t="s">
        <v>434</v>
      </c>
      <c r="G497" s="52">
        <v>45870</v>
      </c>
      <c r="H497" s="52" t="str">
        <f>Faturamento!$B724&amp;Faturamento!$G724</f>
        <v>10/31292-645689</v>
      </c>
      <c r="I497" s="37" t="s">
        <v>435</v>
      </c>
      <c r="J497">
        <v>124</v>
      </c>
      <c r="K497" s="3">
        <v>303.54720000000003</v>
      </c>
      <c r="L497" s="3">
        <v>270.97780939705473</v>
      </c>
      <c r="M497" s="5" t="str">
        <f>IF(Faturamento!$S724&lt;&gt;"","Não emitido",IF(Faturamento!$I724="NÃO","Pendente Fatura", IF(Faturamento!$R724&lt;&gt;"","Aprovado",IF(Faturamento!$O724&lt;&gt;0,"Pendente Emissão","Processo de Calculo"))))</f>
        <v>Aprovado</v>
      </c>
      <c r="N497" s="53">
        <v>144.13720000000001</v>
      </c>
      <c r="O497" s="53">
        <v>111.57</v>
      </c>
      <c r="P497" s="52">
        <v>45910</v>
      </c>
      <c r="Q497" s="52">
        <v>45920</v>
      </c>
      <c r="R497" s="53">
        <v>111.57</v>
      </c>
      <c r="S497" s="37"/>
      <c r="T497" s="51" t="s">
        <v>1351</v>
      </c>
      <c r="U497" s="51" t="s">
        <v>1352</v>
      </c>
      <c r="V497" s="37" t="s">
        <v>568</v>
      </c>
      <c r="W497" s="53">
        <v>111.57</v>
      </c>
      <c r="X497" s="123">
        <f>IF(Faturamento!$V464="Pago",IFERROR(W497-R497,0),0)</f>
        <v>0</v>
      </c>
      <c r="Y497" s="52"/>
      <c r="Z497" s="52"/>
      <c r="AA497" s="5"/>
      <c r="AB497" s="5"/>
      <c r="AI497"/>
    </row>
    <row r="498" spans="1:35" hidden="1" x14ac:dyDescent="0.3">
      <c r="A498" s="5" t="str">
        <f>VLOOKUP(B498,base!A:M,11,FALSE)</f>
        <v>TRIFÁSICO</v>
      </c>
      <c r="B498" t="s">
        <v>302</v>
      </c>
      <c r="C498" s="1" t="s">
        <v>126</v>
      </c>
      <c r="D498" s="60">
        <v>62955505321630</v>
      </c>
      <c r="E498" s="63" t="s">
        <v>433</v>
      </c>
      <c r="F498" t="s">
        <v>434</v>
      </c>
      <c r="G498" s="4">
        <v>45901</v>
      </c>
      <c r="H498" s="4" t="str">
        <f>Faturamento!$B813&amp;Faturamento!$G813</f>
        <v>10/452884-045627</v>
      </c>
      <c r="I498" t="s">
        <v>435</v>
      </c>
      <c r="J498">
        <v>126</v>
      </c>
      <c r="K498" s="3">
        <v>316.18440000000004</v>
      </c>
      <c r="L498" s="3">
        <v>275.30546032492202</v>
      </c>
      <c r="M498" s="5" t="s">
        <v>1489</v>
      </c>
      <c r="N498" s="3">
        <v>152.20439999999999</v>
      </c>
      <c r="O498" s="3">
        <v>111.33</v>
      </c>
      <c r="P498" s="4">
        <v>45933</v>
      </c>
      <c r="Q498" s="4">
        <v>45943</v>
      </c>
      <c r="R498" s="3">
        <f>O498</f>
        <v>111.33</v>
      </c>
      <c r="S498"/>
      <c r="T498" s="51" t="s">
        <v>1510</v>
      </c>
      <c r="U498" s="51" t="s">
        <v>1511</v>
      </c>
      <c r="V498" t="s">
        <v>568</v>
      </c>
      <c r="W498" s="3">
        <f>O498</f>
        <v>111.33</v>
      </c>
      <c r="X498" s="123">
        <f>IF(Faturamento!$V463="Pago",IFERROR(W498-R498,0),0)</f>
        <v>0</v>
      </c>
      <c r="Y498" s="4"/>
      <c r="Z498" s="4"/>
      <c r="AA498" s="5"/>
      <c r="AB498" s="5"/>
      <c r="AI498"/>
    </row>
    <row r="499" spans="1:35" hidden="1" x14ac:dyDescent="0.3">
      <c r="A499" s="5" t="str">
        <f>VLOOKUP(B499,base!A:M,11,FALSE)</f>
        <v>TRIFÁSICO</v>
      </c>
      <c r="B499" s="37" t="s">
        <v>224</v>
      </c>
      <c r="C499" s="56" t="s">
        <v>226</v>
      </c>
      <c r="D499" s="59">
        <v>62955505088404</v>
      </c>
      <c r="E499" s="37" t="s">
        <v>433</v>
      </c>
      <c r="F499" s="37" t="s">
        <v>434</v>
      </c>
      <c r="G499" s="52">
        <v>45809</v>
      </c>
      <c r="H499" s="52" t="str">
        <f>Faturamento!$B538&amp;Faturamento!$G538</f>
        <v>10/191945-545717</v>
      </c>
      <c r="I499" s="37" t="s">
        <v>435</v>
      </c>
      <c r="J499" s="37">
        <v>126</v>
      </c>
      <c r="K499" s="53">
        <v>309.40160000000003</v>
      </c>
      <c r="L499" s="53">
        <v>274.18557115374409</v>
      </c>
      <c r="M499" s="5" t="str">
        <f>IF(Faturamento!$S538&lt;&gt;"","Não emitido",IF(Faturamento!$I538="NÃO","Pendente Fatura", IF(Faturamento!$R538&lt;&gt;"","Aprovado",IF(Faturamento!$O538&lt;&gt;0,"Pendente Emissão","Processo de Calculo"))))</f>
        <v>Aprovado</v>
      </c>
      <c r="N499" s="53">
        <v>148.43160000000003</v>
      </c>
      <c r="O499" s="53">
        <v>111.32</v>
      </c>
      <c r="P499" s="52">
        <v>45860</v>
      </c>
      <c r="Q499" s="52">
        <v>45871</v>
      </c>
      <c r="R499" s="53">
        <v>111.32</v>
      </c>
      <c r="S499" s="37"/>
      <c r="T499" s="51" t="s">
        <v>1032</v>
      </c>
      <c r="U499" s="51" t="s">
        <v>1033</v>
      </c>
      <c r="V499" s="37" t="s">
        <v>568</v>
      </c>
      <c r="W499" s="53">
        <v>148.43</v>
      </c>
      <c r="X499" s="123">
        <f>IF(Faturamento!$V523="Pago",IFERROR(W499-R499,0),0)</f>
        <v>37.110000000000014</v>
      </c>
      <c r="Y499" s="52">
        <v>45937</v>
      </c>
      <c r="Z499" s="52"/>
      <c r="AA499" s="5"/>
      <c r="AB499" s="5"/>
      <c r="AI499"/>
    </row>
    <row r="500" spans="1:35" hidden="1" x14ac:dyDescent="0.3">
      <c r="A500" s="5" t="str">
        <f>VLOOKUP(B500,base!A:M,11,FALSE)</f>
        <v>TRIFÁSICO</v>
      </c>
      <c r="B500" s="37" t="s">
        <v>274</v>
      </c>
      <c r="C500" s="56">
        <v>67992021114</v>
      </c>
      <c r="D500" s="59">
        <v>62955505357405</v>
      </c>
      <c r="E500" s="37" t="s">
        <v>433</v>
      </c>
      <c r="F500" s="37" t="s">
        <v>434</v>
      </c>
      <c r="G500" s="52">
        <v>45839</v>
      </c>
      <c r="H500" s="52" t="str">
        <f>Faturamento!$B668&amp;Faturamento!$G668</f>
        <v>10/13786-945809</v>
      </c>
      <c r="I500" s="37" t="s">
        <v>435</v>
      </c>
      <c r="J500" s="37">
        <v>142</v>
      </c>
      <c r="K500" s="53">
        <v>253.56684210526316</v>
      </c>
      <c r="L500" s="53">
        <v>220.7863065263158</v>
      </c>
      <c r="M500" s="5" t="str">
        <f>IF(Faturamento!$S668&lt;&gt;"","Não emitido",IF(Faturamento!$I668="NÃO","Pendente Fatura", IF(Faturamento!$R668&lt;&gt;"","Aprovado",IF(Faturamento!$O668&lt;&gt;0,"Pendente Emissão","Processo de Calculo"))))</f>
        <v>Aprovado</v>
      </c>
      <c r="N500" s="53">
        <v>143.89684210526315</v>
      </c>
      <c r="O500" s="53">
        <v>111.12</v>
      </c>
      <c r="P500" s="52">
        <v>45910</v>
      </c>
      <c r="Q500" s="52">
        <v>45920</v>
      </c>
      <c r="R500" s="53">
        <v>111.12</v>
      </c>
      <c r="S500" s="37"/>
      <c r="T500" s="51" t="s">
        <v>1249</v>
      </c>
      <c r="U500" s="51" t="s">
        <v>1250</v>
      </c>
      <c r="V500" s="37" t="s">
        <v>568</v>
      </c>
      <c r="W500" s="53">
        <v>143.9</v>
      </c>
      <c r="X500" s="123">
        <f>IF(Faturamento!$V843="Pago",IFERROR(W500-R500,0),0)</f>
        <v>0</v>
      </c>
      <c r="Y500" s="52">
        <v>45967</v>
      </c>
      <c r="Z500" s="52"/>
      <c r="AA500" s="5"/>
      <c r="AB500" s="5"/>
      <c r="AI500"/>
    </row>
    <row r="501" spans="1:35" hidden="1" x14ac:dyDescent="0.3">
      <c r="A501" s="5" t="str">
        <f>VLOOKUP(B501,base!A:M,11,FALSE)</f>
        <v>MONOFÁSICO</v>
      </c>
      <c r="B501" s="37" t="s">
        <v>261</v>
      </c>
      <c r="C501" s="56">
        <v>67999159477</v>
      </c>
      <c r="D501" s="59">
        <v>62955505000167</v>
      </c>
      <c r="E501" s="37" t="s">
        <v>433</v>
      </c>
      <c r="F501" s="37" t="s">
        <v>434</v>
      </c>
      <c r="G501" s="52">
        <v>45809</v>
      </c>
      <c r="H501" s="52" t="str">
        <f>Faturamento!$B556&amp;Faturamento!$G556</f>
        <v>10/513413-545839</v>
      </c>
      <c r="I501" s="37" t="s">
        <v>435</v>
      </c>
      <c r="J501" s="37">
        <v>135</v>
      </c>
      <c r="K501" s="53">
        <v>180.72499999999999</v>
      </c>
      <c r="L501" s="53">
        <v>145.79998722433024</v>
      </c>
      <c r="M501" s="5" t="str">
        <f>IF(Faturamento!$S556&lt;&gt;"","Não emitido",IF(Faturamento!$I556="NÃO","Pendente Fatura", IF(Faturamento!$R556&lt;&gt;"","Aprovado",IF(Faturamento!$O556&lt;&gt;0,"Pendente Emissão","Processo de Calculo"))))</f>
        <v>Aprovado</v>
      </c>
      <c r="N501" s="53">
        <v>147.20499999999998</v>
      </c>
      <c r="O501" s="53">
        <v>110.4</v>
      </c>
      <c r="P501" s="52">
        <v>45860</v>
      </c>
      <c r="Q501" s="52">
        <v>45871</v>
      </c>
      <c r="R501" s="53">
        <v>110.4</v>
      </c>
      <c r="S501" s="37"/>
      <c r="T501" s="51" t="s">
        <v>1071</v>
      </c>
      <c r="U501" s="51" t="s">
        <v>1072</v>
      </c>
      <c r="V501" s="37" t="s">
        <v>568</v>
      </c>
      <c r="W501" s="53">
        <v>110.4</v>
      </c>
      <c r="X501" s="123">
        <f>IF(Faturamento!$V462="Pago",IFERROR(W501-R501,0),0)</f>
        <v>0</v>
      </c>
      <c r="Y501" s="52" t="s">
        <v>1043</v>
      </c>
      <c r="Z501" s="52"/>
      <c r="AA501" s="5"/>
      <c r="AB501" s="5"/>
      <c r="AI501"/>
    </row>
    <row r="502" spans="1:35" hidden="1" x14ac:dyDescent="0.3">
      <c r="A502" s="5" t="str">
        <f>VLOOKUP(B502,base!A:M,11,FALSE)</f>
        <v>TRIFÁSICO</v>
      </c>
      <c r="B502" t="s">
        <v>311</v>
      </c>
      <c r="C502" s="56" t="s">
        <v>313</v>
      </c>
      <c r="D502">
        <v>62955505193534</v>
      </c>
      <c r="E502" s="37" t="s">
        <v>433</v>
      </c>
      <c r="F502" t="s">
        <v>108</v>
      </c>
      <c r="G502" s="4">
        <v>45931</v>
      </c>
      <c r="H502" s="52" t="str">
        <f>Faturamento!$B956&amp;Faturamento!$G956</f>
        <v>10/3040565-845809</v>
      </c>
      <c r="I502" s="37" t="s">
        <v>435</v>
      </c>
      <c r="J502">
        <v>153</v>
      </c>
      <c r="K502" s="3">
        <v>372.65989999999999</v>
      </c>
      <c r="L502" s="3">
        <v>320.18091691827402</v>
      </c>
      <c r="M502" s="5" t="s">
        <v>1489</v>
      </c>
      <c r="N502" s="53">
        <v>187.63990000000001</v>
      </c>
      <c r="O502" s="53">
        <v>134.26</v>
      </c>
      <c r="P502" s="52">
        <v>45967</v>
      </c>
      <c r="Q502" s="52">
        <v>45974</v>
      </c>
      <c r="R502" s="53">
        <v>134.26</v>
      </c>
      <c r="S502" s="37"/>
      <c r="T502" s="3" t="str">
        <f>D502&amp;R502</f>
        <v>62955505193534134,26</v>
      </c>
      <c r="U502" s="3" t="s">
        <v>1768</v>
      </c>
      <c r="V502" s="37" t="s">
        <v>369</v>
      </c>
      <c r="X502" s="124">
        <f>IF(Faturamento!$V958="Pago",IFERROR(W502-R502,0),0)</f>
        <v>0</v>
      </c>
      <c r="Z502" s="196" t="s">
        <v>1795</v>
      </c>
    </row>
    <row r="503" spans="1:35" hidden="1" x14ac:dyDescent="0.3">
      <c r="A503" s="5" t="str">
        <f>VLOOKUP(B503,base!A:M,11,FALSE)</f>
        <v>TRIFÁSICO</v>
      </c>
      <c r="B503" t="s">
        <v>311</v>
      </c>
      <c r="C503" s="1" t="s">
        <v>313</v>
      </c>
      <c r="D503" s="60">
        <v>62955505193534</v>
      </c>
      <c r="E503" s="63" t="s">
        <v>433</v>
      </c>
      <c r="F503" t="s">
        <v>434</v>
      </c>
      <c r="G503" s="4">
        <v>45809</v>
      </c>
      <c r="H503" s="4" t="str">
        <f>Faturamento!$B541&amp;Faturamento!$G541</f>
        <v>10/466560-045748</v>
      </c>
      <c r="I503" t="s">
        <v>435</v>
      </c>
      <c r="J503" s="37">
        <v>125</v>
      </c>
      <c r="K503" s="53">
        <v>308.94250000000005</v>
      </c>
      <c r="L503" s="53">
        <v>274.53766718092584</v>
      </c>
      <c r="M503" s="5" t="str">
        <f>IF(Faturamento!$S541&lt;&gt;"","Não emitido",IF(Faturamento!$I541="NÃO","Pendente Fatura", IF(Faturamento!$R541&lt;&gt;"","Aprovado",IF(Faturamento!$O541&lt;&gt;0,"Pendente Emissão","Processo de Calculo"))))</f>
        <v>Aprovado</v>
      </c>
      <c r="N503" s="3">
        <v>145.01250000000002</v>
      </c>
      <c r="O503" s="3">
        <v>108.76</v>
      </c>
      <c r="P503" s="4">
        <v>45860</v>
      </c>
      <c r="Q503" s="4">
        <v>45871</v>
      </c>
      <c r="R503" s="3">
        <v>108.76</v>
      </c>
      <c r="S503"/>
      <c r="T503" s="51" t="s">
        <v>1038</v>
      </c>
      <c r="U503" s="51" t="s">
        <v>1039</v>
      </c>
      <c r="V503" t="s">
        <v>568</v>
      </c>
      <c r="W503" s="3">
        <v>108.76</v>
      </c>
      <c r="X503" s="123">
        <f>IF(Faturamento!$V461="Pago",IFERROR(W503-R503,0),0)</f>
        <v>0</v>
      </c>
      <c r="Y503" s="4" t="s">
        <v>1040</v>
      </c>
      <c r="Z503" s="4"/>
      <c r="AA503" s="5"/>
      <c r="AB503" s="5"/>
      <c r="AI503"/>
    </row>
    <row r="504" spans="1:35" hidden="1" x14ac:dyDescent="0.3">
      <c r="A504" s="5" t="str">
        <f>VLOOKUP(B504,base!A:M,11,FALSE)</f>
        <v>TRIFÁSICO</v>
      </c>
      <c r="B504" s="37" t="s">
        <v>164</v>
      </c>
      <c r="C504" s="56" t="s">
        <v>166</v>
      </c>
      <c r="D504" s="59">
        <v>62955505419443</v>
      </c>
      <c r="E504" s="37" t="s">
        <v>433</v>
      </c>
      <c r="F504" s="37" t="s">
        <v>434</v>
      </c>
      <c r="G504" s="52">
        <v>45748</v>
      </c>
      <c r="H504" s="52" t="str">
        <f>Faturamento!$B360&amp;Faturamento!$G360</f>
        <v>10/511753-645658</v>
      </c>
      <c r="I504" s="37" t="s">
        <v>435</v>
      </c>
      <c r="J504" s="37">
        <v>129</v>
      </c>
      <c r="K504" s="53">
        <v>354.24</v>
      </c>
      <c r="L504" s="53">
        <v>318.15250000000003</v>
      </c>
      <c r="M504" s="5" t="str">
        <f>IF(Faturamento!$S360&lt;&gt;"","Não emitido",IF(Faturamento!$I360="NÃO","Pendente Fatura", IF(Faturamento!$R360&lt;&gt;"","Aprovado",IF(Faturamento!$O360&lt;&gt;0,"Pendente Emissão","Processo de Calculo"))))</f>
        <v>Aprovado</v>
      </c>
      <c r="N504" s="53">
        <v>144.35</v>
      </c>
      <c r="O504" s="53">
        <v>108.26</v>
      </c>
      <c r="P504" s="52"/>
      <c r="Q504" s="52"/>
      <c r="R504" s="53">
        <v>108.26</v>
      </c>
      <c r="S504" s="37"/>
      <c r="T504" s="51" t="s">
        <v>860</v>
      </c>
      <c r="U504" s="51"/>
      <c r="V504" s="37" t="s">
        <v>568</v>
      </c>
      <c r="W504" s="53">
        <v>108.26</v>
      </c>
      <c r="X504" s="123">
        <f>IF(Faturamento!$V460="Pago",IFERROR(W504-R504,0),0)</f>
        <v>0</v>
      </c>
      <c r="Y504" s="52"/>
      <c r="Z504" s="52"/>
      <c r="AA504" s="5"/>
      <c r="AB504" s="5"/>
      <c r="AI504"/>
    </row>
    <row r="505" spans="1:35" hidden="1" x14ac:dyDescent="0.3">
      <c r="A505" s="5" t="str">
        <f>VLOOKUP(B505,base!A:M,11,FALSE)</f>
        <v>BIFÁSICO</v>
      </c>
      <c r="B505" t="s">
        <v>280</v>
      </c>
      <c r="C505" s="1">
        <v>67998302932</v>
      </c>
      <c r="D505" s="60">
        <v>62955505015512</v>
      </c>
      <c r="E505" s="63" t="s">
        <v>433</v>
      </c>
      <c r="F505" t="s">
        <v>434</v>
      </c>
      <c r="G505" s="4">
        <v>45658</v>
      </c>
      <c r="H505" s="4" t="str">
        <f>Faturamento!$B119&amp;Faturamento!$G119</f>
        <v>10/18015-845717</v>
      </c>
      <c r="I505" t="s">
        <v>435</v>
      </c>
      <c r="J505">
        <v>129</v>
      </c>
      <c r="K505" s="3">
        <v>251.48999999999998</v>
      </c>
      <c r="L505" s="3">
        <v>215.49250000000001</v>
      </c>
      <c r="M505" s="5" t="str">
        <f>IF(Faturamento!$S119&lt;&gt;"","Não emitido",IF(Faturamento!$I119="NÃO","Pendente Fatura", IF(Faturamento!$R119&lt;&gt;"","Aprovado",IF(Faturamento!$O119&lt;&gt;0,"Pendente Emissão","Processo de Calculo"))))</f>
        <v>Aprovado</v>
      </c>
      <c r="N505" s="3">
        <v>143.99</v>
      </c>
      <c r="O505" s="3">
        <v>107.99</v>
      </c>
      <c r="P505" s="4"/>
      <c r="Q505" s="4"/>
      <c r="R505" s="3">
        <v>107.99</v>
      </c>
      <c r="S505"/>
      <c r="T505" s="51" t="s">
        <v>677</v>
      </c>
      <c r="U505" s="51"/>
      <c r="V505" t="s">
        <v>568</v>
      </c>
      <c r="W505" s="3">
        <v>107.99</v>
      </c>
      <c r="X505" s="123">
        <f>IF(Faturamento!$V459="Pago",IFERROR(W505-R505,0),0)</f>
        <v>0</v>
      </c>
      <c r="Y505" s="4"/>
      <c r="Z505" s="4"/>
      <c r="AA505" s="5"/>
      <c r="AB505" s="5"/>
      <c r="AI505"/>
    </row>
    <row r="506" spans="1:35" hidden="1" x14ac:dyDescent="0.3">
      <c r="A506" s="5" t="str">
        <f>VLOOKUP(B506,base!A:M,11,FALSE)</f>
        <v>BIFÁSICO</v>
      </c>
      <c r="B506" t="s">
        <v>280</v>
      </c>
      <c r="C506" s="56">
        <v>67998302932</v>
      </c>
      <c r="D506">
        <v>62955505015512</v>
      </c>
      <c r="E506" s="37" t="s">
        <v>433</v>
      </c>
      <c r="F506" t="s">
        <v>108</v>
      </c>
      <c r="G506" s="4">
        <v>45931</v>
      </c>
      <c r="H506" s="52" t="str">
        <f>Faturamento!$B922&amp;Faturamento!$G922</f>
        <v>10/2344751-945748</v>
      </c>
      <c r="I506" s="37" t="s">
        <v>435</v>
      </c>
      <c r="J506">
        <v>171</v>
      </c>
      <c r="K506" s="3">
        <v>329.94940000000003</v>
      </c>
      <c r="L506" s="3">
        <v>278.65080311596671</v>
      </c>
      <c r="M506" s="5" t="s">
        <v>1489</v>
      </c>
      <c r="N506" s="53">
        <v>183.41939999999997</v>
      </c>
      <c r="O506" s="53">
        <v>132.12</v>
      </c>
      <c r="P506" s="52">
        <v>45967</v>
      </c>
      <c r="Q506" s="52">
        <v>45974</v>
      </c>
      <c r="R506" s="53">
        <v>132.12</v>
      </c>
      <c r="S506" s="37"/>
      <c r="T506" s="3" t="str">
        <f>D506&amp;R506</f>
        <v>62955505015512132,12</v>
      </c>
      <c r="U506" s="3" t="s">
        <v>1734</v>
      </c>
      <c r="V506" s="37" t="s">
        <v>568</v>
      </c>
      <c r="W506">
        <v>183.42</v>
      </c>
      <c r="X506" s="124">
        <f>IF(Faturamento!$V924="Pago",IFERROR(W506-R506,0),0)</f>
        <v>0</v>
      </c>
      <c r="Y506" s="175">
        <v>45999</v>
      </c>
      <c r="Z506" s="196" t="s">
        <v>1795</v>
      </c>
    </row>
    <row r="507" spans="1:35" hidden="1" x14ac:dyDescent="0.3">
      <c r="A507" s="5" t="str">
        <f>VLOOKUP(B507,base!A:M,11,FALSE)</f>
        <v>BIFÁSICO</v>
      </c>
      <c r="B507" t="s">
        <v>202</v>
      </c>
      <c r="C507" s="1">
        <v>67999031330</v>
      </c>
      <c r="D507" s="60">
        <v>62955505017051</v>
      </c>
      <c r="E507" s="63" t="s">
        <v>433</v>
      </c>
      <c r="F507" t="s">
        <v>434</v>
      </c>
      <c r="G507" s="4">
        <v>45689</v>
      </c>
      <c r="H507" s="4" t="str">
        <f>Faturamento!$B159&amp;Faturamento!$G159</f>
        <v>10/191945-545809</v>
      </c>
      <c r="I507" t="s">
        <v>435</v>
      </c>
      <c r="J507" s="37">
        <v>129</v>
      </c>
      <c r="K507" s="53">
        <v>221.25999999999996</v>
      </c>
      <c r="L507" s="53">
        <v>185.43973790322579</v>
      </c>
      <c r="M507" s="5" t="str">
        <f>IF(Faturamento!$S159&lt;&gt;"","Não emitido",IF(Faturamento!$I159="NÃO","Pendente Fatura", IF(Faturamento!$R159&lt;&gt;"","Aprovado",IF(Faturamento!$O159&lt;&gt;0,"Pendente Emissão","Processo de Calculo"))))</f>
        <v>Aprovado</v>
      </c>
      <c r="N507" s="3">
        <v>143.28104838709677</v>
      </c>
      <c r="O507" s="3">
        <v>107.46</v>
      </c>
      <c r="P507" s="4"/>
      <c r="Q507" s="4"/>
      <c r="R507" s="3">
        <v>107.46</v>
      </c>
      <c r="S507"/>
      <c r="T507" s="51" t="s">
        <v>720</v>
      </c>
      <c r="U507" s="51"/>
      <c r="V507" t="s">
        <v>568</v>
      </c>
      <c r="W507" s="3">
        <v>107.46</v>
      </c>
      <c r="X507" s="123">
        <f>IF(Faturamento!$V458="Pago",IFERROR(W507-R507,0),0)</f>
        <v>0</v>
      </c>
      <c r="Y507" s="4"/>
      <c r="Z507" s="4"/>
      <c r="AA507" s="5"/>
      <c r="AB507" s="5"/>
      <c r="AI507"/>
    </row>
    <row r="508" spans="1:35" hidden="1" x14ac:dyDescent="0.3">
      <c r="A508" s="5" t="str">
        <f>VLOOKUP(B508,base!A:M,11,FALSE)</f>
        <v>TRIFÁSICO</v>
      </c>
      <c r="B508" s="37" t="s">
        <v>236</v>
      </c>
      <c r="C508" s="56">
        <v>67996266684</v>
      </c>
      <c r="D508" s="59">
        <v>62955505067660</v>
      </c>
      <c r="E508" s="37" t="s">
        <v>433</v>
      </c>
      <c r="F508" s="37" t="s">
        <v>434</v>
      </c>
      <c r="G508" s="52">
        <v>45839</v>
      </c>
      <c r="H508" s="52" t="str">
        <f>Faturamento!$B628&amp;Faturamento!$G628</f>
        <v>10/1698130-045870</v>
      </c>
      <c r="I508" s="37" t="s">
        <v>435</v>
      </c>
      <c r="J508" s="37">
        <v>115</v>
      </c>
      <c r="K508" s="53">
        <v>252.67449999999999</v>
      </c>
      <c r="L508" s="53">
        <v>221.99121769999999</v>
      </c>
      <c r="M508" s="5" t="str">
        <f>IF(Faturamento!$S628&lt;&gt;"","Não emitido",IF(Faturamento!$I628="NÃO","Pendente Fatura", IF(Faturamento!$R628&lt;&gt;"","Aprovado",IF(Faturamento!$O628&lt;&gt;0,"Pendente Emissão","Processo de Calculo"))))</f>
        <v>Aprovado</v>
      </c>
      <c r="N508" s="53">
        <v>138.02450000000002</v>
      </c>
      <c r="O508" s="53">
        <v>107.34</v>
      </c>
      <c r="P508" s="52">
        <v>45910</v>
      </c>
      <c r="Q508" s="52">
        <v>45920</v>
      </c>
      <c r="R508" s="53">
        <v>107.34</v>
      </c>
      <c r="S508" s="37"/>
      <c r="T508" s="51" t="s">
        <v>1171</v>
      </c>
      <c r="U508" s="51" t="s">
        <v>1172</v>
      </c>
      <c r="V508" s="37" t="s">
        <v>568</v>
      </c>
      <c r="W508" s="53">
        <v>107.34</v>
      </c>
      <c r="X508" s="123">
        <f>IF(Faturamento!$V457="Pago",IFERROR(W508-R508,0),0)</f>
        <v>0</v>
      </c>
      <c r="Y508" s="52"/>
      <c r="Z508" s="52"/>
      <c r="AA508" s="5"/>
      <c r="AB508" s="5"/>
      <c r="AI508"/>
    </row>
    <row r="509" spans="1:35" hidden="1" x14ac:dyDescent="0.3">
      <c r="A509" s="5" t="str">
        <f>VLOOKUP(B509,base!A:M,11,FALSE)</f>
        <v>TRIFÁSICO</v>
      </c>
      <c r="B509" t="s">
        <v>230</v>
      </c>
      <c r="C509" s="1" t="s">
        <v>175</v>
      </c>
      <c r="D509" s="60">
        <v>62955505843253</v>
      </c>
      <c r="E509" s="63" t="s">
        <v>433</v>
      </c>
      <c r="F509" t="s">
        <v>434</v>
      </c>
      <c r="G509" s="4">
        <v>45658</v>
      </c>
      <c r="H509" s="4" t="str">
        <f>Faturamento!$B105&amp;Faturamento!$G105</f>
        <v>10/2605731-545809</v>
      </c>
      <c r="I509" t="s">
        <v>435</v>
      </c>
      <c r="J509">
        <v>143</v>
      </c>
      <c r="K509" s="3">
        <v>468.79999999999995</v>
      </c>
      <c r="L509" s="3">
        <v>433.27749999999992</v>
      </c>
      <c r="M509" s="5" t="str">
        <f>IF(Faturamento!$S105&lt;&gt;"","Não emitido",IF(Faturamento!$I105="NÃO","Pendente Fatura", IF(Faturamento!$R105&lt;&gt;"","Aprovado",IF(Faturamento!$O105&lt;&gt;0,"Pendente Emissão","Processo de Calculo"))))</f>
        <v>Aprovado</v>
      </c>
      <c r="N509" s="3">
        <v>142.09000000000003</v>
      </c>
      <c r="O509" s="3">
        <v>106.57</v>
      </c>
      <c r="P509" s="4"/>
      <c r="Q509" s="4"/>
      <c r="R509" s="3">
        <v>106.57</v>
      </c>
      <c r="S509"/>
      <c r="T509" s="51" t="s">
        <v>663</v>
      </c>
      <c r="U509" s="51"/>
      <c r="V509" t="s">
        <v>568</v>
      </c>
      <c r="W509" s="3">
        <v>106.57</v>
      </c>
      <c r="X509" s="123">
        <f>IF(Faturamento!$V456="Pago",IFERROR(W509-R509,0),0)</f>
        <v>0</v>
      </c>
      <c r="Y509" s="4"/>
      <c r="Z509" s="4"/>
      <c r="AA509" s="5"/>
      <c r="AB509" s="5"/>
      <c r="AI509"/>
    </row>
    <row r="510" spans="1:35" hidden="1" x14ac:dyDescent="0.3">
      <c r="A510" s="5" t="str">
        <f>VLOOKUP(B510,base!A:M,11,FALSE)</f>
        <v>MONOFÁSICO</v>
      </c>
      <c r="B510" t="s">
        <v>167</v>
      </c>
      <c r="C510" s="1">
        <v>67992337953</v>
      </c>
      <c r="D510" s="60">
        <v>62955505091456</v>
      </c>
      <c r="E510" s="63" t="s">
        <v>433</v>
      </c>
      <c r="F510" t="s">
        <v>434</v>
      </c>
      <c r="G510" s="4">
        <v>45748</v>
      </c>
      <c r="H510" s="4" t="str">
        <f>Faturamento!$B355&amp;Faturamento!$G355</f>
        <v>10/931327-145870</v>
      </c>
      <c r="I510" t="s">
        <v>435</v>
      </c>
      <c r="J510" s="37">
        <v>126</v>
      </c>
      <c r="K510" s="53">
        <v>228.12</v>
      </c>
      <c r="L510" s="53">
        <v>192.79250000000002</v>
      </c>
      <c r="M510" s="5" t="str">
        <f>IF(Faturamento!$S355&lt;&gt;"","Não emitido",IF(Faturamento!$I355="NÃO","Pendente Fatura", IF(Faturamento!$R355&lt;&gt;"","Aprovado",IF(Faturamento!$O355&lt;&gt;0,"Pendente Emissão","Processo de Calculo"))))</f>
        <v>Aprovado</v>
      </c>
      <c r="N510" s="3">
        <v>141.31</v>
      </c>
      <c r="O510" s="3">
        <v>105.98</v>
      </c>
      <c r="P510" s="4"/>
      <c r="Q510" s="4"/>
      <c r="R510" s="3">
        <v>105.98</v>
      </c>
      <c r="S510"/>
      <c r="T510" s="51" t="s">
        <v>856</v>
      </c>
      <c r="U510" s="51"/>
      <c r="V510" t="s">
        <v>702</v>
      </c>
      <c r="W510" s="3">
        <v>0</v>
      </c>
      <c r="X510" s="123">
        <f>IF(Faturamento!$V155="Pago",IFERROR(W510-R510,0),0)</f>
        <v>-105.98</v>
      </c>
      <c r="Y510" s="4"/>
      <c r="Z510" s="4"/>
      <c r="AA510" s="5"/>
      <c r="AB510" s="5"/>
      <c r="AI510"/>
    </row>
    <row r="511" spans="1:35" hidden="1" x14ac:dyDescent="0.3">
      <c r="A511" s="5" t="str">
        <f>VLOOKUP(B511,base!A:M,11,FALSE)</f>
        <v>TRIFÁSICO</v>
      </c>
      <c r="B511" t="s">
        <v>140</v>
      </c>
      <c r="C511" s="1">
        <v>67996575782</v>
      </c>
      <c r="D511" s="60">
        <v>62955505015601</v>
      </c>
      <c r="E511" s="63" t="s">
        <v>433</v>
      </c>
      <c r="F511" t="s">
        <v>434</v>
      </c>
      <c r="G511" s="4">
        <v>45717</v>
      </c>
      <c r="H511" s="4" t="str">
        <f>Faturamento!$B259&amp;Faturamento!$G259</f>
        <v>10/142353-245839</v>
      </c>
      <c r="I511" t="s">
        <v>435</v>
      </c>
      <c r="J511">
        <v>126</v>
      </c>
      <c r="K511" s="3">
        <v>472.24</v>
      </c>
      <c r="L511" s="3">
        <v>437.08000000000004</v>
      </c>
      <c r="M511" s="5" t="str">
        <f>IF(Faturamento!$S259&lt;&gt;"","Não emitido",IF(Faturamento!$I259="NÃO","Pendente Fatura", IF(Faturamento!$R259&lt;&gt;"","Aprovado",IF(Faturamento!$O259&lt;&gt;0,"Pendente Emissão","Processo de Calculo"))))</f>
        <v>Aprovado</v>
      </c>
      <c r="N511" s="3">
        <v>140.63999999999999</v>
      </c>
      <c r="O511" s="3">
        <v>105.48</v>
      </c>
      <c r="P511" s="4"/>
      <c r="Q511" s="4"/>
      <c r="R511" s="3">
        <v>105.48</v>
      </c>
      <c r="S511"/>
      <c r="T511" s="51" t="s">
        <v>799</v>
      </c>
      <c r="U511" s="51"/>
      <c r="V511" t="s">
        <v>568</v>
      </c>
      <c r="W511" s="3">
        <v>105.48</v>
      </c>
      <c r="X511" s="123">
        <f>IF(Faturamento!$V455="Pago",IFERROR(W511-R511,0),0)</f>
        <v>0</v>
      </c>
      <c r="Y511" s="4"/>
      <c r="Z511" s="4"/>
      <c r="AA511" s="5"/>
      <c r="AB511" s="5"/>
      <c r="AI511"/>
    </row>
    <row r="512" spans="1:35" hidden="1" x14ac:dyDescent="0.3">
      <c r="A512" s="5" t="str">
        <f>VLOOKUP(B512,base!A:M,11,FALSE)</f>
        <v>TRIFÁSICO</v>
      </c>
      <c r="B512" s="37" t="s">
        <v>334</v>
      </c>
      <c r="C512" s="56" t="s">
        <v>336</v>
      </c>
      <c r="D512" s="59">
        <v>62955505015946</v>
      </c>
      <c r="E512" s="37" t="s">
        <v>433</v>
      </c>
      <c r="F512" s="37" t="s">
        <v>434</v>
      </c>
      <c r="G512" s="52">
        <v>45839</v>
      </c>
      <c r="H512" s="52" t="str">
        <f>Faturamento!$B654&amp;Faturamento!$G654</f>
        <v>10/1117293-945689</v>
      </c>
      <c r="I512" s="37" t="s">
        <v>435</v>
      </c>
      <c r="J512" s="37">
        <v>132</v>
      </c>
      <c r="K512" s="53">
        <v>271.99923076923073</v>
      </c>
      <c r="L512" s="53">
        <v>241.53049923076924</v>
      </c>
      <c r="M512" s="5" t="str">
        <f>IF(Faturamento!$S654&lt;&gt;"","Não emitido",IF(Faturamento!$I654="NÃO","Pendente Fatura", IF(Faturamento!$R654&lt;&gt;"","Aprovado",IF(Faturamento!$O654&lt;&gt;0,"Pendente Emissão","Processo de Calculo"))))</f>
        <v>Aprovado</v>
      </c>
      <c r="N512" s="53">
        <v>135.92923076923077</v>
      </c>
      <c r="O512" s="53">
        <v>105.46</v>
      </c>
      <c r="P512" s="52">
        <v>45910</v>
      </c>
      <c r="Q512" s="52">
        <v>45920</v>
      </c>
      <c r="R512" s="53">
        <v>105.46</v>
      </c>
      <c r="S512" s="37"/>
      <c r="T512" s="51" t="s">
        <v>1221</v>
      </c>
      <c r="U512" s="51" t="s">
        <v>1222</v>
      </c>
      <c r="V512" s="37" t="s">
        <v>568</v>
      </c>
      <c r="W512" s="53">
        <v>105.46</v>
      </c>
      <c r="X512" s="123">
        <f>IF(Faturamento!$V454="Pago",IFERROR(W512-R512,0),0)</f>
        <v>0</v>
      </c>
      <c r="Y512" s="52"/>
      <c r="Z512" s="52"/>
      <c r="AA512" s="5"/>
      <c r="AB512" s="5"/>
      <c r="AI512"/>
    </row>
    <row r="513" spans="1:35" hidden="1" x14ac:dyDescent="0.3">
      <c r="A513" s="5" t="str">
        <f>VLOOKUP(B513,base!A:M,11,FALSE)</f>
        <v>MONOFÁSICO</v>
      </c>
      <c r="B513" t="s">
        <v>173</v>
      </c>
      <c r="C513" s="1" t="s">
        <v>175</v>
      </c>
      <c r="D513" s="60">
        <v>62955505084751</v>
      </c>
      <c r="E513" s="63" t="s">
        <v>433</v>
      </c>
      <c r="F513" t="s">
        <v>434</v>
      </c>
      <c r="G513" s="4">
        <v>45778</v>
      </c>
      <c r="H513" s="4" t="str">
        <f>Faturamento!$B465&amp;Faturamento!$G465</f>
        <v>10/501586-245778</v>
      </c>
      <c r="I513" t="s">
        <v>435</v>
      </c>
      <c r="J513">
        <v>127</v>
      </c>
      <c r="K513" s="3">
        <v>236.03576923076923</v>
      </c>
      <c r="L513" s="3">
        <v>200.91182692307694</v>
      </c>
      <c r="M513" s="5" t="str">
        <f>IF(Faturamento!$S465&lt;&gt;"","Não emitido",IF(Faturamento!$I465="NÃO","Pendente Fatura", IF(Faturamento!$R465&lt;&gt;"","Aprovado",IF(Faturamento!$O465&lt;&gt;0,"Pendente Emissão","Processo de Calculo"))))</f>
        <v>Aprovado</v>
      </c>
      <c r="N513" s="3">
        <v>140.49576923076924</v>
      </c>
      <c r="O513" s="3">
        <v>105.37</v>
      </c>
      <c r="P513" s="4"/>
      <c r="Q513" s="4"/>
      <c r="R513" s="3">
        <v>105.37</v>
      </c>
      <c r="S513"/>
      <c r="T513" s="51" t="s">
        <v>957</v>
      </c>
      <c r="U513" s="51"/>
      <c r="V513" t="s">
        <v>568</v>
      </c>
      <c r="W513" s="3">
        <v>105.37</v>
      </c>
      <c r="X513" s="123">
        <f>IF(Faturamento!$V453="Pago",IFERROR(W513-R513,0),0)</f>
        <v>0</v>
      </c>
      <c r="Y513" s="4"/>
      <c r="Z513" s="4"/>
      <c r="AA513" s="5"/>
      <c r="AB513" s="5"/>
      <c r="AI513"/>
    </row>
    <row r="514" spans="1:35" hidden="1" x14ac:dyDescent="0.3">
      <c r="A514" s="5" t="str">
        <f>VLOOKUP(B514,base!A:M,11,FALSE)</f>
        <v>TRIFÁSICO</v>
      </c>
      <c r="B514" s="37" t="s">
        <v>228</v>
      </c>
      <c r="C514" s="56">
        <v>67991162146</v>
      </c>
      <c r="D514" s="59">
        <v>62955505015199</v>
      </c>
      <c r="E514" s="37" t="s">
        <v>433</v>
      </c>
      <c r="F514" s="37" t="s">
        <v>434</v>
      </c>
      <c r="G514" s="52">
        <v>45689</v>
      </c>
      <c r="H514" s="52" t="str">
        <f>Faturamento!$B150&amp;Faturamento!$G150</f>
        <v>10/1081489-545870</v>
      </c>
      <c r="I514" s="37" t="s">
        <v>435</v>
      </c>
      <c r="J514" s="37">
        <v>144</v>
      </c>
      <c r="K514" s="53">
        <v>542.72</v>
      </c>
      <c r="L514" s="53">
        <v>507.65250000000003</v>
      </c>
      <c r="M514" s="5" t="str">
        <f>IF(Faturamento!$S150&lt;&gt;"","Não emitido",IF(Faturamento!$I150="NÃO","Pendente Fatura", IF(Faturamento!$R150&lt;&gt;"","Aprovado",IF(Faturamento!$O150&lt;&gt;0,"Pendente Emissão","Processo de Calculo"))))</f>
        <v>Aprovado</v>
      </c>
      <c r="N514" s="53">
        <v>140.26999999999998</v>
      </c>
      <c r="O514" s="53">
        <v>105.2</v>
      </c>
      <c r="P514" s="52"/>
      <c r="Q514" s="52"/>
      <c r="R514" s="53">
        <v>105.2</v>
      </c>
      <c r="S514" s="37"/>
      <c r="T514" s="51" t="s">
        <v>711</v>
      </c>
      <c r="U514" s="51"/>
      <c r="V514" s="37" t="s">
        <v>568</v>
      </c>
      <c r="W514" s="53">
        <v>105.2</v>
      </c>
      <c r="X514" s="123">
        <f>IF(Faturamento!$V452="Pago",IFERROR(W514-R514,0),0)</f>
        <v>0</v>
      </c>
      <c r="Y514" s="52"/>
      <c r="Z514" s="52"/>
      <c r="AA514" s="5"/>
      <c r="AB514" s="5"/>
      <c r="AI514"/>
    </row>
    <row r="515" spans="1:35" hidden="1" x14ac:dyDescent="0.3">
      <c r="A515" s="5" t="str">
        <f>VLOOKUP(B515,base!A:M,11,FALSE)</f>
        <v>TRIFÁSICO</v>
      </c>
      <c r="B515" s="37" t="s">
        <v>140</v>
      </c>
      <c r="C515" s="56" t="s">
        <v>126</v>
      </c>
      <c r="D515" s="59">
        <v>62955505015601</v>
      </c>
      <c r="E515" s="37" t="s">
        <v>433</v>
      </c>
      <c r="F515" s="37" t="s">
        <v>434</v>
      </c>
      <c r="G515" s="52">
        <v>45901</v>
      </c>
      <c r="H515" s="52" t="str">
        <f>Faturamento!$B824&amp;Faturamento!$G824</f>
        <v>10/150263-245627</v>
      </c>
      <c r="I515" s="37" t="s">
        <v>435</v>
      </c>
      <c r="J515">
        <v>117</v>
      </c>
      <c r="K515" s="3">
        <v>290.17149999999998</v>
      </c>
      <c r="L515" s="3">
        <v>252.21010957971623</v>
      </c>
      <c r="M515" s="5" t="s">
        <v>1489</v>
      </c>
      <c r="N515" s="53">
        <v>141.34149999999997</v>
      </c>
      <c r="O515" s="53">
        <v>103.38</v>
      </c>
      <c r="P515" s="52">
        <v>45933</v>
      </c>
      <c r="Q515" s="52">
        <v>45943</v>
      </c>
      <c r="R515" s="53">
        <f>O515</f>
        <v>103.38</v>
      </c>
      <c r="S515" s="37"/>
      <c r="T515" s="51" t="s">
        <v>1532</v>
      </c>
      <c r="U515" s="51" t="s">
        <v>1533</v>
      </c>
      <c r="V515" s="37" t="s">
        <v>568</v>
      </c>
      <c r="W515" s="53">
        <f>R515</f>
        <v>103.38</v>
      </c>
      <c r="X515" s="123">
        <f>IF(Faturamento!$V450="Pago",IFERROR(W515-R515,0),0)</f>
        <v>0</v>
      </c>
      <c r="Y515" s="52"/>
      <c r="Z515" s="52"/>
      <c r="AA515" s="5"/>
      <c r="AB515" s="5"/>
      <c r="AI515"/>
    </row>
    <row r="516" spans="1:35" hidden="1" x14ac:dyDescent="0.3">
      <c r="A516" s="5" t="str">
        <f>VLOOKUP(B516,base!A:M,11,FALSE)</f>
        <v>MONOFÁSICO</v>
      </c>
      <c r="B516" t="s">
        <v>261</v>
      </c>
      <c r="C516" s="1">
        <v>67999159477</v>
      </c>
      <c r="D516" s="60">
        <v>62955505000167</v>
      </c>
      <c r="E516" s="63" t="s">
        <v>433</v>
      </c>
      <c r="F516" t="s">
        <v>434</v>
      </c>
      <c r="G516" s="4">
        <v>45778</v>
      </c>
      <c r="H516" s="4" t="str">
        <f>Faturamento!$B469&amp;Faturamento!$G469</f>
        <v>10/480529-745809</v>
      </c>
      <c r="I516" t="s">
        <v>435</v>
      </c>
      <c r="J516">
        <v>130</v>
      </c>
      <c r="K516" s="3">
        <v>169.36500000000004</v>
      </c>
      <c r="L516" s="3">
        <v>134.98375000000004</v>
      </c>
      <c r="M516" s="5" t="str">
        <f>IF(Faturamento!$S469&lt;&gt;"","Não emitido",IF(Faturamento!$I469="NÃO","Pendente Fatura", IF(Faturamento!$R469&lt;&gt;"","Aprovado",IF(Faturamento!$O469&lt;&gt;0,"Pendente Emissão","Processo de Calculo"))))</f>
        <v>Aprovado</v>
      </c>
      <c r="N516" s="3">
        <v>137.52500000000001</v>
      </c>
      <c r="O516" s="3">
        <v>103.14</v>
      </c>
      <c r="P516" s="4"/>
      <c r="Q516" s="4"/>
      <c r="R516" s="3">
        <v>103.14</v>
      </c>
      <c r="S516"/>
      <c r="T516" s="51" t="s">
        <v>961</v>
      </c>
      <c r="U516" s="51"/>
      <c r="V516" t="s">
        <v>568</v>
      </c>
      <c r="W516" s="3">
        <v>137.53</v>
      </c>
      <c r="X516" s="123">
        <f>IF(Faturamento!$V515="Pago",IFERROR(W516-R516,0),0)</f>
        <v>34.39</v>
      </c>
      <c r="Y516" s="4">
        <v>45917</v>
      </c>
      <c r="Z516" s="4"/>
      <c r="AA516" s="5"/>
      <c r="AB516" s="5"/>
      <c r="AI516"/>
    </row>
    <row r="517" spans="1:35" hidden="1" x14ac:dyDescent="0.3">
      <c r="A517" s="5" t="str">
        <f>VLOOKUP(B517,base!A:M,11,FALSE)</f>
        <v>TRIFÁSICO</v>
      </c>
      <c r="B517" s="37" t="s">
        <v>140</v>
      </c>
      <c r="C517" s="56">
        <v>67996575782</v>
      </c>
      <c r="D517" s="59">
        <v>62955505015601</v>
      </c>
      <c r="E517" s="37" t="s">
        <v>433</v>
      </c>
      <c r="F517" s="37" t="s">
        <v>434</v>
      </c>
      <c r="G517" s="52">
        <v>45658</v>
      </c>
      <c r="H517" s="52" t="str">
        <f>Faturamento!$B48&amp;Faturamento!$G48</f>
        <v>10/202838-945931</v>
      </c>
      <c r="I517" s="37" t="s">
        <v>435</v>
      </c>
      <c r="J517">
        <v>123</v>
      </c>
      <c r="K517" s="3">
        <v>310.16000000000003</v>
      </c>
      <c r="L517" s="3">
        <v>275.83500000000004</v>
      </c>
      <c r="M517" s="5" t="str">
        <f>IF(Faturamento!$S48&lt;&gt;"","Não emitido",IF(Faturamento!$I48="NÃO","Pendente Fatura", IF(Faturamento!$R48&lt;&gt;"","Aprovado",IF(Faturamento!$O48&lt;&gt;0,"Pendente Emissão","Processo de Calculo"))))</f>
        <v>Aprovado</v>
      </c>
      <c r="N517" s="53">
        <v>137.30000000000001</v>
      </c>
      <c r="O517" s="53">
        <v>102.98</v>
      </c>
      <c r="P517" s="52"/>
      <c r="Q517" s="52"/>
      <c r="R517" s="53">
        <v>102.98</v>
      </c>
      <c r="S517" s="37"/>
      <c r="T517" s="51" t="s">
        <v>577</v>
      </c>
      <c r="U517" s="51"/>
      <c r="V517" s="37" t="s">
        <v>568</v>
      </c>
      <c r="W517" s="53">
        <v>102.98</v>
      </c>
      <c r="X517" s="123">
        <f>IF(Faturamento!$V449="Pago",IFERROR(W517-R517,0),0)</f>
        <v>0</v>
      </c>
      <c r="Y517" s="52"/>
      <c r="Z517" s="52"/>
      <c r="AA517" s="5">
        <v>283032</v>
      </c>
      <c r="AB517" s="5">
        <v>502</v>
      </c>
      <c r="AC517" s="5" t="s">
        <v>434</v>
      </c>
      <c r="AD517" s="5" t="s">
        <v>578</v>
      </c>
      <c r="AE517" s="5">
        <v>75.459999999999994</v>
      </c>
      <c r="AG517" s="5" t="s">
        <v>579</v>
      </c>
      <c r="AH517" s="5" t="s">
        <v>441</v>
      </c>
      <c r="AI517"/>
    </row>
    <row r="518" spans="1:35" hidden="1" x14ac:dyDescent="0.3">
      <c r="A518" s="5" t="str">
        <f>VLOOKUP(B518,base!A:M,11,FALSE)</f>
        <v>MONOFÁSICO</v>
      </c>
      <c r="B518" t="s">
        <v>173</v>
      </c>
      <c r="C518" s="1" t="s">
        <v>175</v>
      </c>
      <c r="D518" s="60">
        <v>62955505084751</v>
      </c>
      <c r="E518" s="63" t="s">
        <v>433</v>
      </c>
      <c r="F518" t="s">
        <v>434</v>
      </c>
      <c r="G518" s="4">
        <v>45717</v>
      </c>
      <c r="H518" s="4" t="str">
        <f>Faturamento!$B271&amp;Faturamento!$G271</f>
        <v>10/931327-145748</v>
      </c>
      <c r="I518" t="s">
        <v>435</v>
      </c>
      <c r="J518">
        <v>123</v>
      </c>
      <c r="K518" s="3">
        <v>233.75</v>
      </c>
      <c r="L518" s="3">
        <v>199.42750000000001</v>
      </c>
      <c r="M518" s="5" t="str">
        <f>IF(Faturamento!$S271&lt;&gt;"","Não emitido",IF(Faturamento!$I271="NÃO","Pendente Fatura", IF(Faturamento!$R271&lt;&gt;"","Aprovado",IF(Faturamento!$O271&lt;&gt;0,"Pendente Emissão","Processo de Calculo"))))</f>
        <v>Aprovado</v>
      </c>
      <c r="N518" s="3">
        <v>137.29</v>
      </c>
      <c r="O518" s="3">
        <v>102.97</v>
      </c>
      <c r="P518" s="4"/>
      <c r="Q518" s="4"/>
      <c r="R518" s="3">
        <v>102.97</v>
      </c>
      <c r="S518"/>
      <c r="T518" s="51" t="s">
        <v>811</v>
      </c>
      <c r="U518" s="51"/>
      <c r="V518" t="s">
        <v>568</v>
      </c>
      <c r="W518" s="3">
        <v>102.97</v>
      </c>
      <c r="X518" s="123">
        <f>IF(Faturamento!$V448="Pago",IFERROR(W518-R518,0),0)</f>
        <v>0</v>
      </c>
      <c r="Y518" s="4"/>
      <c r="Z518" s="4"/>
      <c r="AA518" s="5"/>
      <c r="AB518" s="5"/>
      <c r="AI518"/>
    </row>
    <row r="519" spans="1:35" hidden="1" x14ac:dyDescent="0.3">
      <c r="A519" s="5" t="str">
        <f>VLOOKUP(B519,base!A:M,11,FALSE)</f>
        <v>BIFÁSICO</v>
      </c>
      <c r="B519" t="s">
        <v>202</v>
      </c>
      <c r="C519" s="1">
        <v>67999031330</v>
      </c>
      <c r="D519" s="60">
        <v>62955505017051</v>
      </c>
      <c r="E519" s="63" t="s">
        <v>433</v>
      </c>
      <c r="F519" t="s">
        <v>434</v>
      </c>
      <c r="G519" s="4">
        <v>45748</v>
      </c>
      <c r="H519" s="4" t="str">
        <f>Faturamento!$B367&amp;Faturamento!$G367</f>
        <v>10/1698130-045931</v>
      </c>
      <c r="I519" t="s">
        <v>435</v>
      </c>
      <c r="J519" s="37">
        <v>132</v>
      </c>
      <c r="K519" s="53">
        <v>212.32999999999998</v>
      </c>
      <c r="L519" s="53">
        <v>178.01749999999998</v>
      </c>
      <c r="M519" s="5" t="str">
        <f>IF(Faturamento!$S367&lt;&gt;"","Não emitido",IF(Faturamento!$I367="NÃO","Pendente Fatura", IF(Faturamento!$R367&lt;&gt;"","Aprovado",IF(Faturamento!$O367&lt;&gt;0,"Pendente Emissão","Processo de Calculo"))))</f>
        <v>Aprovado</v>
      </c>
      <c r="N519" s="3">
        <v>137.25</v>
      </c>
      <c r="O519" s="3">
        <v>102.94</v>
      </c>
      <c r="P519" s="4"/>
      <c r="Q519" s="4"/>
      <c r="R519" s="3">
        <v>102.94</v>
      </c>
      <c r="S519"/>
      <c r="T519" s="51" t="s">
        <v>867</v>
      </c>
      <c r="U519" s="51"/>
      <c r="V519" t="s">
        <v>568</v>
      </c>
      <c r="W519" s="3">
        <v>102.94</v>
      </c>
      <c r="X519" s="123">
        <f>IF(Faturamento!$V447="Pago",IFERROR(W519-R519,0),0)</f>
        <v>0</v>
      </c>
      <c r="Y519" s="4"/>
      <c r="Z519" s="4"/>
      <c r="AA519" s="5"/>
      <c r="AB519" s="5"/>
      <c r="AI519"/>
    </row>
    <row r="520" spans="1:35" hidden="1" x14ac:dyDescent="0.3">
      <c r="A520" s="5" t="str">
        <f>VLOOKUP(B520,base!A:M,11,FALSE)</f>
        <v>TRIFÁSICO</v>
      </c>
      <c r="B520" t="s">
        <v>186</v>
      </c>
      <c r="C520" s="1" t="s">
        <v>403</v>
      </c>
      <c r="D520" s="60">
        <v>62955505016160</v>
      </c>
      <c r="E520" s="63" t="s">
        <v>433</v>
      </c>
      <c r="F520" t="s">
        <v>434</v>
      </c>
      <c r="G520" s="4">
        <v>45658</v>
      </c>
      <c r="H520" s="4" t="str">
        <f>Faturamento!$B99&amp;Faturamento!$G99</f>
        <v>10/925970-645748</v>
      </c>
      <c r="I520" t="s">
        <v>435</v>
      </c>
      <c r="J520">
        <v>136</v>
      </c>
      <c r="K520" s="3">
        <v>622.14</v>
      </c>
      <c r="L520" s="3">
        <v>587.85249999999996</v>
      </c>
      <c r="M520" s="5" t="str">
        <f>IF(Faturamento!$S99&lt;&gt;"","Não emitido",IF(Faturamento!$I99="NÃO","Pendente Fatura", IF(Faturamento!$R99&lt;&gt;"","Aprovado",IF(Faturamento!$O99&lt;&gt;0,"Pendente Emissão","Processo de Calculo"))))</f>
        <v>Aprovado</v>
      </c>
      <c r="N520" s="3">
        <v>137.14999999999998</v>
      </c>
      <c r="O520" s="3">
        <v>102.86</v>
      </c>
      <c r="P520" s="4"/>
      <c r="Q520" s="4"/>
      <c r="R520" s="3">
        <v>102.86</v>
      </c>
      <c r="S520"/>
      <c r="T520" s="51" t="s">
        <v>656</v>
      </c>
      <c r="U520" s="51"/>
      <c r="V520" t="s">
        <v>568</v>
      </c>
      <c r="W520" s="3">
        <v>102.86</v>
      </c>
      <c r="X520" s="123">
        <f>IF(Faturamento!$V446="Pago",IFERROR(W520-R520,0),0)</f>
        <v>0</v>
      </c>
      <c r="Y520" s="4"/>
      <c r="Z520" s="4"/>
      <c r="AA520" s="5"/>
      <c r="AB520" s="5"/>
      <c r="AI520"/>
    </row>
    <row r="521" spans="1:35" hidden="1" x14ac:dyDescent="0.3">
      <c r="A521" s="5" t="str">
        <f>VLOOKUP(B521,base!A:M,11,FALSE)</f>
        <v>BIFÁSICO</v>
      </c>
      <c r="B521" s="37" t="s">
        <v>208</v>
      </c>
      <c r="C521" s="56">
        <v>67996711972</v>
      </c>
      <c r="D521" s="59">
        <v>62955505016594</v>
      </c>
      <c r="E521" s="37" t="s">
        <v>433</v>
      </c>
      <c r="F521" s="37" t="s">
        <v>434</v>
      </c>
      <c r="G521" s="52">
        <v>45658</v>
      </c>
      <c r="H521" s="52" t="str">
        <f>Faturamento!$B102&amp;Faturamento!$G102</f>
        <v>10/3030784-745658</v>
      </c>
      <c r="I521" s="37" t="s">
        <v>435</v>
      </c>
      <c r="J521">
        <v>136</v>
      </c>
      <c r="K521" s="3">
        <v>375.19</v>
      </c>
      <c r="L521" s="3">
        <v>340.96</v>
      </c>
      <c r="M521" s="5" t="str">
        <f>IF(Faturamento!$S102&lt;&gt;"","Não emitido",IF(Faturamento!$I102="NÃO","Pendente Fatura", IF(Faturamento!$R102&lt;&gt;"","Aprovado",IF(Faturamento!$O102&lt;&gt;0,"Pendente Emissão","Processo de Calculo"))))</f>
        <v>Aprovado</v>
      </c>
      <c r="N521" s="53">
        <v>136.92000000000002</v>
      </c>
      <c r="O521" s="53">
        <v>102.69</v>
      </c>
      <c r="P521" s="52"/>
      <c r="Q521" s="52"/>
      <c r="R521" s="53">
        <v>102.69</v>
      </c>
      <c r="S521" s="37"/>
      <c r="T521" s="51" t="s">
        <v>660</v>
      </c>
      <c r="U521" s="51"/>
      <c r="V521" s="37" t="s">
        <v>568</v>
      </c>
      <c r="W521" s="53">
        <v>102.69</v>
      </c>
      <c r="X521" s="123">
        <f>IF(Faturamento!$V440="Pago",IFERROR(W521-R521,0),0)</f>
        <v>0</v>
      </c>
      <c r="Y521" s="52"/>
      <c r="Z521" s="52"/>
      <c r="AA521" s="5"/>
      <c r="AB521" s="5"/>
      <c r="AI521"/>
    </row>
    <row r="522" spans="1:35" hidden="1" x14ac:dyDescent="0.3">
      <c r="A522" s="5" t="str">
        <f>VLOOKUP(B522,base!A:M,11,FALSE)</f>
        <v>TRIFÁSICO</v>
      </c>
      <c r="B522" t="s">
        <v>211</v>
      </c>
      <c r="C522" s="1">
        <v>67996266684</v>
      </c>
      <c r="D522" s="60">
        <v>62955505157066</v>
      </c>
      <c r="E522" s="63" t="s">
        <v>433</v>
      </c>
      <c r="F522" t="s">
        <v>434</v>
      </c>
      <c r="G522" s="4">
        <v>45658</v>
      </c>
      <c r="H522" s="4" t="str">
        <f>Faturamento!$B103&amp;Faturamento!$G103</f>
        <v>10/1081489-545931</v>
      </c>
      <c r="I522" t="s">
        <v>435</v>
      </c>
      <c r="J522">
        <v>136</v>
      </c>
      <c r="K522" s="3">
        <v>344.10999999999996</v>
      </c>
      <c r="L522" s="3">
        <v>309.88</v>
      </c>
      <c r="M522" s="5" t="str">
        <f>IF(Faturamento!$S103&lt;&gt;"","Não emitido",IF(Faturamento!$I103="NÃO","Pendente Fatura", IF(Faturamento!$R103&lt;&gt;"","Aprovado",IF(Faturamento!$O103&lt;&gt;0,"Pendente Emissão","Processo de Calculo"))))</f>
        <v>Aprovado</v>
      </c>
      <c r="N522" s="3">
        <v>136.92000000000002</v>
      </c>
      <c r="O522" s="3">
        <v>102.69</v>
      </c>
      <c r="P522" s="4"/>
      <c r="Q522" s="4"/>
      <c r="R522" s="3">
        <v>102.69</v>
      </c>
      <c r="S522"/>
      <c r="T522" s="51" t="s">
        <v>661</v>
      </c>
      <c r="U522" s="51"/>
      <c r="V522" t="s">
        <v>568</v>
      </c>
      <c r="W522" s="3">
        <v>102.69</v>
      </c>
      <c r="X522" s="123">
        <f>IF(Faturamento!$V441="Pago",IFERROR(W522-R522,0),0)</f>
        <v>0</v>
      </c>
      <c r="Y522" s="4"/>
      <c r="Z522" s="4"/>
      <c r="AA522" s="5"/>
      <c r="AB522" s="5"/>
      <c r="AI522"/>
    </row>
    <row r="523" spans="1:35" hidden="1" x14ac:dyDescent="0.3">
      <c r="A523" s="5" t="str">
        <f>VLOOKUP(B523,base!A:M,11,FALSE)</f>
        <v>BIFÁSICO</v>
      </c>
      <c r="B523" s="37" t="s">
        <v>250</v>
      </c>
      <c r="C523" s="56">
        <v>65999839279</v>
      </c>
      <c r="D523" s="59">
        <v>62955505015512</v>
      </c>
      <c r="E523" s="37" t="s">
        <v>433</v>
      </c>
      <c r="F523" s="37" t="s">
        <v>434</v>
      </c>
      <c r="G523" s="52">
        <v>45658</v>
      </c>
      <c r="H523" s="52" t="str">
        <f>Faturamento!$B110&amp;Faturamento!$G110</f>
        <v>10/399338-345931</v>
      </c>
      <c r="I523" s="37" t="s">
        <v>435</v>
      </c>
      <c r="J523">
        <v>136</v>
      </c>
      <c r="K523" s="3">
        <v>338.53000000000003</v>
      </c>
      <c r="L523" s="3">
        <v>304.3</v>
      </c>
      <c r="M523" s="5" t="str">
        <f>IF(Faturamento!$S110&lt;&gt;"","Não emitido",IF(Faturamento!$I110="NÃO","Pendente Fatura", IF(Faturamento!$R110&lt;&gt;"","Aprovado",IF(Faturamento!$O110&lt;&gt;0,"Pendente Emissão","Processo de Calculo"))))</f>
        <v>Aprovado</v>
      </c>
      <c r="N523" s="53">
        <v>136.92000000000002</v>
      </c>
      <c r="O523" s="53">
        <v>102.69</v>
      </c>
      <c r="P523" s="52"/>
      <c r="Q523" s="52"/>
      <c r="R523" s="53">
        <v>102.69</v>
      </c>
      <c r="S523" s="37"/>
      <c r="T523" s="51" t="s">
        <v>668</v>
      </c>
      <c r="U523" s="51"/>
      <c r="V523" s="37" t="s">
        <v>568</v>
      </c>
      <c r="W523" s="53">
        <v>102.69</v>
      </c>
      <c r="X523" s="123">
        <f>IF(Faturamento!$V442="Pago",IFERROR(W523-R523,0),0)</f>
        <v>0</v>
      </c>
      <c r="Y523" s="52"/>
      <c r="Z523" s="52"/>
      <c r="AA523" s="5"/>
      <c r="AB523" s="5"/>
      <c r="AI523"/>
    </row>
    <row r="524" spans="1:35" hidden="1" x14ac:dyDescent="0.3">
      <c r="A524" s="5" t="str">
        <f>VLOOKUP(B524,base!A:M,11,FALSE)</f>
        <v>TRIFÁSICO</v>
      </c>
      <c r="B524" s="37" t="s">
        <v>283</v>
      </c>
      <c r="C524" s="56">
        <v>6796411024</v>
      </c>
      <c r="D524" s="59">
        <v>62955505182257</v>
      </c>
      <c r="E524" s="37" t="s">
        <v>433</v>
      </c>
      <c r="F524" s="37" t="s">
        <v>434</v>
      </c>
      <c r="G524" s="52">
        <v>45658</v>
      </c>
      <c r="H524" s="52" t="str">
        <f>Faturamento!$B120&amp;Faturamento!$G120</f>
        <v>10/29964-445870</v>
      </c>
      <c r="I524" s="37" t="s">
        <v>435</v>
      </c>
      <c r="J524">
        <v>136</v>
      </c>
      <c r="K524" s="3">
        <v>469.84</v>
      </c>
      <c r="L524" s="3">
        <v>435.60999999999996</v>
      </c>
      <c r="M524" s="5" t="str">
        <f>IF(Faturamento!$S120&lt;&gt;"","Não emitido",IF(Faturamento!$I120="NÃO","Pendente Fatura", IF(Faturamento!$R120&lt;&gt;"","Aprovado",IF(Faturamento!$O120&lt;&gt;0,"Pendente Emissão","Processo de Calculo"))))</f>
        <v>Aprovado</v>
      </c>
      <c r="N524" s="53">
        <v>136.92000000000002</v>
      </c>
      <c r="O524" s="53">
        <v>102.69</v>
      </c>
      <c r="P524" s="52"/>
      <c r="Q524" s="52"/>
      <c r="R524" s="53">
        <v>102.69</v>
      </c>
      <c r="S524" s="37"/>
      <c r="T524" s="51" t="s">
        <v>678</v>
      </c>
      <c r="U524" s="51"/>
      <c r="V524" s="37" t="s">
        <v>568</v>
      </c>
      <c r="W524" s="53">
        <v>102.69</v>
      </c>
      <c r="X524" s="123">
        <f>IF(Faturamento!$V443="Pago",IFERROR(W524-R524,0),0)</f>
        <v>0</v>
      </c>
      <c r="Y524" s="52"/>
      <c r="Z524" s="52"/>
      <c r="AA524" s="5"/>
      <c r="AB524" s="5"/>
      <c r="AI524"/>
    </row>
    <row r="525" spans="1:35" hidden="1" x14ac:dyDescent="0.3">
      <c r="A525" s="5" t="str">
        <f>VLOOKUP(B525,base!A:M,11,FALSE)</f>
        <v>TRIFÁSICO</v>
      </c>
      <c r="B525" s="37" t="s">
        <v>320</v>
      </c>
      <c r="C525" s="56">
        <v>67981263396</v>
      </c>
      <c r="D525" s="59">
        <v>62955505135500</v>
      </c>
      <c r="E525" s="37" t="s">
        <v>433</v>
      </c>
      <c r="F525" s="37" t="s">
        <v>434</v>
      </c>
      <c r="G525" s="52">
        <v>45658</v>
      </c>
      <c r="H525" s="52" t="str">
        <f>Faturamento!$B128&amp;Faturamento!$G128</f>
        <v>10/18015-845839</v>
      </c>
      <c r="I525" s="37" t="s">
        <v>435</v>
      </c>
      <c r="J525">
        <v>136</v>
      </c>
      <c r="K525" s="3">
        <v>497.87000000000006</v>
      </c>
      <c r="L525" s="3">
        <v>463.64000000000004</v>
      </c>
      <c r="M525" s="5" t="str">
        <f>IF(Faturamento!$S128&lt;&gt;"","Não emitido",IF(Faturamento!$I128="NÃO","Pendente Fatura", IF(Faturamento!$R128&lt;&gt;"","Aprovado",IF(Faturamento!$O128&lt;&gt;0,"Pendente Emissão","Processo de Calculo"))))</f>
        <v>Aprovado</v>
      </c>
      <c r="N525" s="53">
        <v>136.92000000000002</v>
      </c>
      <c r="O525" s="53">
        <v>102.69</v>
      </c>
      <c r="P525" s="52"/>
      <c r="Q525" s="52"/>
      <c r="R525" s="53">
        <v>102.69</v>
      </c>
      <c r="S525" s="37"/>
      <c r="T525" s="51" t="s">
        <v>686</v>
      </c>
      <c r="U525" s="51"/>
      <c r="V525" s="37" t="s">
        <v>568</v>
      </c>
      <c r="W525" s="53">
        <v>102.69</v>
      </c>
      <c r="X525" s="123">
        <f>IF(Faturamento!$V444="Pago",IFERROR(W525-R525,0),0)</f>
        <v>0</v>
      </c>
      <c r="Y525" s="52"/>
      <c r="Z525" s="52"/>
      <c r="AA525" s="5"/>
      <c r="AB525" s="5"/>
      <c r="AI525"/>
    </row>
    <row r="526" spans="1:35" hidden="1" x14ac:dyDescent="0.3">
      <c r="A526" s="5" t="str">
        <f>VLOOKUP(B526,base!A:M,11,FALSE)</f>
        <v>TRIFÁSICO</v>
      </c>
      <c r="B526" s="37" t="s">
        <v>330</v>
      </c>
      <c r="C526" s="56" t="s">
        <v>332</v>
      </c>
      <c r="D526" s="59">
        <v>62955505016837</v>
      </c>
      <c r="E526" s="37" t="s">
        <v>433</v>
      </c>
      <c r="F526" s="37" t="s">
        <v>434</v>
      </c>
      <c r="G526" s="52">
        <v>45658</v>
      </c>
      <c r="H526" s="52" t="str">
        <f>Faturamento!$B132&amp;Faturamento!$G132</f>
        <v>10/2599101-945809</v>
      </c>
      <c r="I526" s="37" t="s">
        <v>435</v>
      </c>
      <c r="J526">
        <v>136</v>
      </c>
      <c r="K526" s="3">
        <v>434.29</v>
      </c>
      <c r="L526" s="3">
        <v>400.06</v>
      </c>
      <c r="M526" s="5" t="str">
        <f>IF(Faturamento!$S132&lt;&gt;"","Não emitido",IF(Faturamento!$I132="NÃO","Pendente Fatura", IF(Faturamento!$R132&lt;&gt;"","Aprovado",IF(Faturamento!$O132&lt;&gt;0,"Pendente Emissão","Processo de Calculo"))))</f>
        <v>Aprovado</v>
      </c>
      <c r="N526" s="53">
        <v>136.92000000000002</v>
      </c>
      <c r="O526" s="53">
        <v>102.69</v>
      </c>
      <c r="P526" s="52"/>
      <c r="Q526" s="52"/>
      <c r="R526" s="53">
        <v>102.69</v>
      </c>
      <c r="S526" s="37"/>
      <c r="T526" s="51" t="s">
        <v>689</v>
      </c>
      <c r="U526" s="51"/>
      <c r="V526" s="37" t="s">
        <v>568</v>
      </c>
      <c r="W526" s="53">
        <v>102.69</v>
      </c>
      <c r="X526" s="123">
        <f>IF(Faturamento!$V445="Pago",IFERROR(W526-R526,0),0)</f>
        <v>0</v>
      </c>
      <c r="Y526" s="52"/>
      <c r="Z526" s="52"/>
      <c r="AA526" s="5"/>
      <c r="AB526" s="5"/>
      <c r="AI526"/>
    </row>
    <row r="527" spans="1:35" hidden="1" x14ac:dyDescent="0.3">
      <c r="A527" s="5" t="str">
        <f>VLOOKUP(B527,base!A:M,11,FALSE)</f>
        <v>BIFÁSICO</v>
      </c>
      <c r="B527" t="s">
        <v>257</v>
      </c>
      <c r="C527" s="1">
        <v>67993249456</v>
      </c>
      <c r="D527" s="60">
        <v>62955505239119</v>
      </c>
      <c r="E527" s="63" t="s">
        <v>433</v>
      </c>
      <c r="F527" t="s">
        <v>434</v>
      </c>
      <c r="G527" s="4">
        <v>45658</v>
      </c>
      <c r="H527" s="4" t="str">
        <f>Faturamento!$B113&amp;Faturamento!$G113</f>
        <v>10/276283-945717</v>
      </c>
      <c r="I527" t="s">
        <v>435</v>
      </c>
      <c r="J527">
        <v>136</v>
      </c>
      <c r="K527" s="3">
        <v>310.32</v>
      </c>
      <c r="L527" s="3">
        <v>276.14499999999998</v>
      </c>
      <c r="M527" s="5" t="str">
        <f>IF(Faturamento!$S113&lt;&gt;"","Não emitido",IF(Faturamento!$I113="NÃO","Pendente Fatura", IF(Faturamento!$R113&lt;&gt;"","Aprovado",IF(Faturamento!$O113&lt;&gt;0,"Pendente Emissão","Processo de Calculo"))))</f>
        <v>Aprovado</v>
      </c>
      <c r="N527" s="3">
        <v>136.69999999999999</v>
      </c>
      <c r="O527" s="3">
        <v>102.53</v>
      </c>
      <c r="P527" s="4"/>
      <c r="Q527" s="4"/>
      <c r="R527" s="3">
        <v>102.53</v>
      </c>
      <c r="S527"/>
      <c r="T527" s="51" t="s">
        <v>671</v>
      </c>
      <c r="U527" s="51"/>
      <c r="V527" t="s">
        <v>568</v>
      </c>
      <c r="W527" s="3">
        <v>102.53</v>
      </c>
      <c r="X527" s="123">
        <f>IF(Faturamento!$V438="Pago",IFERROR(W527-R527,0),0)</f>
        <v>0</v>
      </c>
      <c r="Y527" s="4"/>
      <c r="Z527" s="4"/>
      <c r="AA527" s="5"/>
      <c r="AB527" s="5"/>
      <c r="AI527"/>
    </row>
    <row r="528" spans="1:35" hidden="1" x14ac:dyDescent="0.3">
      <c r="A528" s="5" t="str">
        <f>VLOOKUP(B528,base!A:M,11,FALSE)</f>
        <v>TRIFÁSICO</v>
      </c>
      <c r="B528" s="37" t="s">
        <v>324</v>
      </c>
      <c r="C528" s="56">
        <v>67996071169</v>
      </c>
      <c r="D528" s="59">
        <v>62955505136492</v>
      </c>
      <c r="E528" s="37" t="s">
        <v>433</v>
      </c>
      <c r="F528" s="37" t="s">
        <v>434</v>
      </c>
      <c r="G528" s="52">
        <v>45658</v>
      </c>
      <c r="H528" s="52" t="str">
        <f>Faturamento!$B130&amp;Faturamento!$G130</f>
        <v>10/191945-545870</v>
      </c>
      <c r="I528" s="37" t="s">
        <v>435</v>
      </c>
      <c r="J528">
        <v>136</v>
      </c>
      <c r="K528" s="3">
        <v>411.92</v>
      </c>
      <c r="L528" s="3">
        <v>377.745</v>
      </c>
      <c r="M528" s="5" t="str">
        <f>IF(Faturamento!$S130&lt;&gt;"","Não emitido",IF(Faturamento!$I130="NÃO","Pendente Fatura", IF(Faturamento!$R130&lt;&gt;"","Aprovado",IF(Faturamento!$O130&lt;&gt;0,"Pendente Emissão","Processo de Calculo"))))</f>
        <v>Aprovado</v>
      </c>
      <c r="N528" s="53">
        <v>136.69999999999999</v>
      </c>
      <c r="O528" s="53">
        <v>102.53</v>
      </c>
      <c r="P528" s="52"/>
      <c r="Q528" s="52"/>
      <c r="R528" s="53">
        <v>102.53</v>
      </c>
      <c r="S528" s="37"/>
      <c r="T528" s="51" t="s">
        <v>687</v>
      </c>
      <c r="U528" s="51"/>
      <c r="V528" s="37" t="s">
        <v>568</v>
      </c>
      <c r="W528" s="53">
        <v>102.53</v>
      </c>
      <c r="X528" s="123">
        <f>IF(Faturamento!$V439="Pago",IFERROR(W528-R528,0),0)</f>
        <v>0</v>
      </c>
      <c r="Y528" s="52"/>
      <c r="Z528" s="52"/>
      <c r="AA528" s="5"/>
      <c r="AB528" s="5"/>
      <c r="AI528"/>
    </row>
    <row r="529" spans="1:35" hidden="1" x14ac:dyDescent="0.3">
      <c r="A529" s="5" t="str">
        <f>VLOOKUP(B529,base!A:M,11,FALSE)</f>
        <v>BIFÁSICO</v>
      </c>
      <c r="B529" s="37" t="s">
        <v>158</v>
      </c>
      <c r="C529" s="56">
        <v>67996266684</v>
      </c>
      <c r="D529" s="59">
        <v>62955505197521</v>
      </c>
      <c r="E529" s="37" t="s">
        <v>433</v>
      </c>
      <c r="F529" s="37" t="s">
        <v>434</v>
      </c>
      <c r="G529" s="52">
        <v>45658</v>
      </c>
      <c r="H529" s="52" t="str">
        <f>Faturamento!$B96&amp;Faturamento!$G96</f>
        <v>10/1695011-545870</v>
      </c>
      <c r="I529" s="37" t="s">
        <v>435</v>
      </c>
      <c r="J529">
        <v>136</v>
      </c>
      <c r="K529" s="3">
        <v>351.62</v>
      </c>
      <c r="L529" s="3">
        <v>317.72249999999997</v>
      </c>
      <c r="M529" s="5" t="str">
        <f>IF(Faturamento!$S96&lt;&gt;"","Não emitido",IF(Faturamento!$I96="NÃO","Pendente Fatura", IF(Faturamento!$R96&lt;&gt;"","Aprovado",IF(Faturamento!$O96&lt;&gt;0,"Pendente Emissão","Processo de Calculo"))))</f>
        <v>Aprovado</v>
      </c>
      <c r="N529" s="53">
        <v>135.59</v>
      </c>
      <c r="O529" s="53">
        <v>101.69</v>
      </c>
      <c r="P529" s="52"/>
      <c r="Q529" s="52"/>
      <c r="R529" s="53">
        <v>101.69</v>
      </c>
      <c r="S529" s="37"/>
      <c r="T529" s="51" t="s">
        <v>653</v>
      </c>
      <c r="U529" s="51"/>
      <c r="V529" s="37" t="s">
        <v>568</v>
      </c>
      <c r="W529" s="53">
        <v>101.69</v>
      </c>
      <c r="X529" s="123">
        <f>IF(Faturamento!$V437="Pago",IFERROR(W529-R529,0),0)</f>
        <v>0</v>
      </c>
      <c r="Y529" s="52"/>
      <c r="Z529" s="52"/>
      <c r="AA529" s="5"/>
      <c r="AB529" s="5"/>
      <c r="AI529"/>
    </row>
    <row r="530" spans="1:35" hidden="1" x14ac:dyDescent="0.3">
      <c r="A530" s="5" t="str">
        <f>VLOOKUP(B530,base!A:M,11,FALSE)</f>
        <v>TRIFÁSICO</v>
      </c>
      <c r="B530" s="37" t="s">
        <v>264</v>
      </c>
      <c r="C530" s="56">
        <v>67992876000</v>
      </c>
      <c r="D530" s="59">
        <v>62955505248886</v>
      </c>
      <c r="E530" s="37" t="s">
        <v>433</v>
      </c>
      <c r="F530" s="37" t="s">
        <v>434</v>
      </c>
      <c r="G530" s="52">
        <v>45658</v>
      </c>
      <c r="H530" s="52" t="str">
        <f>Faturamento!$B114&amp;Faturamento!$G114</f>
        <v>10/399338-345748</v>
      </c>
      <c r="I530" s="37" t="s">
        <v>435</v>
      </c>
      <c r="J530">
        <v>136</v>
      </c>
      <c r="K530" s="3">
        <v>504.55</v>
      </c>
      <c r="L530" s="3">
        <v>470.65250000000003</v>
      </c>
      <c r="M530" s="5" t="str">
        <f>IF(Faturamento!$S114&lt;&gt;"","Não emitido",IF(Faturamento!$I114="NÃO","Pendente Fatura", IF(Faturamento!$R114&lt;&gt;"","Aprovado",IF(Faturamento!$O114&lt;&gt;0,"Pendente Emissão","Processo de Calculo"))))</f>
        <v>Aprovado</v>
      </c>
      <c r="N530" s="53">
        <v>135.59</v>
      </c>
      <c r="O530" s="53">
        <v>101.69</v>
      </c>
      <c r="P530" s="52"/>
      <c r="Q530" s="52"/>
      <c r="R530" s="53">
        <v>101.69</v>
      </c>
      <c r="S530" s="37"/>
      <c r="T530" s="51" t="s">
        <v>672</v>
      </c>
      <c r="U530" s="51"/>
      <c r="V530" s="37" t="s">
        <v>568</v>
      </c>
      <c r="W530" s="53">
        <v>135.59</v>
      </c>
      <c r="X530" s="123">
        <f>IF(Faturamento!$V511="Pago",IFERROR(W530-R530,0),0)</f>
        <v>33.900000000000006</v>
      </c>
      <c r="Y530" s="52">
        <v>45929</v>
      </c>
      <c r="Z530" s="52"/>
      <c r="AA530" s="5"/>
      <c r="AB530" s="5"/>
      <c r="AI530"/>
    </row>
    <row r="531" spans="1:35" hidden="1" x14ac:dyDescent="0.3">
      <c r="A531" s="5" t="str">
        <f>VLOOKUP(B531,base!A:M,11,FALSE)</f>
        <v>TRIFÁSICO</v>
      </c>
      <c r="B531" t="s">
        <v>177</v>
      </c>
      <c r="C531" s="1">
        <v>0</v>
      </c>
      <c r="D531" s="60">
        <v>62955505015350</v>
      </c>
      <c r="E531" s="63" t="s">
        <v>433</v>
      </c>
      <c r="F531" t="s">
        <v>434</v>
      </c>
      <c r="G531" s="4">
        <v>45901</v>
      </c>
      <c r="H531" s="4" t="str">
        <f>Faturamento!$B831&amp;Faturamento!$G831</f>
        <v>10/3054052-045658</v>
      </c>
      <c r="I531" t="s">
        <v>435</v>
      </c>
      <c r="J531">
        <v>115</v>
      </c>
      <c r="K531" s="3">
        <v>310.14249999999998</v>
      </c>
      <c r="L531" s="3">
        <v>272.82811693086552</v>
      </c>
      <c r="M531" s="5" t="s">
        <v>1489</v>
      </c>
      <c r="N531" s="3">
        <v>138.93249999999998</v>
      </c>
      <c r="O531" s="3">
        <v>101.62</v>
      </c>
      <c r="P531" s="4">
        <v>45933</v>
      </c>
      <c r="Q531" s="4">
        <v>45943</v>
      </c>
      <c r="R531" s="3">
        <f>O531</f>
        <v>101.62</v>
      </c>
      <c r="S531"/>
      <c r="T531" s="51" t="s">
        <v>1546</v>
      </c>
      <c r="U531" s="51" t="s">
        <v>1547</v>
      </c>
      <c r="V531" t="s">
        <v>568</v>
      </c>
      <c r="W531" s="3">
        <f>R531</f>
        <v>101.62</v>
      </c>
      <c r="X531" s="123">
        <f>IF(Faturamento!$V436="Pago",IFERROR(W531-R531,0),0)</f>
        <v>0</v>
      </c>
      <c r="Y531" s="4"/>
      <c r="Z531" s="4"/>
      <c r="AA531" s="5"/>
      <c r="AB531" s="5"/>
      <c r="AI531"/>
    </row>
    <row r="532" spans="1:35" hidden="1" x14ac:dyDescent="0.3">
      <c r="A532" s="5" t="str">
        <f>VLOOKUP(B532,base!A:M,11,FALSE)</f>
        <v>TRIFÁSICO</v>
      </c>
      <c r="B532" t="s">
        <v>307</v>
      </c>
      <c r="C532" s="1">
        <v>67996983476</v>
      </c>
      <c r="D532" s="60">
        <v>62955505182257</v>
      </c>
      <c r="E532" s="63" t="s">
        <v>433</v>
      </c>
      <c r="F532" t="s">
        <v>434</v>
      </c>
      <c r="G532" s="4">
        <v>45658</v>
      </c>
      <c r="H532" s="4" t="str">
        <f>Faturamento!$B125&amp;Faturamento!$G125</f>
        <v>10/532723-445717</v>
      </c>
      <c r="I532" t="s">
        <v>435</v>
      </c>
      <c r="J532">
        <v>136</v>
      </c>
      <c r="K532" s="3">
        <v>469.41999999999996</v>
      </c>
      <c r="L532" s="3">
        <v>435.57749999999999</v>
      </c>
      <c r="M532" s="5" t="str">
        <f>IF(Faturamento!$S125&lt;&gt;"","Não emitido",IF(Faturamento!$I125="NÃO","Pendente Fatura", IF(Faturamento!$R125&lt;&gt;"","Aprovado",IF(Faturamento!$O125&lt;&gt;0,"Pendente Emissão","Processo de Calculo"))))</f>
        <v>Aprovado</v>
      </c>
      <c r="N532" s="3">
        <v>135.37</v>
      </c>
      <c r="O532" s="3">
        <v>101.53</v>
      </c>
      <c r="P532" s="4"/>
      <c r="Q532" s="4"/>
      <c r="R532" s="3">
        <v>101.53</v>
      </c>
      <c r="S532"/>
      <c r="T532" s="51" t="s">
        <v>683</v>
      </c>
      <c r="U532" s="51"/>
      <c r="V532" t="s">
        <v>568</v>
      </c>
      <c r="W532" s="3">
        <v>101.53</v>
      </c>
      <c r="X532" s="123">
        <f>IF(Faturamento!$V435="Pago",IFERROR(W532-R532,0),0)</f>
        <v>0</v>
      </c>
      <c r="Y532" s="4"/>
      <c r="Z532" s="4"/>
      <c r="AA532" s="5"/>
      <c r="AB532" s="5"/>
      <c r="AI532"/>
    </row>
    <row r="533" spans="1:35" hidden="1" x14ac:dyDescent="0.3">
      <c r="A533" s="5" t="str">
        <f>VLOOKUP(B533,base!A:M,11,FALSE)</f>
        <v>TRIFÁSICO</v>
      </c>
      <c r="B533" s="37" t="s">
        <v>264</v>
      </c>
      <c r="C533" s="56">
        <v>0</v>
      </c>
      <c r="D533" s="59">
        <v>62955505248886</v>
      </c>
      <c r="E533" s="37" t="s">
        <v>433</v>
      </c>
      <c r="F533" s="37" t="s">
        <v>434</v>
      </c>
      <c r="G533" s="52">
        <v>45870</v>
      </c>
      <c r="H533" s="52" t="str">
        <f>Faturamento!$B792&amp;Faturamento!$G792</f>
        <v>10/1672452-845627</v>
      </c>
      <c r="I533" s="37" t="s">
        <v>435</v>
      </c>
      <c r="J533">
        <v>128</v>
      </c>
      <c r="K533" s="3">
        <v>246.12696202531649</v>
      </c>
      <c r="L533" s="3">
        <v>216.6035799199563</v>
      </c>
      <c r="M533" s="5" t="s">
        <v>1489</v>
      </c>
      <c r="N533" s="53">
        <v>130.65696202531649</v>
      </c>
      <c r="O533" s="53">
        <v>101.13</v>
      </c>
      <c r="P533" s="52">
        <v>45910</v>
      </c>
      <c r="Q533" s="52">
        <v>45920</v>
      </c>
      <c r="R533" s="53">
        <v>101.13</v>
      </c>
      <c r="S533" s="37"/>
      <c r="T533" s="51" t="s">
        <v>1477</v>
      </c>
      <c r="U533" s="51" t="s">
        <v>1478</v>
      </c>
      <c r="V533" s="37" t="s">
        <v>568</v>
      </c>
      <c r="W533" s="53">
        <v>130.66</v>
      </c>
      <c r="X533" s="123">
        <f>IF(Faturamento!$V509="Pago",IFERROR(W533-R533,0),0)</f>
        <v>29.53</v>
      </c>
      <c r="Y533" s="52">
        <v>45946</v>
      </c>
      <c r="Z533" s="52"/>
      <c r="AA533" s="5"/>
      <c r="AB533" s="5"/>
      <c r="AI533"/>
    </row>
    <row r="534" spans="1:35" hidden="1" x14ac:dyDescent="0.3">
      <c r="A534" s="5" t="str">
        <f>VLOOKUP(B534,base!A:M,11,FALSE)</f>
        <v>BIFÁSICO</v>
      </c>
      <c r="B534" t="s">
        <v>153</v>
      </c>
      <c r="C534" s="1" t="s">
        <v>154</v>
      </c>
      <c r="D534" s="60">
        <v>62955505405140</v>
      </c>
      <c r="E534" s="63" t="s">
        <v>433</v>
      </c>
      <c r="F534" t="s">
        <v>434</v>
      </c>
      <c r="G534" s="4">
        <v>45658</v>
      </c>
      <c r="H534" s="4" t="str">
        <f>Faturamento!$B95&amp;Faturamento!$G95</f>
        <v>10/202838-945870</v>
      </c>
      <c r="I534" t="s">
        <v>435</v>
      </c>
      <c r="J534">
        <v>136</v>
      </c>
      <c r="K534" s="3">
        <v>345.72</v>
      </c>
      <c r="L534" s="3">
        <v>312.02749999999997</v>
      </c>
      <c r="M534" s="5" t="str">
        <f>IF(Faturamento!$S95&lt;&gt;"","Não emitido",IF(Faturamento!$I95="NÃO","Pendente Fatura", IF(Faturamento!$R95&lt;&gt;"","Aprovado",IF(Faturamento!$O95&lt;&gt;0,"Pendente Emissão","Processo de Calculo"))))</f>
        <v>Aprovado</v>
      </c>
      <c r="N534" s="3">
        <v>134.77000000000001</v>
      </c>
      <c r="O534" s="3">
        <v>101.08</v>
      </c>
      <c r="P534" s="4"/>
      <c r="Q534" s="4"/>
      <c r="R534" s="3">
        <v>101.08</v>
      </c>
      <c r="S534"/>
      <c r="T534" s="51" t="s">
        <v>652</v>
      </c>
      <c r="U534" s="51"/>
      <c r="V534" t="s">
        <v>568</v>
      </c>
      <c r="W534" s="3">
        <v>101.08</v>
      </c>
      <c r="X534" s="123">
        <f>IF(Faturamento!$V434="Pago",IFERROR(W534-R534,0),0)</f>
        <v>0</v>
      </c>
      <c r="Y534" s="4"/>
      <c r="Z534" s="4"/>
      <c r="AA534" s="5"/>
      <c r="AB534" s="5"/>
      <c r="AI534"/>
    </row>
    <row r="535" spans="1:35" hidden="1" x14ac:dyDescent="0.3">
      <c r="A535" s="5" t="str">
        <f>VLOOKUP(B535,base!A:M,11,FALSE)</f>
        <v>BIFÁSICO</v>
      </c>
      <c r="B535" t="s">
        <v>240</v>
      </c>
      <c r="C535" s="1">
        <v>67996135721</v>
      </c>
      <c r="D535" s="60">
        <v>62955505015431</v>
      </c>
      <c r="E535" s="63" t="s">
        <v>433</v>
      </c>
      <c r="F535" t="s">
        <v>434</v>
      </c>
      <c r="G535" s="4">
        <v>45658</v>
      </c>
      <c r="H535" s="4" t="str">
        <f>Faturamento!$B107&amp;Faturamento!$G107</f>
        <v>10/532081-745717</v>
      </c>
      <c r="I535" t="s">
        <v>435</v>
      </c>
      <c r="J535">
        <v>136</v>
      </c>
      <c r="K535" s="3">
        <v>227.61999999999998</v>
      </c>
      <c r="L535" s="3">
        <v>194.07</v>
      </c>
      <c r="M535" s="5" t="str">
        <f>IF(Faturamento!$S107&lt;&gt;"","Não emitido",IF(Faturamento!$I107="NÃO","Pendente Fatura", IF(Faturamento!$R107&lt;&gt;"","Aprovado",IF(Faturamento!$O107&lt;&gt;0,"Pendente Emissão","Processo de Calculo"))))</f>
        <v>Aprovado</v>
      </c>
      <c r="N535" s="3">
        <v>134.19999999999999</v>
      </c>
      <c r="O535" s="3">
        <v>100.65</v>
      </c>
      <c r="P535" s="4"/>
      <c r="Q535" s="4"/>
      <c r="R535" s="3">
        <v>100.65</v>
      </c>
      <c r="S535"/>
      <c r="T535" s="51" t="s">
        <v>665</v>
      </c>
      <c r="U535" s="51"/>
      <c r="V535" t="s">
        <v>568</v>
      </c>
      <c r="W535" s="3">
        <v>100.65</v>
      </c>
      <c r="X535" s="123">
        <f>IF(Faturamento!$V433="Pago",IFERROR(W535-R535,0),0)</f>
        <v>0</v>
      </c>
      <c r="Y535" s="4"/>
      <c r="Z535" s="4"/>
      <c r="AA535" s="5"/>
      <c r="AB535" s="5"/>
      <c r="AI535"/>
    </row>
    <row r="536" spans="1:35" hidden="1" x14ac:dyDescent="0.3">
      <c r="A536" s="5" t="str">
        <f>VLOOKUP(B536,base!A:M,11,FALSE)</f>
        <v>TRIFÁSICO</v>
      </c>
      <c r="B536" s="37" t="s">
        <v>350</v>
      </c>
      <c r="C536" s="56">
        <v>0</v>
      </c>
      <c r="D536" s="59">
        <v>62955505015512</v>
      </c>
      <c r="E536" s="37" t="s">
        <v>433</v>
      </c>
      <c r="F536" s="37" t="s">
        <v>434</v>
      </c>
      <c r="G536" s="52">
        <v>45870</v>
      </c>
      <c r="H536" s="52" t="str">
        <f>Faturamento!$B752&amp;Faturamento!$G752</f>
        <v>10/1117293-945809</v>
      </c>
      <c r="I536" s="37" t="s">
        <v>435</v>
      </c>
      <c r="J536">
        <v>112</v>
      </c>
      <c r="K536" s="3">
        <v>303.19319999999999</v>
      </c>
      <c r="L536" s="3">
        <v>273.82206185786345</v>
      </c>
      <c r="M536" s="5" t="str">
        <f>IF(Faturamento!$S752&lt;&gt;"","Não emitido",IF(Faturamento!$I752="NÃO","Pendente Fatura", IF(Faturamento!$R752&lt;&gt;"","Aprovado",IF(Faturamento!$O752&lt;&gt;0,"Pendente Emissão","Processo de Calculo"))))</f>
        <v>Aprovado</v>
      </c>
      <c r="N536" s="53">
        <v>129.98320000000001</v>
      </c>
      <c r="O536" s="53">
        <v>100.61</v>
      </c>
      <c r="P536" s="52">
        <v>45910</v>
      </c>
      <c r="Q536" s="52">
        <v>45920</v>
      </c>
      <c r="R536" s="53">
        <v>100.61</v>
      </c>
      <c r="S536" s="37"/>
      <c r="T536" s="51" t="s">
        <v>1401</v>
      </c>
      <c r="U536" s="51" t="s">
        <v>1402</v>
      </c>
      <c r="V536" s="37" t="s">
        <v>568</v>
      </c>
      <c r="W536" s="53">
        <v>100.61</v>
      </c>
      <c r="X536" s="123">
        <f>IF(Faturamento!$V432="Pago",IFERROR(W536-R536,0),0)</f>
        <v>0</v>
      </c>
      <c r="Y536" s="52"/>
      <c r="Z536" s="52"/>
      <c r="AA536" s="5"/>
      <c r="AB536" s="5"/>
      <c r="AI536"/>
    </row>
    <row r="537" spans="1:35" hidden="1" x14ac:dyDescent="0.3">
      <c r="A537" s="5" t="str">
        <f>VLOOKUP(B537,base!A:M,11,FALSE)</f>
        <v>TRIFÁSICO</v>
      </c>
      <c r="B537" s="37" t="s">
        <v>307</v>
      </c>
      <c r="C537" s="56">
        <v>67996983476</v>
      </c>
      <c r="D537" s="59">
        <v>62955505182257</v>
      </c>
      <c r="E537" s="37" t="s">
        <v>433</v>
      </c>
      <c r="F537" s="37" t="s">
        <v>434</v>
      </c>
      <c r="G537" s="52">
        <v>45778</v>
      </c>
      <c r="H537" s="52" t="str">
        <f>Faturamento!$B512&amp;Faturamento!$G512</f>
        <v>10/81222-245839</v>
      </c>
      <c r="I537" s="37" t="s">
        <v>435</v>
      </c>
      <c r="J537">
        <v>137</v>
      </c>
      <c r="K537" s="3">
        <v>313.29881578947374</v>
      </c>
      <c r="L537" s="3">
        <v>279.77661184210535</v>
      </c>
      <c r="M537" s="5" t="str">
        <f>IF(Faturamento!$S512&lt;&gt;"","Não emitido",IF(Faturamento!$I512="NÃO","Pendente Fatura", IF(Faturamento!$R512&lt;&gt;"","Aprovado",IF(Faturamento!$O512&lt;&gt;0,"Pendente Emissão","Processo de Calculo"))))</f>
        <v>Aprovado</v>
      </c>
      <c r="N537" s="53">
        <v>134.08881578947364</v>
      </c>
      <c r="O537" s="53">
        <v>100.57</v>
      </c>
      <c r="P537" s="52"/>
      <c r="Q537" s="52"/>
      <c r="R537" s="53">
        <v>100.57</v>
      </c>
      <c r="S537" s="37"/>
      <c r="T537" s="51" t="s">
        <v>998</v>
      </c>
      <c r="U537" s="51"/>
      <c r="V537" s="37" t="s">
        <v>568</v>
      </c>
      <c r="W537" s="53">
        <v>100.57</v>
      </c>
      <c r="X537" s="123">
        <f>IF(Faturamento!$V431="Pago",IFERROR(W537-R537,0),0)</f>
        <v>0</v>
      </c>
      <c r="Y537" s="52"/>
      <c r="Z537" s="52"/>
      <c r="AA537" s="5"/>
      <c r="AB537" s="5"/>
      <c r="AI537"/>
    </row>
    <row r="538" spans="1:35" hidden="1" x14ac:dyDescent="0.3">
      <c r="A538" s="5" t="str">
        <f>VLOOKUP(B538,base!A:M,11,FALSE)</f>
        <v>TRIFÁSICO</v>
      </c>
      <c r="B538" s="37" t="s">
        <v>196</v>
      </c>
      <c r="C538" s="56" t="s">
        <v>175</v>
      </c>
      <c r="D538" s="59">
        <v>62955505215791</v>
      </c>
      <c r="E538" s="37" t="s">
        <v>433</v>
      </c>
      <c r="F538" s="37" t="s">
        <v>434</v>
      </c>
      <c r="G538" s="52">
        <v>45717</v>
      </c>
      <c r="H538" s="52" t="str">
        <f>Faturamento!$B244&amp;Faturamento!$G244</f>
        <v>10/1266128-645748</v>
      </c>
      <c r="I538" s="37" t="s">
        <v>435</v>
      </c>
      <c r="J538">
        <v>120</v>
      </c>
      <c r="K538" s="3">
        <v>1163.95</v>
      </c>
      <c r="L538" s="3">
        <v>1130.4625000000001</v>
      </c>
      <c r="M538" s="5" t="str">
        <f>IF(Faturamento!$S244&lt;&gt;"","Não emitido",IF(Faturamento!$I244="NÃO","Pendente Fatura", IF(Faturamento!$R244&lt;&gt;"","Aprovado",IF(Faturamento!$O244&lt;&gt;0,"Pendente Emissão","Processo de Calculo"))))</f>
        <v>Aprovado</v>
      </c>
      <c r="N538" s="53">
        <v>133.94999999999999</v>
      </c>
      <c r="O538" s="53">
        <v>100.46</v>
      </c>
      <c r="P538" s="52"/>
      <c r="Q538" s="52"/>
      <c r="R538" s="53">
        <v>100.46</v>
      </c>
      <c r="S538" s="37"/>
      <c r="T538" s="51" t="s">
        <v>785</v>
      </c>
      <c r="U538" s="51"/>
      <c r="V538" s="37" t="s">
        <v>568</v>
      </c>
      <c r="W538" s="53">
        <v>100.46</v>
      </c>
      <c r="X538" s="123">
        <f>IF(Faturamento!$V429="Pago",IFERROR(W538-R538,0),0)</f>
        <v>0</v>
      </c>
      <c r="Y538" s="52"/>
      <c r="Z538" s="52"/>
      <c r="AA538" s="5"/>
      <c r="AB538" s="5"/>
      <c r="AI538"/>
    </row>
    <row r="539" spans="1:35" hidden="1" x14ac:dyDescent="0.3">
      <c r="A539" s="5" t="str">
        <f>VLOOKUP(B539,base!A:M,11,FALSE)</f>
        <v>TRIFÁSICO</v>
      </c>
      <c r="B539" s="37" t="s">
        <v>228</v>
      </c>
      <c r="C539" s="56">
        <v>67991162146</v>
      </c>
      <c r="D539" s="59">
        <v>62955505015199</v>
      </c>
      <c r="E539" s="37" t="s">
        <v>433</v>
      </c>
      <c r="F539" s="37" t="s">
        <v>434</v>
      </c>
      <c r="G539" s="52">
        <v>45717</v>
      </c>
      <c r="H539" s="52" t="str">
        <f>Faturamento!$B280&amp;Faturamento!$G280</f>
        <v>10/510330-445658</v>
      </c>
      <c r="I539" s="37" t="s">
        <v>435</v>
      </c>
      <c r="J539">
        <v>120</v>
      </c>
      <c r="K539" s="3">
        <v>807.35000000000014</v>
      </c>
      <c r="L539" s="3">
        <v>773.86250000000007</v>
      </c>
      <c r="M539" s="5" t="str">
        <f>IF(Faturamento!$S280&lt;&gt;"","Não emitido",IF(Faturamento!$I280="NÃO","Pendente Fatura", IF(Faturamento!$R280&lt;&gt;"","Aprovado",IF(Faturamento!$O280&lt;&gt;0,"Pendente Emissão","Processo de Calculo"))))</f>
        <v>Aprovado</v>
      </c>
      <c r="N539" s="53">
        <v>133.94999999999999</v>
      </c>
      <c r="O539" s="53">
        <v>100.46</v>
      </c>
      <c r="P539" s="52"/>
      <c r="Q539" s="52"/>
      <c r="R539" s="53">
        <v>100.46</v>
      </c>
      <c r="S539" s="37"/>
      <c r="T539" s="51" t="s">
        <v>820</v>
      </c>
      <c r="U539" s="51"/>
      <c r="V539" s="37" t="s">
        <v>568</v>
      </c>
      <c r="W539" s="53">
        <v>100.46</v>
      </c>
      <c r="X539" s="123">
        <f>IF(Faturamento!$V430="Pago",IFERROR(W539-R539,0),0)</f>
        <v>0</v>
      </c>
      <c r="Y539" s="52"/>
      <c r="Z539" s="52"/>
      <c r="AA539" s="5"/>
      <c r="AB539" s="5"/>
      <c r="AI539"/>
    </row>
    <row r="540" spans="1:35" hidden="1" x14ac:dyDescent="0.3">
      <c r="A540" s="5" t="str">
        <f>VLOOKUP(B540,base!A:M,11,FALSE)</f>
        <v>TRIFÁSICO</v>
      </c>
      <c r="B540" t="s">
        <v>247</v>
      </c>
      <c r="C540" s="1">
        <v>67999516782</v>
      </c>
      <c r="D540" s="60">
        <v>62955505375721</v>
      </c>
      <c r="E540" s="63" t="s">
        <v>433</v>
      </c>
      <c r="F540" t="s">
        <v>434</v>
      </c>
      <c r="G540" s="4">
        <v>45658</v>
      </c>
      <c r="H540" s="4" t="str">
        <f>Faturamento!$B109&amp;Faturamento!$G109</f>
        <v>10/61344-845901</v>
      </c>
      <c r="I540" t="s">
        <v>435</v>
      </c>
      <c r="J540">
        <v>136</v>
      </c>
      <c r="K540" s="3">
        <v>412.54</v>
      </c>
      <c r="L540" s="3">
        <v>379.14250000000004</v>
      </c>
      <c r="M540" s="5" t="str">
        <f>IF(Faturamento!$S109&lt;&gt;"","Não emitido",IF(Faturamento!$I109="NÃO","Pendente Fatura", IF(Faturamento!$R109&lt;&gt;"","Aprovado",IF(Faturamento!$O109&lt;&gt;0,"Pendente Emissão","Processo de Calculo"))))</f>
        <v>Aprovado</v>
      </c>
      <c r="N540" s="3">
        <v>133.58999999999997</v>
      </c>
      <c r="O540" s="3">
        <v>100.19</v>
      </c>
      <c r="P540" s="4"/>
      <c r="Q540" s="4"/>
      <c r="R540" s="3">
        <v>100.19</v>
      </c>
      <c r="S540"/>
      <c r="T540" s="51" t="s">
        <v>667</v>
      </c>
      <c r="U540" s="51"/>
      <c r="V540" t="s">
        <v>568</v>
      </c>
      <c r="W540" s="3">
        <v>100.19</v>
      </c>
      <c r="X540" s="123">
        <f>IF(Faturamento!$V428="Pago",IFERROR(W540-R540,0),0)</f>
        <v>0</v>
      </c>
      <c r="Y540" s="4"/>
      <c r="Z540" s="4"/>
      <c r="AA540" s="5"/>
      <c r="AB540" s="5"/>
      <c r="AI540"/>
    </row>
    <row r="541" spans="1:35" hidden="1" x14ac:dyDescent="0.3">
      <c r="A541" s="5" t="str">
        <f>VLOOKUP(B541,base!A:M,11,FALSE)</f>
        <v>BIFÁSICO</v>
      </c>
      <c r="B541" s="37" t="s">
        <v>280</v>
      </c>
      <c r="C541" s="56">
        <v>67998302932</v>
      </c>
      <c r="D541" s="59">
        <v>62955505015512</v>
      </c>
      <c r="E541" s="37" t="s">
        <v>433</v>
      </c>
      <c r="F541" s="37" t="s">
        <v>434</v>
      </c>
      <c r="G541" s="52">
        <v>45748</v>
      </c>
      <c r="H541" s="52" t="str">
        <f>Faturamento!$B430&amp;Faturamento!$G430</f>
        <v>10/239312-245839</v>
      </c>
      <c r="I541" s="37" t="s">
        <v>435</v>
      </c>
      <c r="J541" s="37">
        <v>137</v>
      </c>
      <c r="K541" s="53">
        <v>235.86</v>
      </c>
      <c r="L541" s="53">
        <v>202.5</v>
      </c>
      <c r="M541" s="5" t="str">
        <f>IF(Faturamento!$S430&lt;&gt;"","Não emitido",IF(Faturamento!$I430="NÃO","Pendente Fatura", IF(Faturamento!$R430&lt;&gt;"","Aprovado",IF(Faturamento!$O430&lt;&gt;0,"Pendente Emissão","Processo de Calculo"))))</f>
        <v>Aprovado</v>
      </c>
      <c r="N541" s="53">
        <v>133.44</v>
      </c>
      <c r="O541" s="53">
        <v>100.08</v>
      </c>
      <c r="P541" s="52"/>
      <c r="Q541" s="52"/>
      <c r="R541" s="53">
        <v>100.08</v>
      </c>
      <c r="S541" s="37"/>
      <c r="T541" s="51" t="s">
        <v>925</v>
      </c>
      <c r="U541" s="51"/>
      <c r="V541" s="37" t="s">
        <v>568</v>
      </c>
      <c r="W541" s="53">
        <v>100.08</v>
      </c>
      <c r="X541" s="123">
        <f>IF(Faturamento!$V427="Pago",IFERROR(W541-R541,0),0)</f>
        <v>0</v>
      </c>
      <c r="Y541" s="52"/>
      <c r="Z541" s="52"/>
      <c r="AA541" s="5"/>
      <c r="AB541" s="5"/>
      <c r="AI541"/>
    </row>
    <row r="542" spans="1:35" hidden="1" x14ac:dyDescent="0.3">
      <c r="A542" s="5" t="str">
        <f>VLOOKUP(B542,base!A:M,11,FALSE)</f>
        <v>BIFÁSICO</v>
      </c>
      <c r="B542" t="s">
        <v>137</v>
      </c>
      <c r="C542" s="1">
        <v>67992637973</v>
      </c>
      <c r="D542" s="60">
        <v>62955505040894</v>
      </c>
      <c r="E542" s="63" t="s">
        <v>433</v>
      </c>
      <c r="F542" t="s">
        <v>434</v>
      </c>
      <c r="G542" s="4">
        <v>45658</v>
      </c>
      <c r="H542" s="4" t="str">
        <f>Faturamento!$B91&amp;Faturamento!$G91</f>
        <v>10/81222-245931</v>
      </c>
      <c r="I542" t="s">
        <v>435</v>
      </c>
      <c r="J542">
        <v>136</v>
      </c>
      <c r="K542" s="3">
        <v>426.04</v>
      </c>
      <c r="L542" s="3">
        <v>392.71249999999998</v>
      </c>
      <c r="M542" s="5" t="str">
        <f>IF(Faturamento!$S91&lt;&gt;"","Não emitido",IF(Faturamento!$I91="NÃO","Pendente Fatura", IF(Faturamento!$R91&lt;&gt;"","Aprovado",IF(Faturamento!$O91&lt;&gt;0,"Pendente Emissão","Processo de Calculo"))))</f>
        <v>Aprovado</v>
      </c>
      <c r="N542" s="3">
        <v>133.31</v>
      </c>
      <c r="O542" s="3">
        <v>99.98</v>
      </c>
      <c r="P542" s="4"/>
      <c r="Q542" s="4"/>
      <c r="R542" s="3">
        <v>99.98</v>
      </c>
      <c r="S542"/>
      <c r="T542" s="51" t="s">
        <v>648</v>
      </c>
      <c r="U542" s="51"/>
      <c r="V542" t="s">
        <v>568</v>
      </c>
      <c r="W542" s="3">
        <v>99.98</v>
      </c>
      <c r="X542" s="123">
        <f>IF(Faturamento!$V425="Pago",IFERROR(W542-R542,0),0)</f>
        <v>0</v>
      </c>
      <c r="Y542" s="4"/>
      <c r="Z542" s="4"/>
      <c r="AA542" s="5"/>
      <c r="AB542" s="5"/>
      <c r="AI542"/>
    </row>
    <row r="543" spans="1:35" hidden="1" x14ac:dyDescent="0.3">
      <c r="A543" s="5" t="str">
        <f>VLOOKUP(B543,base!A:M,11,FALSE)</f>
        <v>TRIFÁSICO</v>
      </c>
      <c r="B543" s="37" t="s">
        <v>299</v>
      </c>
      <c r="C543" s="56" t="s">
        <v>175</v>
      </c>
      <c r="D543" s="59">
        <v>62955505189340</v>
      </c>
      <c r="E543" s="37" t="s">
        <v>433</v>
      </c>
      <c r="F543" s="37" t="s">
        <v>434</v>
      </c>
      <c r="G543" s="52">
        <v>45658</v>
      </c>
      <c r="H543" s="52" t="str">
        <f>Faturamento!$B124&amp;Faturamento!$G124</f>
        <v>10/127464-645778</v>
      </c>
      <c r="I543" s="37" t="s">
        <v>435</v>
      </c>
      <c r="J543">
        <v>136</v>
      </c>
      <c r="K543" s="3">
        <v>332.09</v>
      </c>
      <c r="L543" s="3">
        <v>298.76249999999993</v>
      </c>
      <c r="M543" s="5" t="str">
        <f>IF(Faturamento!$S124&lt;&gt;"","Não emitido",IF(Faturamento!$I124="NÃO","Pendente Fatura", IF(Faturamento!$R124&lt;&gt;"","Aprovado",IF(Faturamento!$O124&lt;&gt;0,"Pendente Emissão","Processo de Calculo"))))</f>
        <v>Aprovado</v>
      </c>
      <c r="N543" s="53">
        <v>133.31</v>
      </c>
      <c r="O543" s="53">
        <v>99.98</v>
      </c>
      <c r="P543" s="52"/>
      <c r="Q543" s="52"/>
      <c r="R543" s="53">
        <v>99.98</v>
      </c>
      <c r="S543" s="37"/>
      <c r="T543" s="51" t="s">
        <v>682</v>
      </c>
      <c r="U543" s="51"/>
      <c r="V543" s="37" t="s">
        <v>568</v>
      </c>
      <c r="W543" s="53">
        <v>99.98</v>
      </c>
      <c r="X543" s="123">
        <f>IF(Faturamento!$V426="Pago",IFERROR(W543-R543,0),0)</f>
        <v>0</v>
      </c>
      <c r="Y543" s="52"/>
      <c r="Z543" s="52"/>
      <c r="AA543" s="5"/>
      <c r="AB543" s="5"/>
      <c r="AI543"/>
    </row>
    <row r="544" spans="1:35" hidden="1" x14ac:dyDescent="0.3">
      <c r="A544" s="5" t="str">
        <f>VLOOKUP(B544,base!A:M,11,FALSE)</f>
        <v>TRIFÁSICO</v>
      </c>
      <c r="B544" t="s">
        <v>118</v>
      </c>
      <c r="C544" s="1">
        <v>0</v>
      </c>
      <c r="D544" s="60">
        <v>62955505182257</v>
      </c>
      <c r="E544" s="63" t="s">
        <v>433</v>
      </c>
      <c r="F544" t="s">
        <v>434</v>
      </c>
      <c r="G544" s="4">
        <v>45870</v>
      </c>
      <c r="H544" s="4" t="str">
        <f>Faturamento!$B741&amp;Faturamento!$G741</f>
        <v>10/1184751-445931</v>
      </c>
      <c r="I544" t="s">
        <v>435</v>
      </c>
      <c r="J544">
        <v>120</v>
      </c>
      <c r="K544" s="3">
        <v>292.50058823529412</v>
      </c>
      <c r="L544" s="3">
        <v>263.6700871190323</v>
      </c>
      <c r="M544" s="5" t="str">
        <f>IF(Faturamento!$S741&lt;&gt;"","Não emitido",IF(Faturamento!$I741="NÃO","Pendente Fatura", IF(Faturamento!$R741&lt;&gt;"","Aprovado",IF(Faturamento!$O741&lt;&gt;0,"Pendente Emissão","Processo de Calculo"))))</f>
        <v>Aprovado</v>
      </c>
      <c r="N544" s="3">
        <v>127.59058823529411</v>
      </c>
      <c r="O544" s="3">
        <v>98.76</v>
      </c>
      <c r="P544" s="4">
        <v>45910</v>
      </c>
      <c r="Q544" s="4">
        <v>45920</v>
      </c>
      <c r="R544" s="3">
        <v>98.76</v>
      </c>
      <c r="S544"/>
      <c r="T544" s="51" t="s">
        <v>1383</v>
      </c>
      <c r="U544" s="51" t="s">
        <v>1384</v>
      </c>
      <c r="V544" t="s">
        <v>568</v>
      </c>
      <c r="W544" s="3">
        <v>98.76</v>
      </c>
      <c r="X544" s="123">
        <f>IF(Faturamento!$V424="Pago",IFERROR(W544-R544,0),0)</f>
        <v>0</v>
      </c>
      <c r="Y544" s="4"/>
      <c r="Z544" s="4"/>
      <c r="AA544" s="5"/>
      <c r="AB544" s="5"/>
      <c r="AI544"/>
    </row>
    <row r="545" spans="1:35" hidden="1" x14ac:dyDescent="0.3">
      <c r="A545" s="5" t="str">
        <f>VLOOKUP(B545,base!A:M,11,FALSE)</f>
        <v>BIFÁSICO</v>
      </c>
      <c r="B545" t="s">
        <v>250</v>
      </c>
      <c r="C545" s="1" t="s">
        <v>126</v>
      </c>
      <c r="D545" s="60">
        <v>62955505015512</v>
      </c>
      <c r="E545" s="63" t="s">
        <v>433</v>
      </c>
      <c r="F545" t="s">
        <v>434</v>
      </c>
      <c r="G545" s="4">
        <v>45870</v>
      </c>
      <c r="H545" s="4" t="str">
        <f>Faturamento!$B793&amp;Faturamento!$G793</f>
        <v>10/1695011-545627</v>
      </c>
      <c r="I545" t="s">
        <v>435</v>
      </c>
      <c r="J545">
        <v>125</v>
      </c>
      <c r="K545" s="3">
        <v>259.80931034482762</v>
      </c>
      <c r="L545" s="3">
        <v>231.17794369103865</v>
      </c>
      <c r="M545" s="5" t="s">
        <v>1489</v>
      </c>
      <c r="N545" s="3">
        <v>126.70931034482757</v>
      </c>
      <c r="O545" s="3">
        <v>98.08</v>
      </c>
      <c r="P545" s="4">
        <v>45910</v>
      </c>
      <c r="Q545" s="4">
        <v>45920</v>
      </c>
      <c r="R545" s="3">
        <v>98.08</v>
      </c>
      <c r="S545"/>
      <c r="T545" s="51" t="s">
        <v>1479</v>
      </c>
      <c r="U545" s="51" t="s">
        <v>1480</v>
      </c>
      <c r="V545" t="s">
        <v>568</v>
      </c>
      <c r="W545" s="3">
        <v>98.08</v>
      </c>
      <c r="X545" s="123">
        <f>IF(Faturamento!$V422="Pago",IFERROR(W545-R545,0),0)</f>
        <v>0</v>
      </c>
      <c r="Y545" s="4">
        <v>45924</v>
      </c>
      <c r="Z545" s="4"/>
      <c r="AA545" s="5"/>
      <c r="AB545" s="5"/>
      <c r="AI545"/>
    </row>
    <row r="546" spans="1:35" hidden="1" x14ac:dyDescent="0.3">
      <c r="A546" s="5" t="str">
        <f>VLOOKUP(B546,base!A:M,11,FALSE)</f>
        <v>MONOFÁSICO</v>
      </c>
      <c r="B546" t="s">
        <v>261</v>
      </c>
      <c r="C546" s="1">
        <v>0</v>
      </c>
      <c r="D546" s="60">
        <v>62955505000167</v>
      </c>
      <c r="E546" s="63" t="s">
        <v>433</v>
      </c>
      <c r="F546" t="s">
        <v>434</v>
      </c>
      <c r="G546" s="4">
        <v>45870</v>
      </c>
      <c r="H546" s="4" t="str">
        <f>Faturamento!$B749&amp;Faturamento!$G749</f>
        <v>10/505854-045717</v>
      </c>
      <c r="I546" t="s">
        <v>435</v>
      </c>
      <c r="J546">
        <v>113</v>
      </c>
      <c r="K546" s="3">
        <v>159.00086956521741</v>
      </c>
      <c r="L546" s="3">
        <v>130.67419798290248</v>
      </c>
      <c r="M546" s="5" t="str">
        <f>IF(Faturamento!$S749&lt;&gt;"","Não emitido",IF(Faturamento!$I749="NÃO","Pendente Fatura", IF(Faturamento!$R749&lt;&gt;"","Aprovado",IF(Faturamento!$O749&lt;&gt;0,"Pendente Emissão","Processo de Calculo"))))</f>
        <v>Aprovado</v>
      </c>
      <c r="N546" s="3">
        <v>125.36086956521741</v>
      </c>
      <c r="O546" s="3">
        <v>97.03</v>
      </c>
      <c r="P546" s="4">
        <v>45910</v>
      </c>
      <c r="Q546" s="4">
        <v>45920</v>
      </c>
      <c r="R546" s="3">
        <v>97.03</v>
      </c>
      <c r="S546"/>
      <c r="T546" s="51" t="s">
        <v>1395</v>
      </c>
      <c r="U546" s="51" t="s">
        <v>1396</v>
      </c>
      <c r="V546" t="s">
        <v>568</v>
      </c>
      <c r="W546" s="3">
        <v>97.03</v>
      </c>
      <c r="X546" s="123">
        <f>IF(Faturamento!$V421="Pago",IFERROR(W546-R546,0),0)</f>
        <v>0</v>
      </c>
      <c r="Y546" s="4"/>
      <c r="Z546" s="4"/>
      <c r="AA546" s="5"/>
      <c r="AB546" s="5"/>
      <c r="AI546"/>
    </row>
    <row r="547" spans="1:35" hidden="1" x14ac:dyDescent="0.3">
      <c r="A547" s="5" t="str">
        <f>VLOOKUP(B547,base!A:M,11,FALSE)</f>
        <v>TRIFÁSICO</v>
      </c>
      <c r="B547" t="s">
        <v>186</v>
      </c>
      <c r="C547" s="1" t="s">
        <v>403</v>
      </c>
      <c r="D547" s="60">
        <v>62955505016160</v>
      </c>
      <c r="E547" s="63" t="s">
        <v>433</v>
      </c>
      <c r="F547" t="s">
        <v>434</v>
      </c>
      <c r="G547" s="4">
        <v>45839</v>
      </c>
      <c r="H547" s="4" t="str">
        <f>Faturamento!$B661&amp;Faturamento!$G661</f>
        <v>10/1184751-445658</v>
      </c>
      <c r="I547" t="s">
        <v>435</v>
      </c>
      <c r="J547" s="37">
        <v>122</v>
      </c>
      <c r="K547" s="53">
        <v>277.6825</v>
      </c>
      <c r="L547" s="53">
        <v>249.5230765</v>
      </c>
      <c r="M547" s="5" t="str">
        <f>IF(Faturamento!$S661&lt;&gt;"","Não emitido",IF(Faturamento!$I661="NÃO","Pendente Fatura", IF(Faturamento!$R661&lt;&gt;"","Aprovado",IF(Faturamento!$O661&lt;&gt;0,"Pendente Emissão","Processo de Calculo"))))</f>
        <v>Aprovado</v>
      </c>
      <c r="N547" s="3">
        <v>124.77250000000001</v>
      </c>
      <c r="O547" s="3">
        <v>96.61</v>
      </c>
      <c r="P547" s="4">
        <v>45910</v>
      </c>
      <c r="Q547" s="4">
        <v>45920</v>
      </c>
      <c r="R547" s="3">
        <v>96.61</v>
      </c>
      <c r="S547"/>
      <c r="T547" s="51" t="s">
        <v>1235</v>
      </c>
      <c r="U547" s="51" t="s">
        <v>1236</v>
      </c>
      <c r="V547" t="s">
        <v>568</v>
      </c>
      <c r="W547" s="3">
        <v>96.61</v>
      </c>
      <c r="X547" s="123">
        <f>IF(Faturamento!$V420="Pago",IFERROR(W547-R547,0),0)</f>
        <v>0</v>
      </c>
      <c r="Y547" s="4"/>
      <c r="Z547" s="4"/>
      <c r="AA547" s="5"/>
      <c r="AB547" s="5"/>
      <c r="AI547"/>
    </row>
    <row r="548" spans="1:35" hidden="1" x14ac:dyDescent="0.3">
      <c r="A548" s="5" t="str">
        <f>VLOOKUP(B548,base!A:M,11,FALSE)</f>
        <v>MONOFÁSICO</v>
      </c>
      <c r="B548" t="s">
        <v>261</v>
      </c>
      <c r="C548" s="1">
        <v>0</v>
      </c>
      <c r="D548" s="60">
        <v>62955505000167</v>
      </c>
      <c r="E548" s="63" t="s">
        <v>433</v>
      </c>
      <c r="F548" t="s">
        <v>434</v>
      </c>
      <c r="G548" s="4">
        <v>45901</v>
      </c>
      <c r="H548" s="4" t="str">
        <f>Faturamento!$B833&amp;Faturamento!$G833</f>
        <v>10/69319-245658</v>
      </c>
      <c r="I548" t="s">
        <v>435</v>
      </c>
      <c r="J548">
        <v>109</v>
      </c>
      <c r="K548" s="3">
        <v>167.95366666666663</v>
      </c>
      <c r="L548" s="3">
        <v>132.58348383846655</v>
      </c>
      <c r="M548" s="5" t="s">
        <v>1489</v>
      </c>
      <c r="N548" s="3">
        <v>131.69366666666664</v>
      </c>
      <c r="O548" s="3">
        <v>96.32</v>
      </c>
      <c r="P548" s="4">
        <v>45933</v>
      </c>
      <c r="Q548" s="4">
        <v>45943</v>
      </c>
      <c r="R548" s="3">
        <f>O548</f>
        <v>96.32</v>
      </c>
      <c r="S548"/>
      <c r="T548" s="51" t="s">
        <v>1550</v>
      </c>
      <c r="U548" s="51" t="s">
        <v>1551</v>
      </c>
      <c r="V548" t="s">
        <v>568</v>
      </c>
      <c r="W548" s="3">
        <f>R548</f>
        <v>96.32</v>
      </c>
      <c r="X548" s="123">
        <f>IF(Faturamento!$V419="Pago",IFERROR(W548-R548,0),0)</f>
        <v>0</v>
      </c>
      <c r="Y548" s="4"/>
      <c r="Z548" s="4"/>
      <c r="AA548" s="5"/>
      <c r="AB548" s="5"/>
      <c r="AI548"/>
    </row>
    <row r="549" spans="1:35" hidden="1" x14ac:dyDescent="0.3">
      <c r="A549" s="5" t="str">
        <f>VLOOKUP(B549,base!A:M,11,FALSE)</f>
        <v>TRIFÁSICO</v>
      </c>
      <c r="B549" s="37" t="s">
        <v>213</v>
      </c>
      <c r="C549" s="56">
        <v>67992637973</v>
      </c>
      <c r="D549" s="59">
        <v>62955505274020</v>
      </c>
      <c r="E549" s="37" t="s">
        <v>433</v>
      </c>
      <c r="F549" s="37" t="s">
        <v>434</v>
      </c>
      <c r="G549" s="52">
        <v>45778</v>
      </c>
      <c r="H549" s="52" t="str">
        <f>Faturamento!$B494&amp;Faturamento!$G494</f>
        <v>10/41548-945658</v>
      </c>
      <c r="I549" s="37" t="s">
        <v>435</v>
      </c>
      <c r="J549">
        <v>131</v>
      </c>
      <c r="K549" s="3">
        <v>278.99922077922076</v>
      </c>
      <c r="L549" s="3">
        <v>247.00691558441554</v>
      </c>
      <c r="M549" s="5" t="str">
        <f>IF(Faturamento!$S494&lt;&gt;"","Não emitido",IF(Faturamento!$I494="NÃO","Pendente Fatura", IF(Faturamento!$R494&lt;&gt;"","Aprovado",IF(Faturamento!$O494&lt;&gt;0,"Pendente Emissão","Processo de Calculo"))))</f>
        <v>Aprovado</v>
      </c>
      <c r="N549" s="53">
        <v>127.96922077922078</v>
      </c>
      <c r="O549" s="53">
        <v>95.98</v>
      </c>
      <c r="P549" s="52"/>
      <c r="Q549" s="52"/>
      <c r="R549" s="53">
        <v>95.98</v>
      </c>
      <c r="S549" s="37"/>
      <c r="T549" s="51" t="s">
        <v>982</v>
      </c>
      <c r="U549" s="51"/>
      <c r="V549" s="37" t="s">
        <v>568</v>
      </c>
      <c r="W549" s="53">
        <v>95.98</v>
      </c>
      <c r="X549" s="123">
        <f>IF(Faturamento!$V418="Pago",IFERROR(W549-R549,0),0)</f>
        <v>0</v>
      </c>
      <c r="Y549" s="52"/>
      <c r="Z549" s="52"/>
      <c r="AA549" s="5"/>
      <c r="AB549" s="5"/>
      <c r="AI549"/>
    </row>
    <row r="550" spans="1:35" hidden="1" x14ac:dyDescent="0.3">
      <c r="A550" s="5" t="str">
        <f>VLOOKUP(B550,base!A:M,11,FALSE)</f>
        <v>TRIFÁSICO</v>
      </c>
      <c r="B550" t="s">
        <v>191</v>
      </c>
      <c r="C550" s="1">
        <v>67991767866</v>
      </c>
      <c r="D550" s="60">
        <v>62955505461210</v>
      </c>
      <c r="E550" s="63" t="s">
        <v>433</v>
      </c>
      <c r="F550" t="s">
        <v>434</v>
      </c>
      <c r="G550" s="4">
        <v>45809</v>
      </c>
      <c r="H550" s="4" t="str">
        <f>Faturamento!$B545&amp;Faturamento!$G545</f>
        <v>10/3125732-245870</v>
      </c>
      <c r="I550" t="s">
        <v>435</v>
      </c>
      <c r="J550" s="37">
        <v>110</v>
      </c>
      <c r="K550" s="53">
        <v>311.82400000000007</v>
      </c>
      <c r="L550" s="53">
        <v>281.50432959034049</v>
      </c>
      <c r="M550" s="5" t="str">
        <f>IF(Faturamento!$S545&lt;&gt;"","Não emitido",IF(Faturamento!$I545="NÃO","Pendente Fatura", IF(Faturamento!$R545&lt;&gt;"","Aprovado",IF(Faturamento!$O545&lt;&gt;0,"Pendente Emissão","Processo de Calculo"))))</f>
        <v>Aprovado</v>
      </c>
      <c r="N550" s="3">
        <v>127.79400000000003</v>
      </c>
      <c r="O550" s="3">
        <v>95.85</v>
      </c>
      <c r="P550" s="4">
        <v>45860</v>
      </c>
      <c r="Q550" s="4">
        <v>45871</v>
      </c>
      <c r="R550" s="3">
        <v>95.85</v>
      </c>
      <c r="S550"/>
      <c r="T550" s="51" t="s">
        <v>1049</v>
      </c>
      <c r="U550" s="51" t="s">
        <v>1050</v>
      </c>
      <c r="V550" t="s">
        <v>568</v>
      </c>
      <c r="W550" s="3">
        <v>95.85</v>
      </c>
      <c r="X550" s="123">
        <f>IF(Faturamento!$V417="Pago",IFERROR(W550-R550,0),0)</f>
        <v>0</v>
      </c>
      <c r="Y550" s="4"/>
      <c r="Z550" s="4"/>
      <c r="AA550" s="5"/>
      <c r="AB550" s="5"/>
      <c r="AI550"/>
    </row>
    <row r="551" spans="1:35" hidden="1" x14ac:dyDescent="0.3">
      <c r="A551" s="5" t="str">
        <f>VLOOKUP(B551,base!A:M,11,FALSE)</f>
        <v>BIFÁSICO</v>
      </c>
      <c r="B551" t="s">
        <v>107</v>
      </c>
      <c r="C551" s="1" t="s">
        <v>131</v>
      </c>
      <c r="D551" s="60">
        <v>62955505878987</v>
      </c>
      <c r="E551" s="63" t="s">
        <v>433</v>
      </c>
      <c r="F551" t="s">
        <v>434</v>
      </c>
      <c r="G551" s="4">
        <v>45870</v>
      </c>
      <c r="H551" s="4" t="str">
        <f>Faturamento!$B725&amp;Faturamento!$G725</f>
        <v>10/511753-645839</v>
      </c>
      <c r="I551" t="s">
        <v>435</v>
      </c>
      <c r="J551">
        <v>106</v>
      </c>
      <c r="K551" s="3">
        <v>257.68799999999999</v>
      </c>
      <c r="L551" s="3">
        <v>229.84327382785472</v>
      </c>
      <c r="M551" s="5" t="str">
        <f>IF(Faturamento!$S725&lt;&gt;"","Não emitido",IF(Faturamento!$I725="NÃO","Pendente Fatura", IF(Faturamento!$R725&lt;&gt;"","Aprovado",IF(Faturamento!$O725&lt;&gt;0,"Pendente Emissão","Processo de Calculo"))))</f>
        <v>Aprovado</v>
      </c>
      <c r="N551" s="3">
        <v>123.22799999999999</v>
      </c>
      <c r="O551" s="3">
        <v>95.38</v>
      </c>
      <c r="P551" s="4">
        <v>45910</v>
      </c>
      <c r="Q551" s="4">
        <v>45920</v>
      </c>
      <c r="R551" s="3">
        <v>95.38</v>
      </c>
      <c r="S551"/>
      <c r="T551" s="51" t="s">
        <v>1353</v>
      </c>
      <c r="U551" s="51" t="s">
        <v>1354</v>
      </c>
      <c r="V551" s="37" t="s">
        <v>568</v>
      </c>
      <c r="W551" s="3">
        <v>95.38</v>
      </c>
      <c r="X551" s="123">
        <f>IF(Faturamento!$V415="Pago",IFERROR(W551-R551,0),0)</f>
        <v>0</v>
      </c>
      <c r="Y551" s="52">
        <v>45943</v>
      </c>
      <c r="Z551" s="52"/>
      <c r="AA551" s="5"/>
      <c r="AB551" s="5"/>
      <c r="AI551"/>
    </row>
    <row r="552" spans="1:35" hidden="1" x14ac:dyDescent="0.3">
      <c r="A552" s="5" t="str">
        <f>VLOOKUP(B552,base!A:M,11,FALSE)</f>
        <v>BIFÁSICO</v>
      </c>
      <c r="B552" s="37" t="s">
        <v>137</v>
      </c>
      <c r="C552" s="56">
        <v>0</v>
      </c>
      <c r="D552" s="59">
        <v>62955505040894</v>
      </c>
      <c r="E552" s="37" t="s">
        <v>433</v>
      </c>
      <c r="F552" s="37" t="s">
        <v>434</v>
      </c>
      <c r="G552" s="52">
        <v>45870</v>
      </c>
      <c r="H552" s="52" t="str">
        <f>Faturamento!$B782&amp;Faturamento!$G782</f>
        <v>10/10232-745627</v>
      </c>
      <c r="I552" s="37" t="s">
        <v>435</v>
      </c>
      <c r="J552">
        <v>119</v>
      </c>
      <c r="K552" s="3">
        <v>178.58516129032259</v>
      </c>
      <c r="L552" s="3">
        <v>150.79078798320404</v>
      </c>
      <c r="M552" s="5" t="s">
        <v>1489</v>
      </c>
      <c r="N552" s="53">
        <v>123.00516129032258</v>
      </c>
      <c r="O552" s="53">
        <v>95.21</v>
      </c>
      <c r="P552" s="52">
        <v>45910</v>
      </c>
      <c r="Q552" s="52">
        <v>45920</v>
      </c>
      <c r="R552" s="53">
        <v>95.21</v>
      </c>
      <c r="S552" s="37"/>
      <c r="T552" s="51" t="s">
        <v>1460</v>
      </c>
      <c r="U552" s="51" t="s">
        <v>1461</v>
      </c>
      <c r="V552" s="37" t="s">
        <v>568</v>
      </c>
      <c r="W552" s="53">
        <v>95.21</v>
      </c>
      <c r="X552" s="123">
        <f>IF(Faturamento!$V414="Pago",IFERROR(W552-R552,0),0)</f>
        <v>0</v>
      </c>
      <c r="Y552" s="52"/>
      <c r="Z552" s="52"/>
      <c r="AA552" s="5"/>
      <c r="AB552" s="5"/>
      <c r="AI552"/>
    </row>
    <row r="553" spans="1:35" hidden="1" x14ac:dyDescent="0.3">
      <c r="A553" s="5" t="str">
        <f>VLOOKUP(B553,base!A:M,11,FALSE)</f>
        <v>TRIFÁSICO</v>
      </c>
      <c r="B553" s="37" t="s">
        <v>211</v>
      </c>
      <c r="C553" s="56">
        <v>67996266684</v>
      </c>
      <c r="D553" s="59">
        <v>62955505157066</v>
      </c>
      <c r="E553" s="37" t="s">
        <v>433</v>
      </c>
      <c r="F553" s="37" t="s">
        <v>434</v>
      </c>
      <c r="G553" s="52">
        <v>45778</v>
      </c>
      <c r="H553" s="52" t="str">
        <f>Faturamento!$B504&amp;Faturamento!$G504</f>
        <v>10/1433087-245748</v>
      </c>
      <c r="I553" s="37" t="s">
        <v>435</v>
      </c>
      <c r="J553">
        <v>130</v>
      </c>
      <c r="K553" s="3">
        <v>234.05181818181813</v>
      </c>
      <c r="L553" s="3">
        <v>202.40136363636358</v>
      </c>
      <c r="M553" s="5" t="str">
        <f>IF(Faturamento!$S504&lt;&gt;"","Não emitido",IF(Faturamento!$I504="NÃO","Pendente Fatura", IF(Faturamento!$R504&lt;&gt;"","Aprovado",IF(Faturamento!$O504&lt;&gt;0,"Pendente Emissão","Processo de Calculo"))))</f>
        <v>Aprovado</v>
      </c>
      <c r="N553" s="53">
        <v>126.60181818181819</v>
      </c>
      <c r="O553" s="53">
        <v>94.95</v>
      </c>
      <c r="P553" s="52"/>
      <c r="Q553" s="52"/>
      <c r="R553" s="53">
        <v>94.95</v>
      </c>
      <c r="S553" s="37"/>
      <c r="T553" s="51" t="s">
        <v>991</v>
      </c>
      <c r="U553" s="51"/>
      <c r="V553" s="37" t="s">
        <v>369</v>
      </c>
      <c r="W553" s="53">
        <v>0</v>
      </c>
      <c r="X553" s="123">
        <f>IF(Faturamento!$V192="Pago",IFERROR(W553-R553,0),0)</f>
        <v>-94.95</v>
      </c>
      <c r="Y553" s="52"/>
      <c r="Z553" s="196" t="s">
        <v>1795</v>
      </c>
      <c r="AA553" s="5"/>
      <c r="AB553" s="5"/>
      <c r="AI553"/>
    </row>
    <row r="554" spans="1:35" hidden="1" x14ac:dyDescent="0.3">
      <c r="A554" s="5" t="str">
        <f>VLOOKUP(B554,base!A:M,11,FALSE)</f>
        <v>MONOFÁSICO</v>
      </c>
      <c r="B554" t="s">
        <v>261</v>
      </c>
      <c r="C554" s="1">
        <v>67999159477</v>
      </c>
      <c r="D554" s="60">
        <v>62955505000167</v>
      </c>
      <c r="E554" s="63" t="s">
        <v>433</v>
      </c>
      <c r="F554" t="s">
        <v>434</v>
      </c>
      <c r="G554" s="4">
        <v>45689</v>
      </c>
      <c r="H554" s="4" t="str">
        <f>Faturamento!$B171&amp;Faturamento!$G171</f>
        <v>10/510330-445778</v>
      </c>
      <c r="I554" t="s">
        <v>435</v>
      </c>
      <c r="J554" s="37">
        <v>113</v>
      </c>
      <c r="K554" s="53">
        <v>160.34</v>
      </c>
      <c r="L554" s="53">
        <v>128.8075</v>
      </c>
      <c r="M554" s="5" t="str">
        <f>IF(Faturamento!$S171&lt;&gt;"","Não emitido",IF(Faturamento!$I171="NÃO","Pendente Fatura", IF(Faturamento!$R171&lt;&gt;"","Aprovado",IF(Faturamento!$O171&lt;&gt;0,"Pendente Emissão","Processo de Calculo"))))</f>
        <v>Aprovado</v>
      </c>
      <c r="N554" s="3">
        <v>126.13</v>
      </c>
      <c r="O554" s="3">
        <v>94.6</v>
      </c>
      <c r="P554" s="4"/>
      <c r="Q554" s="4"/>
      <c r="R554" s="3">
        <v>94.6</v>
      </c>
      <c r="S554"/>
      <c r="T554" s="51" t="s">
        <v>731</v>
      </c>
      <c r="U554" s="51"/>
      <c r="V554" t="s">
        <v>568</v>
      </c>
      <c r="W554" s="3">
        <v>94.6</v>
      </c>
      <c r="X554" s="123">
        <f>IF(Faturamento!$V413="Pago",IFERROR(W554-R554,0),0)</f>
        <v>0</v>
      </c>
      <c r="Y554" s="4"/>
      <c r="Z554" s="4"/>
      <c r="AA554" s="5"/>
      <c r="AB554" s="5"/>
      <c r="AI554"/>
    </row>
    <row r="555" spans="1:35" hidden="1" x14ac:dyDescent="0.3">
      <c r="A555" s="5" t="str">
        <f>VLOOKUP(B555,base!A:M,11,FALSE)</f>
        <v>TRIFÁSICO</v>
      </c>
      <c r="B555" t="s">
        <v>164</v>
      </c>
      <c r="C555" s="56" t="s">
        <v>166</v>
      </c>
      <c r="D555">
        <v>62955505419443</v>
      </c>
      <c r="E555" s="37" t="s">
        <v>433</v>
      </c>
      <c r="F555" t="s">
        <v>108</v>
      </c>
      <c r="G555" s="4">
        <v>45931</v>
      </c>
      <c r="H555" s="52" t="str">
        <f>Faturamento!$B958&amp;Faturamento!$G958</f>
        <v>10/908866-745809</v>
      </c>
      <c r="I555" s="37" t="s">
        <v>435</v>
      </c>
      <c r="J555">
        <v>108</v>
      </c>
      <c r="K555" s="3">
        <v>280.22160000000002</v>
      </c>
      <c r="L555" s="3">
        <v>243.4992693815999</v>
      </c>
      <c r="M555" s="5" t="s">
        <v>1489</v>
      </c>
      <c r="N555" s="53">
        <v>131.30159999999998</v>
      </c>
      <c r="O555" s="53">
        <v>94.58</v>
      </c>
      <c r="P555" s="52">
        <v>45967</v>
      </c>
      <c r="Q555" s="52">
        <v>45974</v>
      </c>
      <c r="R555" s="53">
        <v>94.58</v>
      </c>
      <c r="S555" s="37"/>
      <c r="T555" s="3" t="str">
        <f>D555&amp;R555</f>
        <v>6295550541944394,58</v>
      </c>
      <c r="U555" s="3" t="s">
        <v>1770</v>
      </c>
      <c r="V555" s="37" t="s">
        <v>568</v>
      </c>
      <c r="W555" s="13">
        <f>R555</f>
        <v>94.58</v>
      </c>
      <c r="X555" s="124">
        <f>IF(Faturamento!$V960="Pago",IFERROR(W555-R555,0),0)</f>
        <v>0</v>
      </c>
    </row>
    <row r="556" spans="1:35" hidden="1" x14ac:dyDescent="0.3">
      <c r="A556" s="5" t="str">
        <f>VLOOKUP(B556,base!A:M,11,FALSE)</f>
        <v>TRIFÁSICO</v>
      </c>
      <c r="B556" t="s">
        <v>302</v>
      </c>
      <c r="C556" s="1">
        <v>67992637973</v>
      </c>
      <c r="D556" s="60">
        <v>62955505321630</v>
      </c>
      <c r="E556" s="63" t="s">
        <v>433</v>
      </c>
      <c r="F556" t="s">
        <v>434</v>
      </c>
      <c r="G556" s="4">
        <v>45839</v>
      </c>
      <c r="H556" s="4" t="str">
        <f>Faturamento!$B627&amp;Faturamento!$G627</f>
        <v>10/511753-645901</v>
      </c>
      <c r="I556" t="s">
        <v>435</v>
      </c>
      <c r="J556" s="37">
        <v>105</v>
      </c>
      <c r="K556" s="53">
        <v>281.61150000000004</v>
      </c>
      <c r="L556" s="53">
        <v>253.59682790000002</v>
      </c>
      <c r="M556" s="5" t="str">
        <f>IF(Faturamento!$S627&lt;&gt;"","Não emitido",IF(Faturamento!$I627="NÃO","Pendente Fatura", IF(Faturamento!$R627&lt;&gt;"","Aprovado",IF(Faturamento!$O627&lt;&gt;0,"Pendente Emissão","Processo de Calculo"))))</f>
        <v>Aprovado</v>
      </c>
      <c r="N556" s="3">
        <v>122.12149999999998</v>
      </c>
      <c r="O556" s="3">
        <v>94.11</v>
      </c>
      <c r="P556" s="4">
        <v>45910</v>
      </c>
      <c r="Q556" s="4">
        <v>45920</v>
      </c>
      <c r="R556" s="3">
        <v>94.11</v>
      </c>
      <c r="S556"/>
      <c r="T556" s="51" t="s">
        <v>1169</v>
      </c>
      <c r="U556" s="51" t="s">
        <v>1170</v>
      </c>
      <c r="V556" t="s">
        <v>568</v>
      </c>
      <c r="W556" s="3">
        <v>94.11</v>
      </c>
      <c r="X556" s="123">
        <f>IF(Faturamento!$V412="Pago",IFERROR(W556-R556,0),0)</f>
        <v>0</v>
      </c>
      <c r="Y556" s="4"/>
      <c r="Z556" s="4"/>
      <c r="AA556" s="5"/>
      <c r="AB556" s="5"/>
      <c r="AI556"/>
    </row>
    <row r="557" spans="1:35" hidden="1" x14ac:dyDescent="0.3">
      <c r="A557" s="5" t="str">
        <f>VLOOKUP(B557,base!A:M,11,FALSE)</f>
        <v>TRIFÁSICO</v>
      </c>
      <c r="B557" s="37" t="s">
        <v>322</v>
      </c>
      <c r="C557" s="56">
        <v>67998363594</v>
      </c>
      <c r="D557" s="59">
        <v>62955505182257</v>
      </c>
      <c r="E557" s="37" t="s">
        <v>433</v>
      </c>
      <c r="F557" s="37" t="s">
        <v>434</v>
      </c>
      <c r="G557" s="52">
        <v>45809</v>
      </c>
      <c r="H557" s="52" t="str">
        <f>Faturamento!$B568&amp;Faturamento!$G568</f>
        <v>10/226667-445717</v>
      </c>
      <c r="I557" s="37" t="s">
        <v>435</v>
      </c>
      <c r="J557" s="37">
        <v>123</v>
      </c>
      <c r="K557" s="53">
        <v>287.74455696202529</v>
      </c>
      <c r="L557" s="53">
        <v>258.25277176469706</v>
      </c>
      <c r="M557" s="5" t="str">
        <f>IF(Faturamento!$S568&lt;&gt;"","Não emitido",IF(Faturamento!$I568="NÃO","Pendente Fatura", IF(Faturamento!$R568&lt;&gt;"","Aprovado",IF(Faturamento!$O568&lt;&gt;0,"Pendente Emissão","Processo de Calculo"))))</f>
        <v>Aprovado</v>
      </c>
      <c r="N557" s="53">
        <v>124.30455696202533</v>
      </c>
      <c r="O557" s="53">
        <v>93.23</v>
      </c>
      <c r="P557" s="52">
        <v>45860</v>
      </c>
      <c r="Q557" s="52">
        <v>45871</v>
      </c>
      <c r="R557" s="53">
        <v>93.23</v>
      </c>
      <c r="S557" s="37"/>
      <c r="T557" s="51" t="s">
        <v>1095</v>
      </c>
      <c r="U557" s="51" t="s">
        <v>1096</v>
      </c>
      <c r="V557" s="37" t="s">
        <v>568</v>
      </c>
      <c r="W557" s="53">
        <v>93.23</v>
      </c>
      <c r="X557" s="123">
        <f>IF(Faturamento!$V411="Pago",IFERROR(W557-R557,0),0)</f>
        <v>0</v>
      </c>
      <c r="Y557" s="52" t="s">
        <v>1031</v>
      </c>
      <c r="Z557" s="52"/>
      <c r="AA557" s="5"/>
      <c r="AB557" s="5"/>
      <c r="AI557"/>
    </row>
    <row r="558" spans="1:35" hidden="1" x14ac:dyDescent="0.3">
      <c r="A558" s="5" t="str">
        <f>VLOOKUP(B558,base!A:M,11,FALSE)</f>
        <v>BIFÁSICO</v>
      </c>
      <c r="B558" t="s">
        <v>348</v>
      </c>
      <c r="C558" s="1">
        <v>67996150274</v>
      </c>
      <c r="D558" s="60">
        <v>62955505897930</v>
      </c>
      <c r="E558" s="63" t="s">
        <v>433</v>
      </c>
      <c r="F558" t="s">
        <v>434</v>
      </c>
      <c r="G558" s="4">
        <v>45778</v>
      </c>
      <c r="H558" s="4" t="str">
        <f>Faturamento!$B501&amp;Faturamento!$G501</f>
        <v>10/384823-145809</v>
      </c>
      <c r="I558" t="s">
        <v>435</v>
      </c>
      <c r="J558">
        <v>127</v>
      </c>
      <c r="K558" s="3">
        <v>232.23084507042253</v>
      </c>
      <c r="L558" s="3">
        <v>201.1606338028169</v>
      </c>
      <c r="M558" s="5" t="str">
        <f>IF(Faturamento!$S501&lt;&gt;"","Não emitido",IF(Faturamento!$I501="NÃO","Pendente Fatura", IF(Faturamento!$R501&lt;&gt;"","Aprovado",IF(Faturamento!$O501&lt;&gt;0,"Pendente Emissão","Processo de Calculo"))))</f>
        <v>Aprovado</v>
      </c>
      <c r="N558" s="3">
        <v>124.28084507042253</v>
      </c>
      <c r="O558" s="3">
        <v>93.21</v>
      </c>
      <c r="P558" s="4"/>
      <c r="Q558" s="4"/>
      <c r="R558" s="3">
        <v>93.21</v>
      </c>
      <c r="S558"/>
      <c r="T558" s="51" t="s">
        <v>989</v>
      </c>
      <c r="U558" s="51"/>
      <c r="V558" t="s">
        <v>568</v>
      </c>
      <c r="W558" s="3">
        <v>124.28</v>
      </c>
      <c r="X558" s="123">
        <f>IF(Faturamento!$V496="Pago",IFERROR(W558-R558,0),0)</f>
        <v>31.070000000000007</v>
      </c>
      <c r="Y558" s="4">
        <v>45925</v>
      </c>
      <c r="Z558" s="4"/>
      <c r="AA558" s="5"/>
      <c r="AB558" s="5"/>
      <c r="AI558"/>
    </row>
    <row r="559" spans="1:35" hidden="1" x14ac:dyDescent="0.3">
      <c r="A559" s="5" t="str">
        <f>VLOOKUP(B559,base!A:M,11,FALSE)</f>
        <v>MONOFÁSICO</v>
      </c>
      <c r="B559" s="37" t="s">
        <v>167</v>
      </c>
      <c r="C559" s="56">
        <v>67992337953</v>
      </c>
      <c r="D559" s="59">
        <v>62955505091456</v>
      </c>
      <c r="E559" s="37" t="s">
        <v>433</v>
      </c>
      <c r="F559" s="37" t="s">
        <v>434</v>
      </c>
      <c r="G559" s="52">
        <v>45778</v>
      </c>
      <c r="H559" s="52" t="str">
        <f>Faturamento!$B452&amp;Faturamento!$G452</f>
        <v>10/76927-345901</v>
      </c>
      <c r="I559" s="37" t="s">
        <v>435</v>
      </c>
      <c r="J559">
        <v>109</v>
      </c>
      <c r="K559" s="3">
        <v>209.25833333333333</v>
      </c>
      <c r="L559" s="3">
        <v>178.19624999999996</v>
      </c>
      <c r="M559" s="5" t="str">
        <f>IF(Faturamento!$S452&lt;&gt;"","Não emitido",IF(Faturamento!$I452="NÃO","Pendente Fatura", IF(Faturamento!$R452&lt;&gt;"","Aprovado",IF(Faturamento!$O452&lt;&gt;0,"Pendente Emissão","Processo de Calculo"))))</f>
        <v>Aprovado</v>
      </c>
      <c r="N559" s="53">
        <v>124.24833333333335</v>
      </c>
      <c r="O559" s="53">
        <v>93.19</v>
      </c>
      <c r="P559" s="52"/>
      <c r="Q559" s="52"/>
      <c r="R559" s="53">
        <v>93.19</v>
      </c>
      <c r="S559" s="37"/>
      <c r="T559" s="51" t="s">
        <v>946</v>
      </c>
      <c r="U559" s="51"/>
      <c r="V559" s="37" t="s">
        <v>702</v>
      </c>
      <c r="W559" s="53">
        <v>0</v>
      </c>
      <c r="X559" s="123">
        <f>IF(Faturamento!$V179="Pago",IFERROR(W559-R559,0),0)</f>
        <v>-93.19</v>
      </c>
      <c r="Y559" s="52"/>
      <c r="Z559" s="52"/>
      <c r="AA559" s="5"/>
      <c r="AB559" s="5"/>
      <c r="AI559"/>
    </row>
    <row r="560" spans="1:35" hidden="1" x14ac:dyDescent="0.3">
      <c r="A560" s="5" t="str">
        <f>VLOOKUP(B560,base!A:M,11,FALSE)</f>
        <v>TRIFÁSICO</v>
      </c>
      <c r="B560" s="37" t="s">
        <v>326</v>
      </c>
      <c r="C560" s="56">
        <v>0</v>
      </c>
      <c r="D560" s="59">
        <v>62955505058599</v>
      </c>
      <c r="E560" s="37" t="s">
        <v>433</v>
      </c>
      <c r="F560" s="37" t="s">
        <v>434</v>
      </c>
      <c r="G560" s="52">
        <v>45870</v>
      </c>
      <c r="H560" s="52" t="str">
        <f>Faturamento!$B760&amp;Faturamento!$G760</f>
        <v>10/226667-445809</v>
      </c>
      <c r="I560" s="37" t="s">
        <v>435</v>
      </c>
      <c r="J560">
        <v>119</v>
      </c>
      <c r="K560" s="3">
        <v>257.00299999999999</v>
      </c>
      <c r="L560" s="3">
        <v>229.85310400427034</v>
      </c>
      <c r="M560" s="5" t="str">
        <f>IF(Faturamento!$S760&lt;&gt;"","Não emitido",IF(Faturamento!$I760="NÃO","Pendente Fatura", IF(Faturamento!$R760&lt;&gt;"","Aprovado",IF(Faturamento!$O760&lt;&gt;0,"Pendente Emissão","Processo de Calculo"))))</f>
        <v>Aprovado</v>
      </c>
      <c r="N560" s="53">
        <v>120.15299999999998</v>
      </c>
      <c r="O560" s="53">
        <v>93</v>
      </c>
      <c r="P560" s="52">
        <v>45910</v>
      </c>
      <c r="Q560" s="52">
        <v>45920</v>
      </c>
      <c r="R560" s="53">
        <v>93</v>
      </c>
      <c r="S560" s="37"/>
      <c r="T560" s="51" t="s">
        <v>1416</v>
      </c>
      <c r="U560" s="51" t="s">
        <v>1417</v>
      </c>
      <c r="V560" s="37" t="s">
        <v>568</v>
      </c>
      <c r="W560" s="53">
        <v>93</v>
      </c>
      <c r="X560" s="123">
        <f>IF(Faturamento!$V409="Pago",IFERROR(W560-R560,0),0)</f>
        <v>0</v>
      </c>
      <c r="Y560" s="52"/>
      <c r="Z560" s="52"/>
      <c r="AA560" s="5"/>
      <c r="AB560" s="5"/>
      <c r="AI560"/>
    </row>
    <row r="561" spans="1:35" hidden="1" x14ac:dyDescent="0.3">
      <c r="A561" s="5" t="str">
        <f>VLOOKUP(B561,base!A:M,11,FALSE)</f>
        <v>MONOFÁSICO</v>
      </c>
      <c r="B561" t="s">
        <v>261</v>
      </c>
      <c r="C561" s="56">
        <v>67999159477</v>
      </c>
      <c r="D561">
        <v>62955505000167</v>
      </c>
      <c r="E561" s="37" t="s">
        <v>433</v>
      </c>
      <c r="F561" t="s">
        <v>108</v>
      </c>
      <c r="G561" s="4">
        <v>45931</v>
      </c>
      <c r="H561" s="52" t="str">
        <f>Faturamento!$B964&amp;Faturamento!$G964</f>
        <v>10/31292-645839</v>
      </c>
      <c r="I561" s="37" t="s">
        <v>435</v>
      </c>
      <c r="J561">
        <v>105</v>
      </c>
      <c r="K561" s="3">
        <v>166.5</v>
      </c>
      <c r="L561" s="3">
        <v>130.45773740157597</v>
      </c>
      <c r="M561" s="5" t="s">
        <v>1489</v>
      </c>
      <c r="N561" s="53">
        <v>128.86999999999998</v>
      </c>
      <c r="O561" s="53">
        <v>92.83</v>
      </c>
      <c r="P561" s="52">
        <v>45967</v>
      </c>
      <c r="Q561" s="52">
        <v>45974</v>
      </c>
      <c r="R561" s="53">
        <v>92.83</v>
      </c>
      <c r="S561" s="37"/>
      <c r="T561" s="3" t="str">
        <f>D561&amp;R561</f>
        <v>6295550500016792,83</v>
      </c>
      <c r="U561" s="3" t="s">
        <v>1776</v>
      </c>
      <c r="V561" s="37" t="s">
        <v>568</v>
      </c>
      <c r="W561" s="13">
        <f>R561</f>
        <v>92.83</v>
      </c>
      <c r="X561" s="124">
        <f>IF(Faturamento!$V966="Pago",IFERROR(W561-R561,0),0)</f>
        <v>0</v>
      </c>
    </row>
    <row r="562" spans="1:35" hidden="1" x14ac:dyDescent="0.3">
      <c r="A562" s="5" t="str">
        <f>VLOOKUP(B562,base!A:M,11,FALSE)</f>
        <v>TRIFÁSICO</v>
      </c>
      <c r="B562" t="s">
        <v>191</v>
      </c>
      <c r="C562" s="1">
        <v>67991767866</v>
      </c>
      <c r="D562" s="60">
        <v>62955505461210</v>
      </c>
      <c r="E562" s="63" t="s">
        <v>433</v>
      </c>
      <c r="F562" t="s">
        <v>434</v>
      </c>
      <c r="G562" s="4">
        <v>45778</v>
      </c>
      <c r="H562" s="4" t="str">
        <f>Faturamento!$B451&amp;Faturamento!$G451</f>
        <v>10/341308-545901</v>
      </c>
      <c r="I562" t="s">
        <v>435</v>
      </c>
      <c r="J562">
        <v>109</v>
      </c>
      <c r="K562" s="3">
        <v>349.44580882352943</v>
      </c>
      <c r="L562" s="3">
        <v>318.63685661764708</v>
      </c>
      <c r="M562" s="5" t="str">
        <f>IF(Faturamento!$S451&lt;&gt;"","Não emitido",IF(Faturamento!$I451="NÃO","Pendente Fatura", IF(Faturamento!$R451&lt;&gt;"","Aprovado",IF(Faturamento!$O451&lt;&gt;0,"Pendente Emissão","Processo de Calculo"))))</f>
        <v>Aprovado</v>
      </c>
      <c r="N562" s="3">
        <v>123.23580882352942</v>
      </c>
      <c r="O562" s="3">
        <v>92.43</v>
      </c>
      <c r="P562" s="4"/>
      <c r="Q562" s="4"/>
      <c r="R562" s="3">
        <v>92.43</v>
      </c>
      <c r="S562"/>
      <c r="T562" s="51" t="s">
        <v>945</v>
      </c>
      <c r="U562" s="51"/>
      <c r="V562" t="s">
        <v>568</v>
      </c>
      <c r="W562" s="3">
        <v>92.43</v>
      </c>
      <c r="X562" s="123">
        <f>IF(Faturamento!$V408="Pago",IFERROR(W562-R562,0),0)</f>
        <v>0</v>
      </c>
      <c r="Y562" s="4"/>
      <c r="Z562" s="4"/>
      <c r="AA562" s="5"/>
      <c r="AB562" s="5"/>
      <c r="AI562"/>
    </row>
    <row r="563" spans="1:35" hidden="1" x14ac:dyDescent="0.3">
      <c r="A563" s="5" t="str">
        <f>VLOOKUP(B563,base!A:M,11,FALSE)</f>
        <v>TRIFÁSICO</v>
      </c>
      <c r="B563" s="37" t="s">
        <v>311</v>
      </c>
      <c r="C563" s="56" t="s">
        <v>313</v>
      </c>
      <c r="D563" s="59">
        <v>62955505193534</v>
      </c>
      <c r="E563" s="37" t="s">
        <v>433</v>
      </c>
      <c r="F563" s="37" t="s">
        <v>434</v>
      </c>
      <c r="G563" s="52">
        <v>45778</v>
      </c>
      <c r="H563" s="52" t="str">
        <f>Faturamento!$B446&amp;Faturamento!$G446</f>
        <v>10/395471-645778</v>
      </c>
      <c r="I563" s="37" t="s">
        <v>435</v>
      </c>
      <c r="J563">
        <v>109</v>
      </c>
      <c r="K563" s="3">
        <v>304.96721739130436</v>
      </c>
      <c r="L563" s="3">
        <v>274.21041304347824</v>
      </c>
      <c r="M563" s="5" t="str">
        <f>IF(Faturamento!$S446&lt;&gt;"","Não emitido",IF(Faturamento!$I446="NÃO","Pendente Fatura", IF(Faturamento!$R446&lt;&gt;"","Aprovado",IF(Faturamento!$O446&lt;&gt;0,"Pendente Emissão","Processo de Calculo"))))</f>
        <v>Aprovado</v>
      </c>
      <c r="N563" s="53">
        <v>123.02721739130436</v>
      </c>
      <c r="O563" s="53">
        <v>92.27</v>
      </c>
      <c r="P563" s="52"/>
      <c r="Q563" s="52"/>
      <c r="R563" s="53">
        <v>92.27</v>
      </c>
      <c r="S563" s="37"/>
      <c r="T563" s="51" t="s">
        <v>941</v>
      </c>
      <c r="U563" s="51"/>
      <c r="V563" s="37" t="s">
        <v>568</v>
      </c>
      <c r="W563" s="53">
        <v>92.27</v>
      </c>
      <c r="X563" s="123">
        <f>IF(Faturamento!$V407="Pago",IFERROR(W563-R563,0),0)</f>
        <v>0</v>
      </c>
      <c r="Y563" s="52"/>
      <c r="Z563" s="52"/>
      <c r="AA563" s="5"/>
      <c r="AB563" s="5"/>
      <c r="AI563"/>
    </row>
    <row r="564" spans="1:35" hidden="1" x14ac:dyDescent="0.3">
      <c r="A564" s="5" t="str">
        <f>VLOOKUP(B564,base!A:M,11,FALSE)</f>
        <v>BIFÁSICO</v>
      </c>
      <c r="B564" s="37" t="s">
        <v>202</v>
      </c>
      <c r="C564" s="56">
        <v>67999031330</v>
      </c>
      <c r="D564" s="59">
        <v>62955505017051</v>
      </c>
      <c r="E564" s="37" t="s">
        <v>433</v>
      </c>
      <c r="F564" s="37" t="s">
        <v>434</v>
      </c>
      <c r="G564" s="52">
        <v>45717</v>
      </c>
      <c r="H564" s="52" t="str">
        <f>Faturamento!$B270&amp;Faturamento!$G270</f>
        <v>10/63920-345870</v>
      </c>
      <c r="I564" s="37" t="s">
        <v>435</v>
      </c>
      <c r="J564">
        <v>110</v>
      </c>
      <c r="K564" s="3">
        <v>198.53</v>
      </c>
      <c r="L564" s="3">
        <v>167.83499999999998</v>
      </c>
      <c r="M564" s="5" t="str">
        <f>IF(Faturamento!$S270&lt;&gt;"","Não emitido",IF(Faturamento!$I270="NÃO","Pendente Fatura", IF(Faturamento!$R270&lt;&gt;"","Aprovado",IF(Faturamento!$O270&lt;&gt;0,"Pendente Emissão","Processo de Calculo"))))</f>
        <v>Aprovado</v>
      </c>
      <c r="N564" s="53">
        <v>122.78</v>
      </c>
      <c r="O564" s="53">
        <v>92.09</v>
      </c>
      <c r="P564" s="52"/>
      <c r="Q564" s="52"/>
      <c r="R564" s="53">
        <v>92.09</v>
      </c>
      <c r="S564" s="37"/>
      <c r="T564" s="51" t="s">
        <v>810</v>
      </c>
      <c r="U564" s="51"/>
      <c r="V564" s="37" t="s">
        <v>568</v>
      </c>
      <c r="W564" s="53">
        <v>92.09</v>
      </c>
      <c r="X564" s="123">
        <f>IF(Faturamento!$V406="Pago",IFERROR(W564-R564,0),0)</f>
        <v>0</v>
      </c>
      <c r="Y564" s="52"/>
      <c r="Z564" s="52"/>
      <c r="AA564" s="5"/>
      <c r="AB564" s="5"/>
      <c r="AI564"/>
    </row>
    <row r="565" spans="1:35" hidden="1" x14ac:dyDescent="0.3">
      <c r="A565" s="5" t="str">
        <f>VLOOKUP(B565,base!A:M,11,FALSE)</f>
        <v>TRIFÁSICO</v>
      </c>
      <c r="B565" t="s">
        <v>324</v>
      </c>
      <c r="C565" s="1">
        <v>0</v>
      </c>
      <c r="D565" s="60">
        <v>62955505136492</v>
      </c>
      <c r="E565" s="63" t="s">
        <v>433</v>
      </c>
      <c r="F565" t="s">
        <v>434</v>
      </c>
      <c r="G565" s="4">
        <v>45870</v>
      </c>
      <c r="H565" s="4" t="str">
        <f>Faturamento!$B785&amp;Faturamento!$G785</f>
        <v>10/113971-645627</v>
      </c>
      <c r="I565" t="s">
        <v>435</v>
      </c>
      <c r="J565">
        <v>117</v>
      </c>
      <c r="K565" s="3">
        <v>271.82444444444445</v>
      </c>
      <c r="L565" s="3">
        <v>244.99056750672898</v>
      </c>
      <c r="M565" s="5" t="s">
        <v>1489</v>
      </c>
      <c r="N565" s="3">
        <v>118.75444444444445</v>
      </c>
      <c r="O565" s="3">
        <v>91.92</v>
      </c>
      <c r="P565" s="4">
        <v>45910</v>
      </c>
      <c r="Q565" s="4">
        <v>45920</v>
      </c>
      <c r="R565" s="3">
        <v>91.92</v>
      </c>
      <c r="S565"/>
      <c r="T565" s="51" t="s">
        <v>1466</v>
      </c>
      <c r="U565" s="51" t="s">
        <v>1467</v>
      </c>
      <c r="V565" t="s">
        <v>568</v>
      </c>
      <c r="W565" s="3">
        <v>91.92</v>
      </c>
      <c r="X565" s="123">
        <f>IF(Faturamento!$V405="Pago",IFERROR(W565-R565,0),0)</f>
        <v>0</v>
      </c>
      <c r="Y565" s="4"/>
      <c r="Z565" s="4"/>
      <c r="AA565" s="5"/>
      <c r="AB565" s="5"/>
      <c r="AI565"/>
    </row>
    <row r="566" spans="1:35" hidden="1" x14ac:dyDescent="0.3">
      <c r="A566" s="5" t="str">
        <f>VLOOKUP(B566,base!A:M,11,FALSE)</f>
        <v>TRIFÁSICO</v>
      </c>
      <c r="B566" t="s">
        <v>196</v>
      </c>
      <c r="C566" s="1" t="s">
        <v>175</v>
      </c>
      <c r="D566" s="60">
        <v>62955505215791</v>
      </c>
      <c r="E566" s="63" t="s">
        <v>433</v>
      </c>
      <c r="F566" t="s">
        <v>434</v>
      </c>
      <c r="G566" s="4">
        <v>45748</v>
      </c>
      <c r="H566" s="4" t="str">
        <f>Faturamento!$B341&amp;Faturamento!$G341</f>
        <v>10/63920-345748</v>
      </c>
      <c r="I566" t="s">
        <v>435</v>
      </c>
      <c r="J566" s="37">
        <v>109</v>
      </c>
      <c r="K566" s="53">
        <v>1078.9799999999998</v>
      </c>
      <c r="L566" s="53">
        <v>1048.3999999999999</v>
      </c>
      <c r="M566" s="5" t="str">
        <f>IF(Faturamento!$S341&lt;&gt;"","Não emitido",IF(Faturamento!$I341="NÃO","Pendente Fatura", IF(Faturamento!$R341&lt;&gt;"","Aprovado",IF(Faturamento!$O341&lt;&gt;0,"Pendente Emissão","Processo de Calculo"))))</f>
        <v>Aprovado</v>
      </c>
      <c r="N566" s="3">
        <v>122.32</v>
      </c>
      <c r="O566" s="3">
        <v>91.74</v>
      </c>
      <c r="P566" s="4"/>
      <c r="Q566" s="4"/>
      <c r="R566" s="3">
        <v>91.74</v>
      </c>
      <c r="S566"/>
      <c r="T566" s="51" t="s">
        <v>844</v>
      </c>
      <c r="U566" s="51"/>
      <c r="V566" t="s">
        <v>568</v>
      </c>
      <c r="W566" s="3">
        <v>91.74</v>
      </c>
      <c r="X566" s="123">
        <f>IF(Faturamento!$V404="Pago",IFERROR(W566-R566,0),0)</f>
        <v>0</v>
      </c>
      <c r="Y566" s="4"/>
      <c r="Z566" s="4"/>
      <c r="AA566" s="5"/>
      <c r="AB566" s="5"/>
      <c r="AI566"/>
    </row>
    <row r="567" spans="1:35" hidden="1" x14ac:dyDescent="0.3">
      <c r="A567" s="5" t="str">
        <f>VLOOKUP(B567,base!A:M,11,FALSE)</f>
        <v>TRIFÁSICO</v>
      </c>
      <c r="B567" t="s">
        <v>228</v>
      </c>
      <c r="C567" s="1">
        <v>67991162146</v>
      </c>
      <c r="D567" s="60">
        <v>62955505015199</v>
      </c>
      <c r="E567" s="63" t="s">
        <v>433</v>
      </c>
      <c r="F567" t="s">
        <v>434</v>
      </c>
      <c r="G567" s="4">
        <v>45748</v>
      </c>
      <c r="H567" s="4" t="str">
        <f>Faturamento!$B377&amp;Faturamento!$G377</f>
        <v>10/276283-945778</v>
      </c>
      <c r="I567" t="s">
        <v>435</v>
      </c>
      <c r="J567" s="37">
        <v>109</v>
      </c>
      <c r="K567" s="53">
        <v>447.2</v>
      </c>
      <c r="L567" s="53">
        <v>416.62749999999994</v>
      </c>
      <c r="M567" s="5" t="str">
        <f>IF(Faturamento!$S377&lt;&gt;"","Não emitido",IF(Faturamento!$I377="NÃO","Pendente Fatura", IF(Faturamento!$R377&lt;&gt;"","Aprovado",IF(Faturamento!$O377&lt;&gt;0,"Pendente Emissão","Processo de Calculo"))))</f>
        <v>Aprovado</v>
      </c>
      <c r="N567" s="3">
        <v>122.28999999999999</v>
      </c>
      <c r="O567" s="3">
        <v>91.72</v>
      </c>
      <c r="P567" s="4"/>
      <c r="Q567" s="4"/>
      <c r="R567" s="3">
        <v>91.72</v>
      </c>
      <c r="S567"/>
      <c r="T567" s="51" t="s">
        <v>877</v>
      </c>
      <c r="U567" s="51"/>
      <c r="V567" t="s">
        <v>568</v>
      </c>
      <c r="W567" s="3">
        <v>91.72</v>
      </c>
      <c r="X567" s="123">
        <f>IF(Faturamento!$V403="Pago",IFERROR(W567-R567,0),0)</f>
        <v>0</v>
      </c>
      <c r="Y567" s="4"/>
      <c r="Z567" s="4"/>
      <c r="AA567" s="5"/>
      <c r="AB567" s="5"/>
      <c r="AI567"/>
    </row>
    <row r="568" spans="1:35" hidden="1" x14ac:dyDescent="0.3">
      <c r="A568" s="5" t="str">
        <f>VLOOKUP(B568,base!A:M,11,FALSE)</f>
        <v>BIFÁSICO</v>
      </c>
      <c r="B568" s="37" t="s">
        <v>204</v>
      </c>
      <c r="C568" s="56">
        <v>67992637973</v>
      </c>
      <c r="D568" s="59">
        <v>62955505040894</v>
      </c>
      <c r="E568" s="37" t="s">
        <v>433</v>
      </c>
      <c r="F568" s="37" t="s">
        <v>434</v>
      </c>
      <c r="G568" s="52">
        <v>45717</v>
      </c>
      <c r="H568" s="52" t="str">
        <f>Faturamento!$B268&amp;Faturamento!$G268</f>
        <v>10/452884-045748</v>
      </c>
      <c r="I568" s="37" t="s">
        <v>435</v>
      </c>
      <c r="J568">
        <v>115</v>
      </c>
      <c r="K568" s="3">
        <v>218.15</v>
      </c>
      <c r="L568" s="3">
        <v>187.80249999999998</v>
      </c>
      <c r="M568" s="5" t="str">
        <f>IF(Faturamento!$S268&lt;&gt;"","Não emitido",IF(Faturamento!$I268="NÃO","Pendente Fatura", IF(Faturamento!$R268&lt;&gt;"","Aprovado",IF(Faturamento!$O268&lt;&gt;0,"Pendente Emissão","Processo de Calculo"))))</f>
        <v>Aprovado</v>
      </c>
      <c r="N568" s="53">
        <v>121.39</v>
      </c>
      <c r="O568" s="53">
        <v>91.04</v>
      </c>
      <c r="P568" s="52"/>
      <c r="Q568" s="52"/>
      <c r="R568" s="53">
        <v>91.04</v>
      </c>
      <c r="S568" s="37"/>
      <c r="T568" s="51" t="s">
        <v>808</v>
      </c>
      <c r="U568" s="51"/>
      <c r="V568" s="37" t="s">
        <v>568</v>
      </c>
      <c r="W568" s="53">
        <v>91.04</v>
      </c>
      <c r="X568" s="123">
        <f>IF(Faturamento!$V402="Pago",IFERROR(W568-R568,0),0)</f>
        <v>0</v>
      </c>
      <c r="Y568" s="52"/>
      <c r="Z568" s="52"/>
      <c r="AA568" s="5"/>
      <c r="AB568" s="5"/>
      <c r="AI568"/>
    </row>
    <row r="569" spans="1:35" hidden="1" x14ac:dyDescent="0.3">
      <c r="A569" s="5" t="str">
        <f>VLOOKUP(B569,base!A:M,11,FALSE)</f>
        <v>TRIFÁSICO</v>
      </c>
      <c r="B569" t="s">
        <v>177</v>
      </c>
      <c r="C569" s="1">
        <v>0</v>
      </c>
      <c r="D569" s="60">
        <v>62955505015350</v>
      </c>
      <c r="E569" s="63" t="s">
        <v>433</v>
      </c>
      <c r="F569" t="s">
        <v>434</v>
      </c>
      <c r="G569" s="4">
        <v>45870</v>
      </c>
      <c r="H569" s="4" t="str">
        <f>Faturamento!$B733&amp;Faturamento!$G733</f>
        <v>10/175073-645839</v>
      </c>
      <c r="I569" t="s">
        <v>435</v>
      </c>
      <c r="J569">
        <v>100</v>
      </c>
      <c r="K569" s="3">
        <v>272.78999999999996</v>
      </c>
      <c r="L569" s="3">
        <v>246.35255914125844</v>
      </c>
      <c r="M569" s="5" t="str">
        <f>IF(Faturamento!$S733&lt;&gt;"","Não emitido",IF(Faturamento!$I733="NÃO","Pendente Fatura", IF(Faturamento!$R733&lt;&gt;"","Aprovado",IF(Faturamento!$O733&lt;&gt;0,"Pendente Emissão","Processo de Calculo"))))</f>
        <v>Aprovado</v>
      </c>
      <c r="N569" s="3">
        <v>117</v>
      </c>
      <c r="O569" s="3">
        <v>90.56</v>
      </c>
      <c r="P569" s="4">
        <v>45910</v>
      </c>
      <c r="Q569" s="4">
        <v>45920</v>
      </c>
      <c r="R569" s="3">
        <v>90.56</v>
      </c>
      <c r="S569"/>
      <c r="T569" s="51" t="s">
        <v>1369</v>
      </c>
      <c r="U569" s="51" t="s">
        <v>1370</v>
      </c>
      <c r="V569" t="s">
        <v>568</v>
      </c>
      <c r="W569" s="3">
        <v>90.56</v>
      </c>
      <c r="X569" s="123">
        <f>IF(Faturamento!$V401="Pago",IFERROR(W569-R569,0),0)</f>
        <v>0</v>
      </c>
      <c r="Y569" s="4"/>
      <c r="Z569" s="4"/>
      <c r="AA569" s="5"/>
      <c r="AB569" s="5"/>
      <c r="AI569"/>
    </row>
    <row r="570" spans="1:35" hidden="1" x14ac:dyDescent="0.3">
      <c r="A570" s="5" t="str">
        <f>VLOOKUP(B570,base!A:M,11,FALSE)</f>
        <v>TRIFÁSICO</v>
      </c>
      <c r="B570" s="37" t="s">
        <v>191</v>
      </c>
      <c r="C570" s="56">
        <v>0</v>
      </c>
      <c r="D570" s="59">
        <v>62955505461210</v>
      </c>
      <c r="E570" s="37" t="s">
        <v>433</v>
      </c>
      <c r="F570" s="37" t="s">
        <v>434</v>
      </c>
      <c r="G570" s="52">
        <v>45901</v>
      </c>
      <c r="H570" s="52" t="str">
        <f>Faturamento!$B830&amp;Faturamento!$G830</f>
        <v>10/10731-845658</v>
      </c>
      <c r="I570" s="37" t="s">
        <v>435</v>
      </c>
      <c r="J570">
        <v>102</v>
      </c>
      <c r="K570" s="3">
        <v>314.3888</v>
      </c>
      <c r="L570" s="3">
        <v>281.29747607875493</v>
      </c>
      <c r="M570" s="5" t="s">
        <v>1489</v>
      </c>
      <c r="N570" s="53">
        <v>123.2088</v>
      </c>
      <c r="O570" s="53">
        <v>90.12</v>
      </c>
      <c r="P570" s="52">
        <v>45933</v>
      </c>
      <c r="Q570" s="52">
        <v>45943</v>
      </c>
      <c r="R570" s="53">
        <f>O570</f>
        <v>90.12</v>
      </c>
      <c r="S570" s="37"/>
      <c r="T570" s="51" t="s">
        <v>1544</v>
      </c>
      <c r="U570" s="51" t="s">
        <v>1545</v>
      </c>
      <c r="V570" s="37" t="s">
        <v>568</v>
      </c>
      <c r="W570" s="53">
        <f>O570</f>
        <v>90.12</v>
      </c>
      <c r="X570" s="123">
        <f>IF(Faturamento!$V400="Pago",IFERROR(W570-R570,0),0)</f>
        <v>0</v>
      </c>
      <c r="Y570" s="52"/>
      <c r="Z570" s="52"/>
      <c r="AA570" s="5"/>
      <c r="AB570" s="5"/>
      <c r="AI570"/>
    </row>
    <row r="571" spans="1:35" hidden="1" x14ac:dyDescent="0.3">
      <c r="A571" s="5" t="str">
        <f>VLOOKUP(B571,base!A:M,11,FALSE)</f>
        <v>BIFÁSICO</v>
      </c>
      <c r="B571" t="s">
        <v>297</v>
      </c>
      <c r="C571" s="1">
        <v>0</v>
      </c>
      <c r="D571" s="60">
        <v>62955505016080</v>
      </c>
      <c r="E571" s="63" t="s">
        <v>433</v>
      </c>
      <c r="F571" t="s">
        <v>434</v>
      </c>
      <c r="G571" s="4">
        <v>45870</v>
      </c>
      <c r="H571" s="4" t="str">
        <f>Faturamento!$B727&amp;Faturamento!$G727</f>
        <v>10/3125732-245901</v>
      </c>
      <c r="I571" t="s">
        <v>435</v>
      </c>
      <c r="J571">
        <v>98</v>
      </c>
      <c r="K571" s="3">
        <v>210.21440000000001</v>
      </c>
      <c r="L571" s="3">
        <v>184.47418450462374</v>
      </c>
      <c r="M571" s="5" t="str">
        <f>IF(Faturamento!$S727&lt;&gt;"","Não emitido",IF(Faturamento!$I727="NÃO","Pendente Fatura", IF(Faturamento!$R727&lt;&gt;"","Aprovado",IF(Faturamento!$O727&lt;&gt;0,"Pendente Emissão","Processo de Calculo"))))</f>
        <v>Aprovado</v>
      </c>
      <c r="N571" s="3">
        <v>113.9144</v>
      </c>
      <c r="O571" s="3">
        <v>88.17</v>
      </c>
      <c r="P571" s="4">
        <v>45910</v>
      </c>
      <c r="Q571" s="4">
        <v>45920</v>
      </c>
      <c r="R571" s="3">
        <v>88.17</v>
      </c>
      <c r="S571"/>
      <c r="T571" s="51" t="s">
        <v>1357</v>
      </c>
      <c r="U571" s="51" t="s">
        <v>1358</v>
      </c>
      <c r="V571" t="s">
        <v>568</v>
      </c>
      <c r="W571" s="3">
        <v>88.17</v>
      </c>
      <c r="X571" s="123">
        <f>IF(Faturamento!$V399="Pago",IFERROR(W571-R571,0),0)</f>
        <v>0</v>
      </c>
      <c r="Y571" s="4">
        <v>45925</v>
      </c>
      <c r="Z571" s="4"/>
      <c r="AA571" s="5"/>
      <c r="AB571" s="5"/>
      <c r="AI571"/>
    </row>
    <row r="572" spans="1:35" hidden="1" x14ac:dyDescent="0.3">
      <c r="A572" s="5" t="str">
        <f>VLOOKUP(B572,base!A:M,11,FALSE)</f>
        <v>TRIFÁSICO</v>
      </c>
      <c r="B572" s="37" t="s">
        <v>184</v>
      </c>
      <c r="C572" s="56">
        <v>0</v>
      </c>
      <c r="D572" s="59">
        <v>62955505017213</v>
      </c>
      <c r="E572" s="37" t="s">
        <v>433</v>
      </c>
      <c r="F572" s="37" t="s">
        <v>434</v>
      </c>
      <c r="G572" s="52">
        <v>45870</v>
      </c>
      <c r="H572" s="52" t="str">
        <f>Faturamento!$B744&amp;Faturamento!$G744</f>
        <v>10/1117293-945870</v>
      </c>
      <c r="I572" s="37" t="s">
        <v>435</v>
      </c>
      <c r="J572">
        <v>97</v>
      </c>
      <c r="K572" s="3">
        <v>246.23370000000003</v>
      </c>
      <c r="L572" s="3">
        <v>220.5523925459218</v>
      </c>
      <c r="M572" s="5" t="str">
        <f>IF(Faturamento!$S744&lt;&gt;"","Não emitido",IF(Faturamento!$I744="NÃO","Pendente Fatura", IF(Faturamento!$R744&lt;&gt;"","Aprovado",IF(Faturamento!$O744&lt;&gt;0,"Pendente Emissão","Processo de Calculo"))))</f>
        <v>Aprovado</v>
      </c>
      <c r="N572" s="53">
        <v>113.6537</v>
      </c>
      <c r="O572" s="53">
        <v>87.97</v>
      </c>
      <c r="P572" s="52">
        <v>45910</v>
      </c>
      <c r="Q572" s="52">
        <v>45920</v>
      </c>
      <c r="R572" s="53">
        <v>87.97</v>
      </c>
      <c r="S572" s="37"/>
      <c r="T572" s="51" t="s">
        <v>1387</v>
      </c>
      <c r="U572" s="51" t="s">
        <v>1388</v>
      </c>
      <c r="V572" s="37" t="s">
        <v>568</v>
      </c>
      <c r="W572" s="53">
        <v>87.97</v>
      </c>
      <c r="X572" s="123">
        <f>IF(Faturamento!$V398="Pago",IFERROR(W572-R572,0),0)</f>
        <v>0</v>
      </c>
      <c r="Y572" s="52"/>
      <c r="Z572" s="52"/>
      <c r="AA572" s="5"/>
      <c r="AB572" s="5"/>
      <c r="AI572"/>
    </row>
    <row r="573" spans="1:35" hidden="1" x14ac:dyDescent="0.3">
      <c r="A573" s="5" t="str">
        <f>VLOOKUP(B573,base!A:M,11,FALSE)</f>
        <v>TRIFÁSICO</v>
      </c>
      <c r="B573" s="37" t="s">
        <v>151</v>
      </c>
      <c r="C573" s="56">
        <v>67991133770</v>
      </c>
      <c r="D573" s="59">
        <v>62955505335851</v>
      </c>
      <c r="E573" s="37" t="s">
        <v>433</v>
      </c>
      <c r="F573" s="37" t="s">
        <v>434</v>
      </c>
      <c r="G573" s="52">
        <v>45658</v>
      </c>
      <c r="H573" s="52" t="str">
        <f>Faturamento!$B94&amp;Faturamento!$G94</f>
        <v>10/532081-745689</v>
      </c>
      <c r="I573" s="37" t="s">
        <v>435</v>
      </c>
      <c r="J573">
        <v>105</v>
      </c>
      <c r="K573" s="3">
        <v>235.51000000000002</v>
      </c>
      <c r="L573" s="3">
        <v>206.21000000000004</v>
      </c>
      <c r="M573" s="5" t="str">
        <f>IF(Faturamento!$S94&lt;&gt;"","Não emitido",IF(Faturamento!$I94="NÃO","Pendente Fatura", IF(Faturamento!$R94&lt;&gt;"","Aprovado",IF(Faturamento!$O94&lt;&gt;0,"Pendente Emissão","Processo de Calculo"))))</f>
        <v>Aprovado</v>
      </c>
      <c r="N573" s="53">
        <v>117.2</v>
      </c>
      <c r="O573" s="53">
        <v>87.9</v>
      </c>
      <c r="P573" s="52"/>
      <c r="Q573" s="52"/>
      <c r="R573" s="53">
        <v>87.9</v>
      </c>
      <c r="S573" s="37"/>
      <c r="T573" s="51" t="s">
        <v>651</v>
      </c>
      <c r="U573" s="51"/>
      <c r="V573" s="37" t="s">
        <v>568</v>
      </c>
      <c r="W573" s="53">
        <v>87.9</v>
      </c>
      <c r="X573" s="123">
        <f>IF(Faturamento!$V397="Pago",IFERROR(W573-R573,0),0)</f>
        <v>0</v>
      </c>
      <c r="Y573" s="52"/>
      <c r="Z573" s="52"/>
      <c r="AA573" s="5"/>
      <c r="AB573" s="5"/>
      <c r="AI573"/>
    </row>
    <row r="574" spans="1:35" hidden="1" x14ac:dyDescent="0.3">
      <c r="A574" s="5" t="str">
        <f>VLOOKUP(B574,base!A:M,11,FALSE)</f>
        <v>MONOFÁSICO</v>
      </c>
      <c r="B574" s="37" t="s">
        <v>261</v>
      </c>
      <c r="C574" s="56">
        <v>67999159477</v>
      </c>
      <c r="D574" s="59">
        <v>62955505000167</v>
      </c>
      <c r="E574" s="37" t="s">
        <v>433</v>
      </c>
      <c r="F574" s="37" t="s">
        <v>434</v>
      </c>
      <c r="G574" s="52">
        <v>45839</v>
      </c>
      <c r="H574" s="52" t="str">
        <f>Faturamento!$B706&amp;Faturamento!$G706</f>
        <v>10/283183-245717</v>
      </c>
      <c r="I574" s="37" t="s">
        <v>435</v>
      </c>
      <c r="J574" s="37">
        <v>102</v>
      </c>
      <c r="K574" s="53">
        <v>145.41521739130434</v>
      </c>
      <c r="L574" s="53">
        <v>119.84968452173912</v>
      </c>
      <c r="M574" s="5" t="str">
        <f>IF(Faturamento!$S706&lt;&gt;"","Não emitido",IF(Faturamento!$I706="NÃO","Pendente Fatura", IF(Faturamento!$R706&lt;&gt;"","Aprovado",IF(Faturamento!$O706&lt;&gt;0,"Pendente Emissão","Processo de Calculo"))))</f>
        <v>Aprovado</v>
      </c>
      <c r="N574" s="53">
        <v>113.32521739130434</v>
      </c>
      <c r="O574" s="53">
        <v>87.76</v>
      </c>
      <c r="P574" s="52">
        <v>45910</v>
      </c>
      <c r="Q574" s="52">
        <v>45920</v>
      </c>
      <c r="R574" s="53">
        <v>87.76</v>
      </c>
      <c r="S574" s="37"/>
      <c r="T574" s="51" t="s">
        <v>1316</v>
      </c>
      <c r="U574" s="51" t="s">
        <v>1317</v>
      </c>
      <c r="V574" s="37" t="s">
        <v>568</v>
      </c>
      <c r="W574" s="53">
        <v>87.76</v>
      </c>
      <c r="X574" s="123">
        <f>IF(Faturamento!$V395="Pago",IFERROR(W574-R574,0),0)</f>
        <v>0</v>
      </c>
      <c r="Y574" s="52"/>
      <c r="Z574" s="52"/>
      <c r="AA574" s="5"/>
      <c r="AB574" s="5"/>
      <c r="AI574"/>
    </row>
    <row r="575" spans="1:35" hidden="1" x14ac:dyDescent="0.3">
      <c r="A575" s="5" t="str">
        <f>VLOOKUP(B575,base!A:M,11,FALSE)</f>
        <v>TRIFÁSICO</v>
      </c>
      <c r="B575" s="37" t="s">
        <v>151</v>
      </c>
      <c r="C575" s="56">
        <v>67991133770</v>
      </c>
      <c r="D575" s="59">
        <v>62955505335851</v>
      </c>
      <c r="E575" s="37" t="s">
        <v>433</v>
      </c>
      <c r="F575" s="37" t="s">
        <v>434</v>
      </c>
      <c r="G575" s="52">
        <v>45748</v>
      </c>
      <c r="H575" s="52" t="str">
        <f>Faturamento!$B418&amp;Faturamento!$G418</f>
        <v>10/480529-745839</v>
      </c>
      <c r="I575" s="37" t="s">
        <v>435</v>
      </c>
      <c r="J575" s="37">
        <v>120</v>
      </c>
      <c r="K575" s="53">
        <v>297.62</v>
      </c>
      <c r="L575" s="53">
        <v>268.39750000000004</v>
      </c>
      <c r="M575" s="5" t="str">
        <f>IF(Faturamento!$S418&lt;&gt;"","Não emitido",IF(Faturamento!$I418="NÃO","Pendente Fatura", IF(Faturamento!$R418&lt;&gt;"","Aprovado",IF(Faturamento!$O418&lt;&gt;0,"Pendente Emissão","Processo de Calculo"))))</f>
        <v>Aprovado</v>
      </c>
      <c r="N575" s="53">
        <v>116.88999999999999</v>
      </c>
      <c r="O575" s="53">
        <v>87.67</v>
      </c>
      <c r="P575" s="52"/>
      <c r="Q575" s="52"/>
      <c r="R575" s="53">
        <v>87.67</v>
      </c>
      <c r="S575" s="37"/>
      <c r="T575" s="51" t="s">
        <v>915</v>
      </c>
      <c r="U575" s="51"/>
      <c r="V575" s="37" t="s">
        <v>568</v>
      </c>
      <c r="W575" s="53">
        <v>116.88999999999999</v>
      </c>
      <c r="X575" s="123">
        <f>IF(Faturamento!$V170="Pago",IFERROR(W575-R575,0),0)</f>
        <v>29.219999999999985</v>
      </c>
      <c r="Y575" s="52">
        <v>45968</v>
      </c>
      <c r="Z575" s="52"/>
      <c r="AA575" s="5"/>
      <c r="AB575" s="5"/>
      <c r="AI575"/>
    </row>
    <row r="576" spans="1:35" hidden="1" x14ac:dyDescent="0.3">
      <c r="A576" s="5" t="str">
        <f>VLOOKUP(B576,base!A:M,11,FALSE)</f>
        <v>BIFÁSICO</v>
      </c>
      <c r="B576" t="s">
        <v>137</v>
      </c>
      <c r="C576" s="1">
        <v>67992637973</v>
      </c>
      <c r="D576" s="60">
        <v>62955505040894</v>
      </c>
      <c r="E576" s="63" t="s">
        <v>433</v>
      </c>
      <c r="F576" t="s">
        <v>434</v>
      </c>
      <c r="G576" s="4">
        <v>45717</v>
      </c>
      <c r="H576" s="4" t="str">
        <f>Faturamento!$B325&amp;Faturamento!$G325</f>
        <v>10/504844-245870</v>
      </c>
      <c r="I576" t="s">
        <v>435</v>
      </c>
      <c r="J576">
        <v>120</v>
      </c>
      <c r="K576" s="3">
        <v>393.07</v>
      </c>
      <c r="L576" s="3">
        <v>363.84750000000003</v>
      </c>
      <c r="M576" s="5" t="str">
        <f>IF(Faturamento!$S325&lt;&gt;"","Não emitido",IF(Faturamento!$I325="NÃO","Pendente Fatura", IF(Faturamento!$R325&lt;&gt;"","Aprovado",IF(Faturamento!$O325&lt;&gt;0,"Pendente Emissão","Processo de Calculo"))))</f>
        <v>Aprovado</v>
      </c>
      <c r="N576" s="3">
        <v>116.89</v>
      </c>
      <c r="O576" s="3">
        <v>87.67</v>
      </c>
      <c r="P576" s="4"/>
      <c r="Q576" s="4"/>
      <c r="R576" s="3">
        <v>87.67</v>
      </c>
      <c r="S576"/>
      <c r="T576" s="51" t="s">
        <v>836</v>
      </c>
      <c r="U576" s="51"/>
      <c r="V576" t="s">
        <v>568</v>
      </c>
      <c r="W576" s="3">
        <v>87.67</v>
      </c>
      <c r="X576" s="123">
        <f>IF(Faturamento!$V392="Pago",IFERROR(W576-R576,0),0)</f>
        <v>0</v>
      </c>
      <c r="Y576" s="4"/>
      <c r="Z576" s="4"/>
      <c r="AA576" s="5"/>
      <c r="AB576" s="5"/>
      <c r="AI576"/>
    </row>
    <row r="577" spans="1:35" hidden="1" x14ac:dyDescent="0.3">
      <c r="A577" s="5" t="str">
        <f>VLOOKUP(B577,base!A:M,11,FALSE)</f>
        <v>BIFÁSICO</v>
      </c>
      <c r="B577" s="37" t="s">
        <v>309</v>
      </c>
      <c r="C577" s="56">
        <v>67999516782</v>
      </c>
      <c r="D577" s="59">
        <v>62955505367117</v>
      </c>
      <c r="E577" s="37" t="s">
        <v>433</v>
      </c>
      <c r="F577" s="37" t="s">
        <v>434</v>
      </c>
      <c r="G577" s="52">
        <v>45748</v>
      </c>
      <c r="H577" s="52" t="str">
        <f>Faturamento!$B424&amp;Faturamento!$G424</f>
        <v>10/504844-245839</v>
      </c>
      <c r="I577" s="37" t="s">
        <v>435</v>
      </c>
      <c r="J577" s="37">
        <v>120</v>
      </c>
      <c r="K577" s="53">
        <v>249.74</v>
      </c>
      <c r="L577" s="53">
        <v>220.51750000000001</v>
      </c>
      <c r="M577" s="5" t="str">
        <f>IF(Faturamento!$S424&lt;&gt;"","Não emitido",IF(Faturamento!$I424="NÃO","Pendente Fatura", IF(Faturamento!$R424&lt;&gt;"","Aprovado",IF(Faturamento!$O424&lt;&gt;0,"Pendente Emissão","Processo de Calculo"))))</f>
        <v>Aprovado</v>
      </c>
      <c r="N577" s="53">
        <v>116.88999999999999</v>
      </c>
      <c r="O577" s="53">
        <v>87.67</v>
      </c>
      <c r="P577" s="52"/>
      <c r="Q577" s="52"/>
      <c r="R577" s="53">
        <v>87.67</v>
      </c>
      <c r="S577" s="37"/>
      <c r="T577" s="51" t="s">
        <v>920</v>
      </c>
      <c r="U577" s="51"/>
      <c r="V577" s="37" t="s">
        <v>568</v>
      </c>
      <c r="W577" s="53">
        <v>87.67</v>
      </c>
      <c r="X577" s="123">
        <f>IF(Faturamento!$V393="Pago",IFERROR(W577-R577,0),0)</f>
        <v>0</v>
      </c>
      <c r="Y577" s="4">
        <v>45925</v>
      </c>
      <c r="Z577" s="4"/>
      <c r="AA577" s="5"/>
      <c r="AB577" s="5"/>
      <c r="AI577"/>
    </row>
    <row r="578" spans="1:35" hidden="1" x14ac:dyDescent="0.3">
      <c r="A578" s="5" t="str">
        <f>VLOOKUP(B578,base!A:M,11,FALSE)</f>
        <v>BIFÁSICO</v>
      </c>
      <c r="B578" t="s">
        <v>253</v>
      </c>
      <c r="C578" s="1">
        <v>67996266684</v>
      </c>
      <c r="D578" s="60">
        <v>62955505016080</v>
      </c>
      <c r="E578" s="63" t="s">
        <v>433</v>
      </c>
      <c r="F578" t="s">
        <v>434</v>
      </c>
      <c r="G578" s="4">
        <v>45748</v>
      </c>
      <c r="H578" s="4" t="str">
        <f>Faturamento!$B429&amp;Faturamento!$G429</f>
        <v>10/237441-145658</v>
      </c>
      <c r="I578" t="s">
        <v>435</v>
      </c>
      <c r="J578" s="37">
        <v>120</v>
      </c>
      <c r="K578" s="53">
        <v>228.74</v>
      </c>
      <c r="L578" s="53">
        <v>199.51750000000001</v>
      </c>
      <c r="M578" s="5" t="str">
        <f>IF(Faturamento!$S429&lt;&gt;"","Não emitido",IF(Faturamento!$I429="NÃO","Pendente Fatura", IF(Faturamento!$R429&lt;&gt;"","Aprovado",IF(Faturamento!$O429&lt;&gt;0,"Pendente Emissão","Processo de Calculo"))))</f>
        <v>Aprovado</v>
      </c>
      <c r="N578" s="3">
        <v>116.88999999999999</v>
      </c>
      <c r="O578" s="3">
        <v>87.67</v>
      </c>
      <c r="P578" s="4"/>
      <c r="Q578" s="4"/>
      <c r="R578" s="3">
        <v>87.67</v>
      </c>
      <c r="S578"/>
      <c r="T578" s="51" t="s">
        <v>924</v>
      </c>
      <c r="U578" s="51"/>
      <c r="V578" t="s">
        <v>568</v>
      </c>
      <c r="W578" s="3">
        <v>87.67</v>
      </c>
      <c r="X578" s="123">
        <f>IF(Faturamento!$V394="Pago",IFERROR(W578-R578,0),0)</f>
        <v>0</v>
      </c>
      <c r="Y578" s="4"/>
      <c r="Z578" s="4"/>
      <c r="AA578" s="5"/>
      <c r="AB578" s="5"/>
      <c r="AI578"/>
    </row>
    <row r="579" spans="1:35" hidden="1" x14ac:dyDescent="0.3">
      <c r="A579" s="5" t="str">
        <f>VLOOKUP(B579,base!A:M,11,FALSE)</f>
        <v>BIFÁSICO</v>
      </c>
      <c r="B579" t="s">
        <v>250</v>
      </c>
      <c r="C579" s="1">
        <v>65999839279</v>
      </c>
      <c r="D579" s="60">
        <v>62955505015512</v>
      </c>
      <c r="E579" s="63" t="s">
        <v>433</v>
      </c>
      <c r="F579" t="s">
        <v>434</v>
      </c>
      <c r="G579" s="4">
        <v>45748</v>
      </c>
      <c r="H579" s="4" t="str">
        <f>Faturamento!$B427&amp;Faturamento!$G427</f>
        <v>10/501586-245717</v>
      </c>
      <c r="I579" t="s">
        <v>435</v>
      </c>
      <c r="J579" s="37">
        <v>120</v>
      </c>
      <c r="K579" s="53">
        <v>300.73999999999995</v>
      </c>
      <c r="L579" s="53">
        <v>271.53499999999997</v>
      </c>
      <c r="M579" s="5" t="str">
        <f>IF(Faturamento!$S427&lt;&gt;"","Não emitido",IF(Faturamento!$I427="NÃO","Pendente Fatura", IF(Faturamento!$R427&lt;&gt;"","Aprovado",IF(Faturamento!$O427&lt;&gt;0,"Pendente Emissão","Processo de Calculo"))))</f>
        <v>Aprovado</v>
      </c>
      <c r="N579" s="3">
        <v>116.82000000000001</v>
      </c>
      <c r="O579" s="3">
        <v>87.62</v>
      </c>
      <c r="P579" s="4"/>
      <c r="Q579" s="4"/>
      <c r="R579" s="3">
        <v>87.62</v>
      </c>
      <c r="S579"/>
      <c r="T579" s="51" t="s">
        <v>923</v>
      </c>
      <c r="U579" s="51"/>
      <c r="V579" t="s">
        <v>568</v>
      </c>
      <c r="W579" s="3">
        <v>87.62</v>
      </c>
      <c r="X579" s="123">
        <f>IF(Faturamento!$V391="Pago",IFERROR(W579-R579,0),0)</f>
        <v>0</v>
      </c>
      <c r="Y579" s="4"/>
      <c r="Z579" s="4"/>
      <c r="AA579" s="5"/>
      <c r="AB579" s="5"/>
      <c r="AI579"/>
    </row>
    <row r="580" spans="1:35" hidden="1" x14ac:dyDescent="0.3">
      <c r="A580" s="5" t="str">
        <f>VLOOKUP(B580,base!A:M,11,FALSE)</f>
        <v>TRIFÁSICO</v>
      </c>
      <c r="B580" t="s">
        <v>213</v>
      </c>
      <c r="C580" s="1">
        <v>67992637973</v>
      </c>
      <c r="D580" s="60">
        <v>62955505274020</v>
      </c>
      <c r="E580" s="63" t="s">
        <v>433</v>
      </c>
      <c r="F580" t="s">
        <v>434</v>
      </c>
      <c r="G580" s="4">
        <v>45748</v>
      </c>
      <c r="H580" s="4" t="str">
        <f>Faturamento!$B397&amp;Faturamento!$G397</f>
        <v>10/480529-745778</v>
      </c>
      <c r="I580" t="s">
        <v>435</v>
      </c>
      <c r="J580" s="37">
        <v>120</v>
      </c>
      <c r="K580" s="53">
        <v>301.67</v>
      </c>
      <c r="L580" s="53">
        <v>272.49</v>
      </c>
      <c r="M580" s="5" t="str">
        <f>IF(Faturamento!$S397&lt;&gt;"","Não emitido",IF(Faturamento!$I397="NÃO","Pendente Fatura", IF(Faturamento!$R397&lt;&gt;"","Aprovado",IF(Faturamento!$O397&lt;&gt;0,"Pendente Emissão","Processo de Calculo"))))</f>
        <v>Aprovado</v>
      </c>
      <c r="N580" s="3">
        <v>116.72</v>
      </c>
      <c r="O580" s="3">
        <v>87.54</v>
      </c>
      <c r="P580" s="4"/>
      <c r="Q580" s="4"/>
      <c r="R580" s="3">
        <v>87.54</v>
      </c>
      <c r="S580"/>
      <c r="T580" s="51" t="s">
        <v>895</v>
      </c>
      <c r="U580" s="51"/>
      <c r="V580" t="s">
        <v>568</v>
      </c>
      <c r="W580" s="3">
        <v>87.54</v>
      </c>
      <c r="X580" s="123">
        <f>IF(Faturamento!$V389="Pago",IFERROR(W580-R580,0),0)</f>
        <v>0</v>
      </c>
      <c r="Y580" s="4"/>
      <c r="Z580" s="4"/>
      <c r="AA580" s="5"/>
      <c r="AB580" s="5"/>
      <c r="AI580"/>
    </row>
    <row r="581" spans="1:35" hidden="1" x14ac:dyDescent="0.3">
      <c r="A581" s="5" t="str">
        <f>VLOOKUP(B581,base!A:M,11,FALSE)</f>
        <v>TRIFÁSICO</v>
      </c>
      <c r="B581" t="s">
        <v>307</v>
      </c>
      <c r="C581" s="1">
        <v>67996983476</v>
      </c>
      <c r="D581" s="60">
        <v>62955505182257</v>
      </c>
      <c r="E581" s="63" t="s">
        <v>433</v>
      </c>
      <c r="F581" t="s">
        <v>434</v>
      </c>
      <c r="G581" s="4">
        <v>45748</v>
      </c>
      <c r="H581" s="4" t="str">
        <f>Faturamento!$B415&amp;Faturamento!$G415</f>
        <v>10/72605-945778</v>
      </c>
      <c r="I581" t="s">
        <v>435</v>
      </c>
      <c r="J581" s="37">
        <v>120</v>
      </c>
      <c r="K581" s="53">
        <v>379.65999999999997</v>
      </c>
      <c r="L581" s="53">
        <v>350.47999999999996</v>
      </c>
      <c r="M581" s="5" t="str">
        <f>IF(Faturamento!$S415&lt;&gt;"","Não emitido",IF(Faturamento!$I415="NÃO","Pendente Fatura", IF(Faturamento!$R415&lt;&gt;"","Aprovado",IF(Faturamento!$O415&lt;&gt;0,"Pendente Emissão","Processo de Calculo"))))</f>
        <v>Aprovado</v>
      </c>
      <c r="N581" s="3">
        <v>116.72000000000001</v>
      </c>
      <c r="O581" s="3">
        <v>87.54</v>
      </c>
      <c r="P581" s="4"/>
      <c r="Q581" s="4"/>
      <c r="R581" s="3">
        <v>87.54</v>
      </c>
      <c r="S581"/>
      <c r="T581" s="51" t="s">
        <v>913</v>
      </c>
      <c r="U581" s="51"/>
      <c r="V581" t="s">
        <v>568</v>
      </c>
      <c r="W581" s="3">
        <v>87.54</v>
      </c>
      <c r="X581" s="123">
        <f>IF(Faturamento!$V390="Pago",IFERROR(W581-R581,0),0)</f>
        <v>0</v>
      </c>
      <c r="Y581" s="4"/>
      <c r="Z581" s="4"/>
      <c r="AA581" s="5"/>
      <c r="AB581" s="5"/>
      <c r="AI581"/>
    </row>
    <row r="582" spans="1:35" hidden="1" x14ac:dyDescent="0.3">
      <c r="A582" s="5" t="str">
        <f>VLOOKUP(B582,base!A:M,11,FALSE)</f>
        <v>TRIFÁSICO</v>
      </c>
      <c r="B582" s="37" t="s">
        <v>140</v>
      </c>
      <c r="C582" s="56">
        <v>67996575782</v>
      </c>
      <c r="D582" s="59">
        <v>62955505015601</v>
      </c>
      <c r="E582" s="37" t="s">
        <v>433</v>
      </c>
      <c r="F582" s="37" t="s">
        <v>434</v>
      </c>
      <c r="G582" s="52">
        <v>45839</v>
      </c>
      <c r="H582" s="52" t="str">
        <f>Faturamento!$B638&amp;Faturamento!$G638</f>
        <v>10/150263-245870</v>
      </c>
      <c r="I582" s="37" t="s">
        <v>435</v>
      </c>
      <c r="J582" s="37">
        <v>97</v>
      </c>
      <c r="K582" s="53">
        <v>248.93109999999999</v>
      </c>
      <c r="L582" s="53">
        <v>223.04993965999998</v>
      </c>
      <c r="M582" s="5" t="s">
        <v>1489</v>
      </c>
      <c r="N582" s="53">
        <v>112.8211</v>
      </c>
      <c r="O582" s="53">
        <v>86.94</v>
      </c>
      <c r="P582" s="52">
        <v>45910</v>
      </c>
      <c r="Q582" s="52">
        <v>45920</v>
      </c>
      <c r="R582" s="53">
        <v>86.94</v>
      </c>
      <c r="S582" s="37" t="s">
        <v>1190</v>
      </c>
      <c r="T582" s="51" t="s">
        <v>1191</v>
      </c>
      <c r="U582" s="51" t="s">
        <v>1192</v>
      </c>
      <c r="V582" s="37" t="s">
        <v>568</v>
      </c>
      <c r="W582" s="53">
        <v>86.94</v>
      </c>
      <c r="X582" s="123">
        <f>IF(Faturamento!$V388="Pago",IFERROR(W582-R582,0),0)</f>
        <v>0</v>
      </c>
      <c r="Y582" s="52">
        <v>45897</v>
      </c>
      <c r="Z582" s="52"/>
      <c r="AA582" s="5"/>
      <c r="AB582" s="5"/>
      <c r="AI582"/>
    </row>
    <row r="583" spans="1:35" hidden="1" x14ac:dyDescent="0.3">
      <c r="A583" s="5" t="str">
        <f>VLOOKUP(B583,base!A:M,11,FALSE)</f>
        <v>TRIFÁSICO</v>
      </c>
      <c r="B583" s="37" t="s">
        <v>307</v>
      </c>
      <c r="C583" s="56">
        <v>0</v>
      </c>
      <c r="D583" s="59">
        <v>62955505182257</v>
      </c>
      <c r="E583" s="37" t="s">
        <v>433</v>
      </c>
      <c r="F583" s="37" t="s">
        <v>434</v>
      </c>
      <c r="G583" s="52">
        <v>45901</v>
      </c>
      <c r="H583" s="52" t="str">
        <f>Faturamento!$B878&amp;Faturamento!$G878</f>
        <v>10/2344751-945689</v>
      </c>
      <c r="I583" s="37" t="s">
        <v>435</v>
      </c>
      <c r="J583">
        <v>111</v>
      </c>
      <c r="K583" s="3">
        <v>325.9258536585366</v>
      </c>
      <c r="L583" s="3">
        <v>294.58645760531937</v>
      </c>
      <c r="M583" s="5" t="s">
        <v>1489</v>
      </c>
      <c r="N583" s="53">
        <v>116.68585365853657</v>
      </c>
      <c r="O583" s="53">
        <v>85.35</v>
      </c>
      <c r="P583" s="52">
        <v>45933</v>
      </c>
      <c r="Q583" s="52">
        <v>45943</v>
      </c>
      <c r="R583" s="53">
        <f>O583</f>
        <v>85.35</v>
      </c>
      <c r="S583" s="37"/>
      <c r="T583" s="51" t="s">
        <v>1635</v>
      </c>
      <c r="U583" s="51" t="s">
        <v>1636</v>
      </c>
      <c r="V583" s="37" t="s">
        <v>568</v>
      </c>
      <c r="W583" s="53">
        <f>O583</f>
        <v>85.35</v>
      </c>
      <c r="X583" s="123">
        <f>IF(Faturamento!$V387="Pago",IFERROR(W583-R583,0),0)</f>
        <v>0</v>
      </c>
      <c r="Y583" s="52"/>
      <c r="Z583" s="52"/>
      <c r="AA583" s="5"/>
      <c r="AB583" s="5"/>
      <c r="AI583"/>
    </row>
    <row r="584" spans="1:35" hidden="1" x14ac:dyDescent="0.3">
      <c r="A584" s="5" t="str">
        <f>VLOOKUP(B584,base!A:M,11,FALSE)</f>
        <v>TRIFÁSICO</v>
      </c>
      <c r="B584" t="s">
        <v>146</v>
      </c>
      <c r="C584" s="1">
        <v>0</v>
      </c>
      <c r="D584" s="60">
        <v>62955505379395</v>
      </c>
      <c r="E584" s="63" t="s">
        <v>433</v>
      </c>
      <c r="F584" t="s">
        <v>434</v>
      </c>
      <c r="G584" s="4">
        <v>45870</v>
      </c>
      <c r="H584" s="4" t="str">
        <f>Faturamento!$B767&amp;Faturamento!$G767</f>
        <v>10/175073-645931</v>
      </c>
      <c r="I584" t="s">
        <v>435</v>
      </c>
      <c r="J584">
        <v>107</v>
      </c>
      <c r="K584" s="3">
        <v>225.12722891566264</v>
      </c>
      <c r="L584" s="3">
        <v>200.27214144486533</v>
      </c>
      <c r="M584" s="5" t="str">
        <f>IF(Faturamento!$S767&lt;&gt;"","Não emitido",IF(Faturamento!$I767="NÃO","Pendente Fatura", IF(Faturamento!$R767&lt;&gt;"","Aprovado",IF(Faturamento!$O767&lt;&gt;0,"Pendente Emissão","Processo de Calculo"))))</f>
        <v>Aprovado</v>
      </c>
      <c r="N584" s="3">
        <v>109.99722891566265</v>
      </c>
      <c r="O584" s="3">
        <v>85.14</v>
      </c>
      <c r="P584" s="4">
        <v>45910</v>
      </c>
      <c r="Q584" s="4">
        <v>45920</v>
      </c>
      <c r="R584" s="3">
        <v>85.14</v>
      </c>
      <c r="S584"/>
      <c r="T584" s="51" t="s">
        <v>1430</v>
      </c>
      <c r="U584" s="51" t="s">
        <v>1431</v>
      </c>
      <c r="V584" t="s">
        <v>568</v>
      </c>
      <c r="W584" s="3">
        <v>85.14</v>
      </c>
      <c r="X584" s="123">
        <f>IF(Faturamento!$V386="Pago",IFERROR(W584-R584,0),0)</f>
        <v>0</v>
      </c>
      <c r="Y584" s="4"/>
      <c r="Z584" s="4"/>
      <c r="AA584" s="5"/>
      <c r="AB584" s="5"/>
      <c r="AI584"/>
    </row>
    <row r="585" spans="1:35" hidden="1" x14ac:dyDescent="0.3">
      <c r="A585" s="5" t="str">
        <f>VLOOKUP(B585,base!A:M,11,FALSE)</f>
        <v>TRIFÁSICO</v>
      </c>
      <c r="B585" s="37" t="s">
        <v>232</v>
      </c>
      <c r="C585" s="56" t="s">
        <v>234</v>
      </c>
      <c r="D585" s="59">
        <v>62955505287601</v>
      </c>
      <c r="E585" s="37" t="s">
        <v>433</v>
      </c>
      <c r="F585" s="37" t="s">
        <v>434</v>
      </c>
      <c r="G585" s="52">
        <v>45658</v>
      </c>
      <c r="H585" s="52" t="str">
        <f>Faturamento!$B106&amp;Faturamento!$G106</f>
        <v>10/260761-245717</v>
      </c>
      <c r="I585" s="37" t="s">
        <v>435</v>
      </c>
      <c r="J585">
        <v>114</v>
      </c>
      <c r="K585" s="3">
        <v>255.76999999999998</v>
      </c>
      <c r="L585" s="3">
        <v>227.4025</v>
      </c>
      <c r="M585" s="5" t="s">
        <v>1489</v>
      </c>
      <c r="N585" s="53">
        <v>113.47</v>
      </c>
      <c r="O585" s="53">
        <v>85.1</v>
      </c>
      <c r="P585" s="52"/>
      <c r="Q585" s="52"/>
      <c r="R585" s="53">
        <v>85.1</v>
      </c>
      <c r="S585" s="37"/>
      <c r="T585" s="51" t="s">
        <v>664</v>
      </c>
      <c r="U585" s="51"/>
      <c r="V585" s="37" t="s">
        <v>568</v>
      </c>
      <c r="W585" s="53">
        <v>85.1</v>
      </c>
      <c r="X585" s="123">
        <f>IF(Faturamento!$V385="Pago",IFERROR(W585-R585,0),0)</f>
        <v>0</v>
      </c>
      <c r="Y585" s="52"/>
      <c r="Z585" s="52"/>
      <c r="AA585" s="5"/>
      <c r="AB585" s="5"/>
      <c r="AI585"/>
    </row>
    <row r="586" spans="1:35" hidden="1" x14ac:dyDescent="0.3">
      <c r="A586" s="5" t="str">
        <f>VLOOKUP(B586,base!A:M,11,FALSE)</f>
        <v>MONOFÁSICO</v>
      </c>
      <c r="B586" t="s">
        <v>173</v>
      </c>
      <c r="C586" s="1" t="s">
        <v>175</v>
      </c>
      <c r="D586" s="60">
        <v>62955505084751</v>
      </c>
      <c r="E586" s="63" t="s">
        <v>433</v>
      </c>
      <c r="F586" t="s">
        <v>434</v>
      </c>
      <c r="G586" s="4">
        <v>45809</v>
      </c>
      <c r="H586" s="4" t="str">
        <f>Faturamento!$B553&amp;Faturamento!$G553</f>
        <v>10/24514-245778</v>
      </c>
      <c r="I586" t="s">
        <v>435</v>
      </c>
      <c r="J586" s="37">
        <v>100</v>
      </c>
      <c r="K586" s="53">
        <v>209.70615384615388</v>
      </c>
      <c r="L586" s="53">
        <v>182.8736099926432</v>
      </c>
      <c r="M586" s="5" t="str">
        <f>IF(Faturamento!$S553&lt;&gt;"","Não emitido",IF(Faturamento!$I553="NÃO","Pendente Fatura", IF(Faturamento!$R553&lt;&gt;"","Aprovado",IF(Faturamento!$O553&lt;&gt;0,"Pendente Emissão","Processo de Calculo"))))</f>
        <v>Aprovado</v>
      </c>
      <c r="N586" s="3">
        <v>113.09615384615384</v>
      </c>
      <c r="O586" s="3">
        <v>84.82</v>
      </c>
      <c r="P586" s="4">
        <v>45860</v>
      </c>
      <c r="Q586" s="4">
        <v>45871</v>
      </c>
      <c r="R586" s="3">
        <v>84.82</v>
      </c>
      <c r="S586"/>
      <c r="T586" s="51" t="s">
        <v>1065</v>
      </c>
      <c r="U586" s="51" t="s">
        <v>1066</v>
      </c>
      <c r="V586" t="s">
        <v>568</v>
      </c>
      <c r="W586" s="3">
        <v>84.82</v>
      </c>
      <c r="X586" s="123">
        <f>IF(Faturamento!$V384="Pago",IFERROR(W586-R586,0),0)</f>
        <v>0</v>
      </c>
      <c r="Y586" s="4" t="s">
        <v>1031</v>
      </c>
      <c r="Z586" s="4"/>
      <c r="AA586" s="5"/>
      <c r="AB586" s="5"/>
      <c r="AI586"/>
    </row>
    <row r="587" spans="1:35" hidden="1" x14ac:dyDescent="0.3">
      <c r="A587" s="5" t="str">
        <f>VLOOKUP(B587,base!A:M,11,FALSE)</f>
        <v>MONOFÁSICO</v>
      </c>
      <c r="B587" s="37" t="s">
        <v>261</v>
      </c>
      <c r="C587" s="56">
        <v>67999159477</v>
      </c>
      <c r="D587" s="59">
        <v>62955505000167</v>
      </c>
      <c r="E587" s="37" t="s">
        <v>433</v>
      </c>
      <c r="F587" s="37" t="s">
        <v>434</v>
      </c>
      <c r="G587" s="52">
        <v>45748</v>
      </c>
      <c r="H587" s="52" t="str">
        <f>Faturamento!$B372&amp;Faturamento!$G372</f>
        <v>10/8777-545839</v>
      </c>
      <c r="I587" s="37" t="s">
        <v>435</v>
      </c>
      <c r="J587" s="37">
        <v>102</v>
      </c>
      <c r="K587" s="53">
        <v>146.31</v>
      </c>
      <c r="L587" s="53">
        <v>118.08250011000001</v>
      </c>
      <c r="M587" s="5" t="str">
        <f>IF(Faturamento!$S372&lt;&gt;"","Não emitido",IF(Faturamento!$I372="NÃO","Pendente Fatura", IF(Faturamento!$R372&lt;&gt;"","Aprovado",IF(Faturamento!$O372&lt;&gt;0,"Pendente Emissão","Processo de Calculo"))))</f>
        <v>Aprovado</v>
      </c>
      <c r="N587" s="53">
        <v>112.90999956</v>
      </c>
      <c r="O587" s="53">
        <v>84.68</v>
      </c>
      <c r="P587" s="52"/>
      <c r="Q587" s="52"/>
      <c r="R587" s="53">
        <v>84.68</v>
      </c>
      <c r="S587" s="37"/>
      <c r="T587" s="51" t="s">
        <v>872</v>
      </c>
      <c r="U587" s="51"/>
      <c r="V587" s="37" t="s">
        <v>568</v>
      </c>
      <c r="W587" s="53">
        <v>112.91</v>
      </c>
      <c r="X587" s="123">
        <f>IF(Faturamento!$V465="Pago",IFERROR(W587-R587,0),0)</f>
        <v>28.22999999999999</v>
      </c>
      <c r="Y587" s="52">
        <v>45917</v>
      </c>
      <c r="Z587" s="52"/>
      <c r="AA587" s="5"/>
      <c r="AB587" s="5"/>
      <c r="AI587"/>
    </row>
    <row r="588" spans="1:35" hidden="1" x14ac:dyDescent="0.3">
      <c r="A588" s="5" t="str">
        <f>VLOOKUP(B588,base!A:M,11,FALSE)</f>
        <v>BIFÁSICO</v>
      </c>
      <c r="B588" t="s">
        <v>280</v>
      </c>
      <c r="C588" s="1">
        <v>67998302932</v>
      </c>
      <c r="D588" s="60">
        <v>62955505015512</v>
      </c>
      <c r="E588" s="63" t="s">
        <v>433</v>
      </c>
      <c r="F588" t="s">
        <v>434</v>
      </c>
      <c r="G588" s="4">
        <v>45778</v>
      </c>
      <c r="H588" s="4" t="str">
        <f>Faturamento!$B527&amp;Faturamento!$G527</f>
        <v>10/341308-545658</v>
      </c>
      <c r="I588" t="s">
        <v>435</v>
      </c>
      <c r="J588">
        <v>115</v>
      </c>
      <c r="K588" s="3">
        <v>247.95482758620693</v>
      </c>
      <c r="L588" s="3">
        <v>220.06112068965518</v>
      </c>
      <c r="M588" s="5" t="str">
        <f>IF(Faturamento!$S527&lt;&gt;"","Não emitido",IF(Faturamento!$I527="NÃO","Pendente Fatura", IF(Faturamento!$R527&lt;&gt;"","Aprovado",IF(Faturamento!$O527&lt;&gt;0,"Pendente Emissão","Processo de Calculo"))))</f>
        <v>Aprovado</v>
      </c>
      <c r="N588" s="3">
        <v>111.57482758620694</v>
      </c>
      <c r="O588" s="3">
        <v>83.68</v>
      </c>
      <c r="P588" s="4"/>
      <c r="Q588" s="4"/>
      <c r="R588" s="3">
        <v>83.68</v>
      </c>
      <c r="S588"/>
      <c r="T588" s="51" t="s">
        <v>1010</v>
      </c>
      <c r="U588" s="51"/>
      <c r="V588" t="s">
        <v>568</v>
      </c>
      <c r="W588" s="3">
        <v>83.68</v>
      </c>
      <c r="X588" s="123">
        <f>IF(Faturamento!$V383="Pago",IFERROR(W588-R588,0),0)</f>
        <v>0</v>
      </c>
      <c r="Y588" s="4"/>
      <c r="Z588" s="4"/>
      <c r="AA588" s="5"/>
      <c r="AB588" s="5"/>
      <c r="AI588"/>
    </row>
    <row r="589" spans="1:35" hidden="1" x14ac:dyDescent="0.3">
      <c r="A589" s="5" t="str">
        <f>VLOOKUP(B589,base!A:M,11,FALSE)</f>
        <v>MONOFÁSICO</v>
      </c>
      <c r="B589" s="37" t="s">
        <v>167</v>
      </c>
      <c r="C589" s="56">
        <v>67992337953</v>
      </c>
      <c r="D589" s="59">
        <v>62955505091456</v>
      </c>
      <c r="E589" s="37" t="s">
        <v>433</v>
      </c>
      <c r="F589" s="37" t="s">
        <v>434</v>
      </c>
      <c r="G589" s="52">
        <v>45809</v>
      </c>
      <c r="H589" s="52" t="str">
        <f>Faturamento!$B546&amp;Faturamento!$G546</f>
        <v>10/384823-145870</v>
      </c>
      <c r="I589" s="37" t="s">
        <v>435</v>
      </c>
      <c r="J589" s="37">
        <v>104</v>
      </c>
      <c r="K589" s="53">
        <v>194.07</v>
      </c>
      <c r="L589" s="53">
        <v>167.76087553619766</v>
      </c>
      <c r="M589" s="5" t="str">
        <f>IF(Faturamento!$S546&lt;&gt;"","Não emitido",IF(Faturamento!$I546="NÃO","Pendente Fatura", IF(Faturamento!$R546&lt;&gt;"","Aprovado",IF(Faturamento!$O546&lt;&gt;0,"Pendente Emissão","Processo de Calculo"))))</f>
        <v>Aprovado</v>
      </c>
      <c r="N589" s="53">
        <v>110.88999999999999</v>
      </c>
      <c r="O589" s="53">
        <v>83.17</v>
      </c>
      <c r="P589" s="52">
        <v>45860</v>
      </c>
      <c r="Q589" s="52">
        <v>45871</v>
      </c>
      <c r="R589" s="53">
        <v>83.17</v>
      </c>
      <c r="S589" s="37"/>
      <c r="T589" s="51" t="s">
        <v>1051</v>
      </c>
      <c r="U589" s="51" t="s">
        <v>1052</v>
      </c>
      <c r="V589" s="37" t="s">
        <v>702</v>
      </c>
      <c r="W589" s="53">
        <v>0</v>
      </c>
      <c r="X589" s="123">
        <f>IF(Faturamento!$V202="Pago",IFERROR(W589-R589,0),0)</f>
        <v>-83.17</v>
      </c>
      <c r="Y589" s="52"/>
      <c r="Z589" s="52"/>
      <c r="AA589" s="5"/>
      <c r="AB589" s="5"/>
      <c r="AI589"/>
    </row>
    <row r="590" spans="1:35" hidden="1" x14ac:dyDescent="0.3">
      <c r="A590" s="5" t="str">
        <f>VLOOKUP(B590,base!A:M,11,FALSE)</f>
        <v>BIFÁSICO</v>
      </c>
      <c r="B590" s="37" t="s">
        <v>204</v>
      </c>
      <c r="C590" s="56">
        <v>67992637973</v>
      </c>
      <c r="D590" s="59">
        <v>62955505040894</v>
      </c>
      <c r="E590" s="37" t="s">
        <v>433</v>
      </c>
      <c r="F590" s="37" t="s">
        <v>434</v>
      </c>
      <c r="G590" s="52">
        <v>45689</v>
      </c>
      <c r="H590" s="52" t="str">
        <f>Faturamento!$B160&amp;Faturamento!$G160</f>
        <v>10/76927-345931</v>
      </c>
      <c r="I590" s="37" t="s">
        <v>435</v>
      </c>
      <c r="J590" s="37">
        <v>99</v>
      </c>
      <c r="K590" s="53">
        <v>196.95999999999998</v>
      </c>
      <c r="L590" s="53">
        <v>169.33499999999998</v>
      </c>
      <c r="M590" s="5" t="str">
        <f>IF(Faturamento!$S160&lt;&gt;"","Não emitido",IF(Faturamento!$I160="NÃO","Pendente Fatura", IF(Faturamento!$R160&lt;&gt;"","Aprovado",IF(Faturamento!$O160&lt;&gt;0,"Pendente Emissão","Processo de Calculo"))))</f>
        <v>Aprovado</v>
      </c>
      <c r="N590" s="53">
        <v>110.5</v>
      </c>
      <c r="O590" s="53">
        <v>82.88</v>
      </c>
      <c r="P590" s="52"/>
      <c r="Q590" s="52"/>
      <c r="R590" s="53">
        <v>82.88</v>
      </c>
      <c r="S590" s="37"/>
      <c r="T590" s="51" t="s">
        <v>721</v>
      </c>
      <c r="U590" s="51"/>
      <c r="V590" s="37" t="s">
        <v>568</v>
      </c>
      <c r="W590" s="53">
        <v>82.88</v>
      </c>
      <c r="X590" s="123">
        <f>IF(Faturamento!$V382="Pago",IFERROR(W590-R590,0),0)</f>
        <v>0</v>
      </c>
      <c r="Y590" s="52"/>
      <c r="Z590" s="52"/>
      <c r="AA590" s="5"/>
      <c r="AB590" s="5"/>
      <c r="AI590"/>
    </row>
    <row r="591" spans="1:35" hidden="1" x14ac:dyDescent="0.3">
      <c r="A591" s="5" t="str">
        <f>VLOOKUP(B591,base!A:M,11,FALSE)</f>
        <v>TRIFÁSICO</v>
      </c>
      <c r="B591" t="s">
        <v>211</v>
      </c>
      <c r="C591" s="56">
        <v>67996266684</v>
      </c>
      <c r="D591">
        <v>62955505157066</v>
      </c>
      <c r="E591" s="37" t="s">
        <v>433</v>
      </c>
      <c r="F591" t="s">
        <v>108</v>
      </c>
      <c r="G591" s="4">
        <v>45931</v>
      </c>
      <c r="H591" s="52" t="str">
        <f>Faturamento!$B931&amp;Faturamento!$G931</f>
        <v>10/505854-045778</v>
      </c>
      <c r="I591" s="37" t="s">
        <v>435</v>
      </c>
      <c r="J591">
        <v>107</v>
      </c>
      <c r="K591" s="3">
        <v>235.13614457831326</v>
      </c>
      <c r="L591" s="3">
        <v>203.18107383744984</v>
      </c>
      <c r="M591" s="5" t="s">
        <v>1489</v>
      </c>
      <c r="N591" s="53">
        <v>114.25614457831327</v>
      </c>
      <c r="O591" s="53">
        <v>82.3</v>
      </c>
      <c r="P591" s="52">
        <v>45967</v>
      </c>
      <c r="Q591" s="52">
        <v>45974</v>
      </c>
      <c r="R591" s="53">
        <v>82.3</v>
      </c>
      <c r="S591" s="37"/>
      <c r="T591" s="3" t="str">
        <f>D591&amp;R591</f>
        <v>6295550515706682,3</v>
      </c>
      <c r="U591" s="3" t="s">
        <v>1743</v>
      </c>
      <c r="V591" s="37" t="s">
        <v>568</v>
      </c>
      <c r="W591" s="13">
        <f>R591</f>
        <v>82.3</v>
      </c>
      <c r="X591" s="124">
        <f>IF(Faturamento!$V933="Pago",IFERROR(W591-R591,0),0)</f>
        <v>0</v>
      </c>
    </row>
    <row r="592" spans="1:35" hidden="1" x14ac:dyDescent="0.3">
      <c r="A592" s="5" t="str">
        <f>VLOOKUP(B592,base!A:M,11,FALSE)</f>
        <v>MONOFÁSICO</v>
      </c>
      <c r="B592" s="37" t="s">
        <v>167</v>
      </c>
      <c r="C592" s="56" t="s">
        <v>126</v>
      </c>
      <c r="D592" s="59">
        <v>62955505091456</v>
      </c>
      <c r="E592" s="37" t="s">
        <v>433</v>
      </c>
      <c r="F592" s="37" t="s">
        <v>434</v>
      </c>
      <c r="G592" s="52">
        <v>45901</v>
      </c>
      <c r="H592" s="52" t="str">
        <f>Faturamento!$B828&amp;Faturamento!$G828</f>
        <v>10/104720-845658</v>
      </c>
      <c r="I592" s="37" t="s">
        <v>435</v>
      </c>
      <c r="J592">
        <v>93</v>
      </c>
      <c r="M592" s="5" t="s">
        <v>1536</v>
      </c>
      <c r="N592" s="53">
        <v>178.13900000000001</v>
      </c>
      <c r="O592" s="53">
        <v>82.19</v>
      </c>
      <c r="P592" s="52"/>
      <c r="Q592" s="52"/>
      <c r="R592" s="53"/>
      <c r="S592" s="37" t="s">
        <v>1541</v>
      </c>
      <c r="T592" s="51" t="s">
        <v>1542</v>
      </c>
      <c r="U592" s="51"/>
      <c r="V592" s="37" t="s">
        <v>438</v>
      </c>
      <c r="W592" s="53"/>
      <c r="X592" s="123">
        <f>IF(Faturamento!$V876="Pago",IFERROR(W592-R592,0),0)</f>
        <v>0</v>
      </c>
      <c r="Y592" s="52"/>
      <c r="Z592" s="52"/>
      <c r="AA592" s="5"/>
      <c r="AB592" s="5"/>
      <c r="AI592"/>
    </row>
    <row r="593" spans="1:35" hidden="1" x14ac:dyDescent="0.3">
      <c r="A593" s="5" t="str">
        <f>VLOOKUP(B593,base!A:M,11,FALSE)</f>
        <v>BIFÁSICO</v>
      </c>
      <c r="B593" s="37" t="s">
        <v>114</v>
      </c>
      <c r="C593" s="56" t="s">
        <v>116</v>
      </c>
      <c r="D593" s="59">
        <v>62955505393207</v>
      </c>
      <c r="E593" s="37" t="s">
        <v>433</v>
      </c>
      <c r="F593" s="37" t="s">
        <v>434</v>
      </c>
      <c r="G593" s="52">
        <v>45778</v>
      </c>
      <c r="H593" s="52" t="str">
        <f>Faturamento!$B468&amp;Faturamento!$G468</f>
        <v>10/1548741-645658</v>
      </c>
      <c r="I593" s="37" t="s">
        <v>435</v>
      </c>
      <c r="J593">
        <v>96</v>
      </c>
      <c r="K593" s="3">
        <v>188.2208</v>
      </c>
      <c r="L593" s="3">
        <v>160.82810000000001</v>
      </c>
      <c r="M593" s="5" t="str">
        <f>IF(Faturamento!$S468&lt;&gt;"","Não emitido",IF(Faturamento!$I468="NÃO","Pendente Fatura", IF(Faturamento!$R468&lt;&gt;"","Aprovado",IF(Faturamento!$O468&lt;&gt;0,"Pendente Emissão","Processo de Calculo"))))</f>
        <v>Aprovado</v>
      </c>
      <c r="N593" s="53">
        <v>109.57079999999999</v>
      </c>
      <c r="O593" s="53">
        <v>82.18</v>
      </c>
      <c r="P593" s="52"/>
      <c r="Q593" s="52"/>
      <c r="R593" s="53">
        <v>82.18</v>
      </c>
      <c r="S593" s="37"/>
      <c r="T593" s="51" t="s">
        <v>960</v>
      </c>
      <c r="U593" s="51"/>
      <c r="V593" s="37" t="s">
        <v>568</v>
      </c>
      <c r="W593" s="53">
        <v>82.18</v>
      </c>
      <c r="X593" s="123">
        <f>IF(Faturamento!$V381="Pago",IFERROR(W593-R593,0),0)</f>
        <v>0</v>
      </c>
      <c r="Y593" s="52"/>
      <c r="Z593" s="52"/>
      <c r="AA593" s="5"/>
      <c r="AB593" s="5"/>
      <c r="AI593"/>
    </row>
    <row r="594" spans="1:35" hidden="1" x14ac:dyDescent="0.3">
      <c r="A594" s="5" t="str">
        <f>VLOOKUP(B594,base!A:M,11,FALSE)</f>
        <v>BIFÁSICO</v>
      </c>
      <c r="B594" s="37" t="s">
        <v>202</v>
      </c>
      <c r="C594" s="56">
        <v>67999031330</v>
      </c>
      <c r="D594" s="59">
        <v>62955505017051</v>
      </c>
      <c r="E594" s="37" t="s">
        <v>433</v>
      </c>
      <c r="F594" s="37" t="s">
        <v>434</v>
      </c>
      <c r="G594" s="52">
        <v>45658</v>
      </c>
      <c r="H594" s="52" t="str">
        <f>Faturamento!$B62&amp;Faturamento!$G62</f>
        <v>10/29964-445748</v>
      </c>
      <c r="I594" s="37" t="s">
        <v>435</v>
      </c>
      <c r="J594">
        <v>98</v>
      </c>
      <c r="K594" s="3">
        <v>159.05999999999997</v>
      </c>
      <c r="L594" s="3">
        <v>131.71499999999997</v>
      </c>
      <c r="M594" s="5" t="str">
        <f>IF(Faturamento!$S62&lt;&gt;"","Não emitido",IF(Faturamento!$I62="NÃO","Pendente Fatura", IF(Faturamento!$R62&lt;&gt;"","Aprovado",IF(Faturamento!$O62&lt;&gt;0,"Pendente Emissão","Processo de Calculo"))))</f>
        <v>Aprovado</v>
      </c>
      <c r="N594" s="53">
        <v>109.38000000000002</v>
      </c>
      <c r="O594" s="53">
        <v>82.04</v>
      </c>
      <c r="P594" s="52"/>
      <c r="Q594" s="52"/>
      <c r="R594" s="53">
        <v>82.04</v>
      </c>
      <c r="S594" s="37"/>
      <c r="T594" s="51" t="s">
        <v>614</v>
      </c>
      <c r="U594" s="51"/>
      <c r="V594" s="37" t="s">
        <v>568</v>
      </c>
      <c r="W594" s="53">
        <v>82.04</v>
      </c>
      <c r="X594" s="123">
        <f>IF(Faturamento!$V380="Pago",IFERROR(W594-R594,0),0)</f>
        <v>0</v>
      </c>
      <c r="Y594" s="52"/>
      <c r="Z594" s="52"/>
      <c r="AA594" s="5">
        <v>283032</v>
      </c>
      <c r="AB594" s="5">
        <v>502</v>
      </c>
      <c r="AC594" s="5" t="s">
        <v>434</v>
      </c>
      <c r="AD594" s="5" t="s">
        <v>615</v>
      </c>
      <c r="AE594" s="5">
        <v>119.09</v>
      </c>
      <c r="AG594" s="5" t="s">
        <v>616</v>
      </c>
      <c r="AH594" s="5" t="s">
        <v>617</v>
      </c>
      <c r="AI594"/>
    </row>
    <row r="595" spans="1:35" hidden="1" x14ac:dyDescent="0.3">
      <c r="A595" s="5" t="str">
        <f>VLOOKUP(B595,base!A:M,11,FALSE)</f>
        <v>TRIFÁSICO</v>
      </c>
      <c r="B595" t="s">
        <v>156</v>
      </c>
      <c r="C595" s="1">
        <v>67996446178</v>
      </c>
      <c r="D595" s="60">
        <v>62955505080098</v>
      </c>
      <c r="E595" s="63" t="s">
        <v>433</v>
      </c>
      <c r="F595" t="s">
        <v>434</v>
      </c>
      <c r="G595" s="4">
        <v>45717</v>
      </c>
      <c r="H595" s="4" t="str">
        <f>Faturamento!$B269&amp;Faturamento!$G269</f>
        <v>10/78338-145931</v>
      </c>
      <c r="I595" t="s">
        <v>435</v>
      </c>
      <c r="J595">
        <v>97</v>
      </c>
      <c r="K595" s="3">
        <v>238.08</v>
      </c>
      <c r="L595" s="3">
        <v>211.01500000000001</v>
      </c>
      <c r="M595" s="5" t="str">
        <f>IF(Faturamento!$S269&lt;&gt;"","Não emitido",IF(Faturamento!$I269="NÃO","Pendente Fatura", IF(Faturamento!$R269&lt;&gt;"","Aprovado",IF(Faturamento!$O269&lt;&gt;0,"Pendente Emissão","Processo de Calculo"))))</f>
        <v>Aprovado</v>
      </c>
      <c r="N595" s="3">
        <v>156.82</v>
      </c>
      <c r="O595" s="3">
        <v>81.2</v>
      </c>
      <c r="P595" s="4"/>
      <c r="Q595" s="4"/>
      <c r="R595" s="3">
        <v>81.2</v>
      </c>
      <c r="S595"/>
      <c r="T595" s="51" t="s">
        <v>809</v>
      </c>
      <c r="U595" s="51"/>
      <c r="V595" t="s">
        <v>568</v>
      </c>
      <c r="W595" s="3">
        <v>81.2</v>
      </c>
      <c r="X595" s="123">
        <f>IF(Faturamento!$V379="Pago",IFERROR(W595-R595,0),0)</f>
        <v>0</v>
      </c>
      <c r="Y595" s="4"/>
      <c r="Z595" s="4"/>
      <c r="AA595" s="5"/>
      <c r="AB595" s="5"/>
      <c r="AI595"/>
    </row>
    <row r="596" spans="1:35" hidden="1" x14ac:dyDescent="0.3">
      <c r="A596" s="5" t="str">
        <f>VLOOKUP(B596,base!A:M,11,FALSE)</f>
        <v>BIFÁSICO</v>
      </c>
      <c r="B596" t="s">
        <v>280</v>
      </c>
      <c r="C596" s="1">
        <v>0</v>
      </c>
      <c r="D596" s="60">
        <v>62955505015512</v>
      </c>
      <c r="E596" s="63" t="s">
        <v>433</v>
      </c>
      <c r="F596" t="s">
        <v>434</v>
      </c>
      <c r="G596" s="4">
        <v>45870</v>
      </c>
      <c r="H596" s="4" t="str">
        <f>Faturamento!$B795&amp;Faturamento!$G795</f>
        <v>10/18015-845627</v>
      </c>
      <c r="I596" t="s">
        <v>435</v>
      </c>
      <c r="J596">
        <v>104</v>
      </c>
      <c r="K596" s="3">
        <v>248.83750000000001</v>
      </c>
      <c r="L596" s="3">
        <v>225.16412747719482</v>
      </c>
      <c r="M596" s="5" t="s">
        <v>1489</v>
      </c>
      <c r="N596" s="3">
        <v>104.7675</v>
      </c>
      <c r="O596" s="3">
        <v>81.09</v>
      </c>
      <c r="P596" s="4">
        <v>45910</v>
      </c>
      <c r="Q596" s="4">
        <v>45920</v>
      </c>
      <c r="R596" s="3">
        <v>81.09</v>
      </c>
      <c r="S596"/>
      <c r="T596" s="51" t="s">
        <v>1481</v>
      </c>
      <c r="U596" s="51" t="s">
        <v>1482</v>
      </c>
      <c r="V596" t="s">
        <v>568</v>
      </c>
      <c r="W596" s="3">
        <v>81.09</v>
      </c>
      <c r="X596" s="123">
        <f>IF(Faturamento!$V378="Pago",IFERROR(W596-R596,0),0)</f>
        <v>0</v>
      </c>
      <c r="Y596" s="4"/>
      <c r="Z596" s="4"/>
      <c r="AA596" s="5"/>
      <c r="AB596" s="5"/>
      <c r="AI596"/>
    </row>
    <row r="597" spans="1:35" hidden="1" x14ac:dyDescent="0.3">
      <c r="A597" s="5" t="str">
        <f>VLOOKUP(B597,base!A:M,11,FALSE)</f>
        <v>BIFÁSICO</v>
      </c>
      <c r="B597" t="s">
        <v>250</v>
      </c>
      <c r="C597" s="1">
        <v>65999839279</v>
      </c>
      <c r="D597" s="60">
        <v>62955505015512</v>
      </c>
      <c r="E597" s="63" t="s">
        <v>433</v>
      </c>
      <c r="F597" t="s">
        <v>434</v>
      </c>
      <c r="G597" s="4">
        <v>45839</v>
      </c>
      <c r="H597" s="4" t="str">
        <f>Faturamento!$B685&amp;Faturamento!$G685</f>
        <v>10/530195-745717</v>
      </c>
      <c r="I597" t="s">
        <v>435</v>
      </c>
      <c r="J597" s="37">
        <v>103</v>
      </c>
      <c r="K597" s="53">
        <v>217.83545454545458</v>
      </c>
      <c r="L597" s="53">
        <v>194.05918727272729</v>
      </c>
      <c r="M597" s="5" t="s">
        <v>1489</v>
      </c>
      <c r="N597" s="3">
        <v>104.65545454545455</v>
      </c>
      <c r="O597" s="3">
        <v>80.88</v>
      </c>
      <c r="P597" s="4">
        <v>45910</v>
      </c>
      <c r="Q597" s="4">
        <v>45920</v>
      </c>
      <c r="R597" s="3">
        <v>80.88</v>
      </c>
      <c r="S597"/>
      <c r="T597" s="51" t="s">
        <v>1282</v>
      </c>
      <c r="U597" s="51" t="s">
        <v>1283</v>
      </c>
      <c r="V597" t="s">
        <v>568</v>
      </c>
      <c r="W597" s="3">
        <v>104.66</v>
      </c>
      <c r="X597" s="123">
        <f>IF(Faturamento!$V451="Pago",IFERROR(W597-R597,0),0)</f>
        <v>23.78</v>
      </c>
      <c r="Y597" s="4">
        <v>45902</v>
      </c>
      <c r="Z597" s="4"/>
      <c r="AA597" s="5"/>
      <c r="AB597" s="5"/>
      <c r="AI597"/>
    </row>
    <row r="598" spans="1:35" hidden="1" x14ac:dyDescent="0.3">
      <c r="A598" s="5" t="str">
        <f>VLOOKUP(B598,base!A:M,11,FALSE)</f>
        <v>TRIFÁSICO</v>
      </c>
      <c r="B598" s="37" t="s">
        <v>311</v>
      </c>
      <c r="C598" s="56" t="s">
        <v>313</v>
      </c>
      <c r="D598" s="59">
        <v>62955505193534</v>
      </c>
      <c r="E598" s="37" t="s">
        <v>433</v>
      </c>
      <c r="F598" s="37" t="s">
        <v>434</v>
      </c>
      <c r="G598" s="52">
        <v>45839</v>
      </c>
      <c r="H598" s="52" t="str">
        <f>Faturamento!$B634&amp;Faturamento!$G634</f>
        <v>10/501586-245689</v>
      </c>
      <c r="I598" s="37" t="s">
        <v>435</v>
      </c>
      <c r="J598" s="37">
        <v>88</v>
      </c>
      <c r="K598" s="53">
        <v>254.65559999999999</v>
      </c>
      <c r="L598" s="53">
        <v>231.17751935999996</v>
      </c>
      <c r="M598" s="5" t="str">
        <f>IF(Faturamento!$S634&lt;&gt;"","Não emitido",IF(Faturamento!$I634="NÃO","Pendente Fatura", IF(Faturamento!$R634&lt;&gt;"","Aprovado",IF(Faturamento!$O634&lt;&gt;0,"Pendente Emissão","Processo de Calculo"))))</f>
        <v>Aprovado</v>
      </c>
      <c r="N598" s="53">
        <v>104.19560000000001</v>
      </c>
      <c r="O598" s="53">
        <v>80.72</v>
      </c>
      <c r="P598" s="52">
        <v>45910</v>
      </c>
      <c r="Q598" s="52">
        <v>45920</v>
      </c>
      <c r="R598" s="53">
        <v>80.72</v>
      </c>
      <c r="S598" s="37"/>
      <c r="T598" s="51" t="s">
        <v>1183</v>
      </c>
      <c r="U598" s="51" t="s">
        <v>1184</v>
      </c>
      <c r="V598" s="37" t="s">
        <v>568</v>
      </c>
      <c r="W598" s="53">
        <v>80.72</v>
      </c>
      <c r="X598" s="123">
        <f>IF(Faturamento!$V377="Pago",IFERROR(W598-R598,0),0)</f>
        <v>0</v>
      </c>
      <c r="Y598" s="52"/>
      <c r="Z598" s="52"/>
      <c r="AA598" s="5"/>
      <c r="AB598" s="5"/>
      <c r="AI598"/>
    </row>
    <row r="599" spans="1:35" hidden="1" x14ac:dyDescent="0.3">
      <c r="A599" s="5" t="str">
        <f>VLOOKUP(B599,base!A:M,11,FALSE)</f>
        <v>MONOFÁSICO</v>
      </c>
      <c r="B599" s="37" t="s">
        <v>173</v>
      </c>
      <c r="C599" s="56" t="s">
        <v>175</v>
      </c>
      <c r="D599" s="59">
        <v>62955505084751</v>
      </c>
      <c r="E599" s="37" t="s">
        <v>433</v>
      </c>
      <c r="F599" s="37" t="s">
        <v>434</v>
      </c>
      <c r="G599" s="52">
        <v>45839</v>
      </c>
      <c r="H599" s="52" t="str">
        <f>Faturamento!$B644&amp;Faturamento!$G644</f>
        <v>10/150263-245839</v>
      </c>
      <c r="I599" s="37" t="s">
        <v>435</v>
      </c>
      <c r="J599" s="37">
        <v>94</v>
      </c>
      <c r="K599" s="53">
        <v>197.3681818181818</v>
      </c>
      <c r="L599" s="53">
        <v>174.08449890909088</v>
      </c>
      <c r="M599" s="5" t="str">
        <f>IF(Faturamento!$S644&lt;&gt;"","Não emitido",IF(Faturamento!$I644="NÃO","Pendente Fatura", IF(Faturamento!$R644&lt;&gt;"","Aprovado",IF(Faturamento!$O644&lt;&gt;0,"Pendente Emissão","Processo de Calculo"))))</f>
        <v>Aprovado</v>
      </c>
      <c r="N599" s="53">
        <v>102.93818181818183</v>
      </c>
      <c r="O599" s="53">
        <v>79.650000000000006</v>
      </c>
      <c r="P599" s="52">
        <v>45910</v>
      </c>
      <c r="Q599" s="52">
        <v>45920</v>
      </c>
      <c r="R599" s="53">
        <v>79.650000000000006</v>
      </c>
      <c r="S599" s="37"/>
      <c r="T599" s="51" t="s">
        <v>1201</v>
      </c>
      <c r="U599" s="51" t="s">
        <v>1202</v>
      </c>
      <c r="V599" s="37" t="s">
        <v>568</v>
      </c>
      <c r="W599" s="53">
        <v>79.650000000000006</v>
      </c>
      <c r="X599" s="123">
        <f>IF(Faturamento!$V376="Pago",IFERROR(W599-R599,0),0)</f>
        <v>0</v>
      </c>
      <c r="Y599" s="52"/>
      <c r="Z599" s="52"/>
      <c r="AA599" s="5"/>
      <c r="AB599" s="5"/>
      <c r="AI599"/>
    </row>
    <row r="600" spans="1:35" hidden="1" x14ac:dyDescent="0.3">
      <c r="A600" s="5" t="str">
        <f>VLOOKUP(B600,base!A:M,11,FALSE)</f>
        <v>TRIFÁSICO</v>
      </c>
      <c r="B600" t="s">
        <v>143</v>
      </c>
      <c r="C600" s="1">
        <v>0</v>
      </c>
      <c r="D600" s="60">
        <v>62955505149047</v>
      </c>
      <c r="E600" s="63" t="s">
        <v>433</v>
      </c>
      <c r="F600" t="s">
        <v>434</v>
      </c>
      <c r="G600" s="4">
        <v>45870</v>
      </c>
      <c r="H600" s="4" t="str">
        <f>Faturamento!$B731&amp;Faturamento!$G731</f>
        <v>10/466560-045689</v>
      </c>
      <c r="I600" t="s">
        <v>435</v>
      </c>
      <c r="J600">
        <v>88</v>
      </c>
      <c r="K600" s="3">
        <v>407.24114285714285</v>
      </c>
      <c r="L600" s="3">
        <v>384.03920574950433</v>
      </c>
      <c r="M600" s="5" t="str">
        <f>IF(Faturamento!$S731&lt;&gt;"","Não emitido",IF(Faturamento!$I731="NÃO","Pendente Fatura", IF(Faturamento!$R731&lt;&gt;"","Aprovado",IF(Faturamento!$O731&lt;&gt;0,"Pendente Emissão","Processo de Calculo"))))</f>
        <v>Aprovado</v>
      </c>
      <c r="N600" s="3">
        <v>102.68114285714285</v>
      </c>
      <c r="O600" s="3">
        <v>79.48</v>
      </c>
      <c r="P600" s="4">
        <v>45910</v>
      </c>
      <c r="Q600" s="4">
        <v>45920</v>
      </c>
      <c r="R600" s="3">
        <v>79.48</v>
      </c>
      <c r="S600"/>
      <c r="T600" s="51" t="s">
        <v>1365</v>
      </c>
      <c r="U600" s="51" t="s">
        <v>1366</v>
      </c>
      <c r="V600" t="s">
        <v>568</v>
      </c>
      <c r="W600" s="3">
        <v>79.48</v>
      </c>
      <c r="X600" s="123">
        <f>IF(Faturamento!$V375="Pago",IFERROR(W600-R600,0),0)</f>
        <v>0</v>
      </c>
      <c r="Y600" s="4"/>
      <c r="Z600" s="4"/>
      <c r="AA600" s="5"/>
      <c r="AB600" s="5"/>
      <c r="AI600"/>
    </row>
    <row r="601" spans="1:35" hidden="1" x14ac:dyDescent="0.3">
      <c r="A601" s="5" t="str">
        <f>VLOOKUP(B601,base!A:M,11,FALSE)</f>
        <v>TRIFÁSICO</v>
      </c>
      <c r="B601" t="s">
        <v>230</v>
      </c>
      <c r="C601" s="1" t="s">
        <v>175</v>
      </c>
      <c r="D601" s="60">
        <v>62955505843253</v>
      </c>
      <c r="E601" s="63" t="s">
        <v>433</v>
      </c>
      <c r="F601" t="s">
        <v>434</v>
      </c>
      <c r="G601" s="4">
        <v>45839</v>
      </c>
      <c r="H601" s="4" t="str">
        <f>Faturamento!$B679&amp;Faturamento!$G679</f>
        <v>10/135237-645689</v>
      </c>
      <c r="I601" t="s">
        <v>435</v>
      </c>
      <c r="J601" s="37">
        <v>102</v>
      </c>
      <c r="K601" s="53">
        <v>245.6490361445783</v>
      </c>
      <c r="L601" s="53">
        <v>222.10593525301201</v>
      </c>
      <c r="M601" s="5" t="s">
        <v>1489</v>
      </c>
      <c r="N601" s="3">
        <v>102.62903614457829</v>
      </c>
      <c r="O601" s="3">
        <v>79.09</v>
      </c>
      <c r="P601" s="4">
        <v>45910</v>
      </c>
      <c r="Q601" s="4">
        <v>45920</v>
      </c>
      <c r="R601" s="3">
        <v>79.09</v>
      </c>
      <c r="S601"/>
      <c r="T601" s="51" t="s">
        <v>1271</v>
      </c>
      <c r="U601" s="51" t="s">
        <v>1272</v>
      </c>
      <c r="V601" t="s">
        <v>568</v>
      </c>
      <c r="W601" s="3">
        <v>79.09</v>
      </c>
      <c r="X601" s="123">
        <f>IF(Faturamento!$V374="Pago",IFERROR(W601-R601,0),0)</f>
        <v>0</v>
      </c>
      <c r="Y601" s="4"/>
      <c r="Z601" s="4"/>
      <c r="AA601" s="5"/>
      <c r="AB601" s="5"/>
      <c r="AI601"/>
    </row>
    <row r="602" spans="1:35" hidden="1" x14ac:dyDescent="0.3">
      <c r="A602" s="5" t="str">
        <f>VLOOKUP(B602,base!A:M,11,FALSE)</f>
        <v>TRIFÁSICO</v>
      </c>
      <c r="B602" t="s">
        <v>330</v>
      </c>
      <c r="C602" s="1">
        <v>0</v>
      </c>
      <c r="D602" s="60">
        <v>62955505016837</v>
      </c>
      <c r="E602" s="63" t="s">
        <v>433</v>
      </c>
      <c r="F602" t="s">
        <v>434</v>
      </c>
      <c r="G602" s="4">
        <v>45870</v>
      </c>
      <c r="H602" s="4" t="str">
        <f>Faturamento!$B783&amp;Faturamento!$G783</f>
        <v>10/1035655-845627</v>
      </c>
      <c r="I602" t="s">
        <v>435</v>
      </c>
      <c r="J602">
        <v>100</v>
      </c>
      <c r="K602" s="3">
        <v>240.18142857142857</v>
      </c>
      <c r="L602" s="3">
        <v>217.28221468768905</v>
      </c>
      <c r="M602" s="5" t="s">
        <v>1489</v>
      </c>
      <c r="N602" s="3">
        <v>101.34142857142857</v>
      </c>
      <c r="O602" s="3">
        <v>78.44</v>
      </c>
      <c r="P602" s="4">
        <v>45910</v>
      </c>
      <c r="Q602" s="4">
        <v>45920</v>
      </c>
      <c r="R602" s="3">
        <v>78.44</v>
      </c>
      <c r="S602"/>
      <c r="T602" s="51" t="s">
        <v>1462</v>
      </c>
      <c r="U602" s="51" t="s">
        <v>1463</v>
      </c>
      <c r="V602" t="s">
        <v>568</v>
      </c>
      <c r="W602" s="3">
        <v>78.44</v>
      </c>
      <c r="X602" s="123">
        <f>IF(Faturamento!$V373="Pago",IFERROR(W602-R602,0),0)</f>
        <v>0</v>
      </c>
      <c r="Y602" s="4"/>
      <c r="Z602" s="4"/>
      <c r="AA602" s="5"/>
      <c r="AB602" s="5"/>
      <c r="AI602"/>
    </row>
    <row r="603" spans="1:35" hidden="1" x14ac:dyDescent="0.3">
      <c r="A603" s="5" t="str">
        <f>VLOOKUP(B603,base!A:M,11,FALSE)</f>
        <v>TRIFÁSICO</v>
      </c>
      <c r="B603" s="37" t="s">
        <v>177</v>
      </c>
      <c r="C603" s="56" t="s">
        <v>179</v>
      </c>
      <c r="D603" s="59">
        <v>62955505015350</v>
      </c>
      <c r="E603" s="37" t="s">
        <v>433</v>
      </c>
      <c r="F603" s="37" t="s">
        <v>434</v>
      </c>
      <c r="G603" s="52">
        <v>45809</v>
      </c>
      <c r="H603" s="52" t="str">
        <f>Faturamento!$B542&amp;Faturamento!$G542</f>
        <v>10/1130988-745658</v>
      </c>
      <c r="I603" s="37" t="s">
        <v>435</v>
      </c>
      <c r="J603" s="37">
        <v>89</v>
      </c>
      <c r="K603" s="53">
        <v>262.04059999999998</v>
      </c>
      <c r="L603" s="53">
        <v>237.50836756216216</v>
      </c>
      <c r="M603" s="5" t="str">
        <f>IF(Faturamento!$S542&lt;&gt;"","Não emitido",IF(Faturamento!$I542="NÃO","Pendente Fatura", IF(Faturamento!$R542&lt;&gt;"","Aprovado",IF(Faturamento!$O542&lt;&gt;0,"Pendente Emissão","Processo de Calculo"))))</f>
        <v>Aprovado</v>
      </c>
      <c r="N603" s="53">
        <v>103.4006</v>
      </c>
      <c r="O603" s="53">
        <v>77.55</v>
      </c>
      <c r="P603" s="52">
        <v>45860</v>
      </c>
      <c r="Q603" s="52">
        <v>45871</v>
      </c>
      <c r="R603" s="53">
        <v>77.55</v>
      </c>
      <c r="S603" s="37"/>
      <c r="T603" s="51" t="s">
        <v>1041</v>
      </c>
      <c r="U603" s="51" t="s">
        <v>1042</v>
      </c>
      <c r="V603" s="37" t="s">
        <v>568</v>
      </c>
      <c r="W603" s="53">
        <v>77.55</v>
      </c>
      <c r="X603" s="123">
        <f>IF(Faturamento!$V372="Pago",IFERROR(W603-R603,0),0)</f>
        <v>0</v>
      </c>
      <c r="Y603" s="52" t="s">
        <v>1043</v>
      </c>
      <c r="Z603" s="52"/>
      <c r="AA603" s="5"/>
      <c r="AB603" s="5"/>
      <c r="AI603"/>
    </row>
    <row r="604" spans="1:35" hidden="1" x14ac:dyDescent="0.3">
      <c r="A604" s="5" t="str">
        <f>VLOOKUP(B604,base!A:M,11,FALSE)</f>
        <v>TRIFÁSICO</v>
      </c>
      <c r="B604" s="37" t="s">
        <v>224</v>
      </c>
      <c r="C604" s="56" t="s">
        <v>226</v>
      </c>
      <c r="D604" s="59">
        <v>62955505177504</v>
      </c>
      <c r="E604" s="37" t="s">
        <v>433</v>
      </c>
      <c r="F604" s="37" t="s">
        <v>434</v>
      </c>
      <c r="G604" s="52">
        <v>45748</v>
      </c>
      <c r="H604" s="52" t="str">
        <f>Faturamento!$B346&amp;Faturamento!$G346</f>
        <v>10/504844-245748</v>
      </c>
      <c r="I604" s="37" t="s">
        <v>435</v>
      </c>
      <c r="J604" s="37">
        <v>92</v>
      </c>
      <c r="K604" s="53">
        <v>251.89999999999998</v>
      </c>
      <c r="L604" s="53">
        <v>226.09749999999997</v>
      </c>
      <c r="M604" s="5" t="str">
        <f>IF(Faturamento!$S346&lt;&gt;"","Não emitido",IF(Faturamento!$I346="NÃO","Pendente Fatura", IF(Faturamento!$R346&lt;&gt;"","Aprovado",IF(Faturamento!$O346&lt;&gt;0,"Pendente Emissão","Processo de Calculo"))))</f>
        <v>Aprovado</v>
      </c>
      <c r="N604" s="53">
        <v>103.21</v>
      </c>
      <c r="O604" s="53">
        <v>77.41</v>
      </c>
      <c r="P604" s="52"/>
      <c r="Q604" s="52"/>
      <c r="R604" s="53">
        <v>77.41</v>
      </c>
      <c r="S604" s="37"/>
      <c r="T604" s="51" t="s">
        <v>848</v>
      </c>
      <c r="U604" s="51"/>
      <c r="V604" s="37" t="s">
        <v>568</v>
      </c>
      <c r="W604" s="53">
        <v>77.41</v>
      </c>
      <c r="X604" s="123">
        <f>IF(Faturamento!$V371="Pago",IFERROR(W604-R604,0),0)</f>
        <v>0</v>
      </c>
      <c r="Y604" s="52"/>
      <c r="Z604" s="52"/>
      <c r="AA604" s="5"/>
      <c r="AB604" s="5"/>
      <c r="AI604"/>
    </row>
    <row r="605" spans="1:35" hidden="1" x14ac:dyDescent="0.3">
      <c r="A605" s="5" t="str">
        <f>VLOOKUP(B605,base!A:M,11,FALSE)</f>
        <v>BIFÁSICO</v>
      </c>
      <c r="B605" t="s">
        <v>253</v>
      </c>
      <c r="C605" s="1">
        <v>67996266684</v>
      </c>
      <c r="D605" s="60">
        <v>62955505016080</v>
      </c>
      <c r="E605" s="63" t="s">
        <v>433</v>
      </c>
      <c r="F605" t="s">
        <v>434</v>
      </c>
      <c r="G605" s="4">
        <v>45658</v>
      </c>
      <c r="H605" s="4" t="str">
        <f>Faturamento!$B111&amp;Faturamento!$G111</f>
        <v>10/3030784-745931</v>
      </c>
      <c r="I605" t="s">
        <v>435</v>
      </c>
      <c r="J605">
        <v>92</v>
      </c>
      <c r="K605" s="3">
        <v>198.13</v>
      </c>
      <c r="L605" s="3">
        <v>172.45750000000004</v>
      </c>
      <c r="M605" s="5" t="str">
        <f>IF(Faturamento!$S111&lt;&gt;"","Não emitido",IF(Faturamento!$I111="NÃO","Pendente Fatura", IF(Faturamento!$R111&lt;&gt;"","Aprovado",IF(Faturamento!$O111&lt;&gt;0,"Pendente Emissão","Processo de Calculo"))))</f>
        <v>Aprovado</v>
      </c>
      <c r="N605" s="3">
        <v>102.68999999999998</v>
      </c>
      <c r="O605" s="3">
        <v>77.02</v>
      </c>
      <c r="P605" s="4"/>
      <c r="Q605" s="4"/>
      <c r="R605" s="3">
        <v>77.02</v>
      </c>
      <c r="S605"/>
      <c r="T605" s="51" t="s">
        <v>669</v>
      </c>
      <c r="U605" s="51"/>
      <c r="V605" t="s">
        <v>568</v>
      </c>
      <c r="W605" s="3">
        <v>77.02</v>
      </c>
      <c r="X605" s="123">
        <f>IF(Faturamento!$V370="Pago",IFERROR(W605-R605,0),0)</f>
        <v>0</v>
      </c>
      <c r="Y605" s="4"/>
      <c r="Z605" s="4"/>
      <c r="AA605" s="5"/>
      <c r="AB605" s="5"/>
      <c r="AI605"/>
    </row>
    <row r="606" spans="1:35" hidden="1" x14ac:dyDescent="0.3">
      <c r="A606" s="5" t="str">
        <f>VLOOKUP(B606,base!A:M,11,FALSE)</f>
        <v>BIFÁSICO</v>
      </c>
      <c r="B606" s="37" t="s">
        <v>348</v>
      </c>
      <c r="C606" s="56">
        <v>67996150274</v>
      </c>
      <c r="D606" s="59">
        <v>62955505897930</v>
      </c>
      <c r="E606" s="37" t="s">
        <v>433</v>
      </c>
      <c r="F606" s="37" t="s">
        <v>434</v>
      </c>
      <c r="G606" s="52">
        <v>45689</v>
      </c>
      <c r="H606" s="52" t="str">
        <f>Faturamento!$B210&amp;Faturamento!$G210</f>
        <v>10/510330-445901</v>
      </c>
      <c r="I606" s="37" t="s">
        <v>435</v>
      </c>
      <c r="J606" s="37">
        <v>105</v>
      </c>
      <c r="K606" s="53">
        <v>162.76</v>
      </c>
      <c r="L606" s="53">
        <v>137.19499999999999</v>
      </c>
      <c r="M606" s="5" t="str">
        <f>IF(Faturamento!$S210&lt;&gt;"","Não emitido",IF(Faturamento!$I210="NÃO","Pendente Fatura", IF(Faturamento!$R210&lt;&gt;"","Aprovado",IF(Faturamento!$O210&lt;&gt;0,"Pendente Emissão","Processo de Calculo"))))</f>
        <v>Aprovado</v>
      </c>
      <c r="N606" s="53">
        <v>102.25999999999999</v>
      </c>
      <c r="O606" s="53">
        <v>76.7</v>
      </c>
      <c r="P606" s="52"/>
      <c r="Q606" s="52"/>
      <c r="R606" s="53">
        <v>76.7</v>
      </c>
      <c r="S606" s="37"/>
      <c r="T606" s="51" t="s">
        <v>760</v>
      </c>
      <c r="U606" s="51"/>
      <c r="V606" s="37" t="s">
        <v>568</v>
      </c>
      <c r="W606" s="53">
        <v>76.7</v>
      </c>
      <c r="X606" s="123">
        <f>IF(Faturamento!$V369="Pago",IFERROR(W606-R606,0),0)</f>
        <v>0</v>
      </c>
      <c r="Y606" s="52"/>
      <c r="Z606" s="52"/>
      <c r="AA606" s="5"/>
      <c r="AB606" s="5"/>
      <c r="AI606" t="str">
        <f>VLOOKUP(B606,'[2]Conciliação - 022025'!$A:$L,12,FALSE)</f>
        <v>DEPÓSITO ÚNICO ITAU 30/05/2025</v>
      </c>
    </row>
    <row r="607" spans="1:35" hidden="1" x14ac:dyDescent="0.3">
      <c r="A607" s="5" t="str">
        <f>VLOOKUP(B607,base!A:M,11,FALSE)</f>
        <v>TRIFÁSICO</v>
      </c>
      <c r="B607" s="37" t="s">
        <v>140</v>
      </c>
      <c r="C607" s="56" t="s">
        <v>126</v>
      </c>
      <c r="D607" s="59">
        <v>62955505015601</v>
      </c>
      <c r="E607" s="37" t="s">
        <v>433</v>
      </c>
      <c r="F607" s="37" t="s">
        <v>434</v>
      </c>
      <c r="G607" s="52">
        <v>45870</v>
      </c>
      <c r="H607" s="52" t="str">
        <f>Faturamento!$B730&amp;Faturamento!$G730</f>
        <v>10/466560-045717</v>
      </c>
      <c r="I607" s="37" t="s">
        <v>435</v>
      </c>
      <c r="J607">
        <v>84</v>
      </c>
      <c r="K607" s="3">
        <v>234.22720000000004</v>
      </c>
      <c r="L607" s="3">
        <v>212.10850717241198</v>
      </c>
      <c r="M607" s="5" t="s">
        <v>1489</v>
      </c>
      <c r="N607" s="53">
        <v>97.887200000000007</v>
      </c>
      <c r="O607" s="53">
        <v>75.77</v>
      </c>
      <c r="P607" s="52">
        <v>45910</v>
      </c>
      <c r="Q607" s="52">
        <v>45920</v>
      </c>
      <c r="R607" s="53">
        <v>75.77</v>
      </c>
      <c r="S607" s="37"/>
      <c r="T607" s="51" t="s">
        <v>1363</v>
      </c>
      <c r="U607" s="51" t="s">
        <v>1364</v>
      </c>
      <c r="V607" s="37" t="s">
        <v>568</v>
      </c>
      <c r="W607" s="53">
        <v>75.77</v>
      </c>
      <c r="X607" s="123">
        <f>IF(Faturamento!$V368="Pago",IFERROR(W607-R607,0),0)</f>
        <v>0</v>
      </c>
      <c r="Y607" s="52"/>
      <c r="Z607" s="52"/>
      <c r="AA607" s="5"/>
      <c r="AB607" s="5"/>
      <c r="AI607"/>
    </row>
    <row r="608" spans="1:35" hidden="1" x14ac:dyDescent="0.3">
      <c r="A608" s="5" t="str">
        <f>VLOOKUP(B608,base!A:M,11,FALSE)</f>
        <v>TRIFÁSICO</v>
      </c>
      <c r="B608" s="37" t="s">
        <v>324</v>
      </c>
      <c r="C608" s="56">
        <v>67996071169</v>
      </c>
      <c r="D608" s="59">
        <v>62955505136492</v>
      </c>
      <c r="E608" s="37" t="s">
        <v>433</v>
      </c>
      <c r="F608" s="37" t="s">
        <v>434</v>
      </c>
      <c r="G608" s="52">
        <v>45809</v>
      </c>
      <c r="H608" s="52" t="str">
        <f>Faturamento!$B576&amp;Faturamento!$G576</f>
        <v>10/1130988-745717</v>
      </c>
      <c r="I608" s="37" t="s">
        <v>435</v>
      </c>
      <c r="J608" s="37">
        <v>100</v>
      </c>
      <c r="K608" s="53">
        <v>252.61265060240964</v>
      </c>
      <c r="L608" s="53">
        <v>228.74187102506409</v>
      </c>
      <c r="M608" s="5" t="str">
        <f>IF(Faturamento!$S576&lt;&gt;"","Não emitido",IF(Faturamento!$I576="NÃO","Pendente Fatura", IF(Faturamento!$R576&lt;&gt;"","Aprovado",IF(Faturamento!$O576&lt;&gt;0,"Pendente Emissão","Processo de Calculo"))))</f>
        <v>Aprovado</v>
      </c>
      <c r="N608" s="53">
        <v>100.61265060240964</v>
      </c>
      <c r="O608" s="53">
        <v>75.459999999999994</v>
      </c>
      <c r="P608" s="52">
        <v>45860</v>
      </c>
      <c r="Q608" s="52">
        <v>45871</v>
      </c>
      <c r="R608" s="53">
        <v>75.459999999999994</v>
      </c>
      <c r="S608" s="37"/>
      <c r="T608" s="51" t="s">
        <v>1111</v>
      </c>
      <c r="U608" s="51" t="s">
        <v>1112</v>
      </c>
      <c r="V608" s="37" t="s">
        <v>568</v>
      </c>
      <c r="W608" s="53">
        <v>75.459999999999994</v>
      </c>
      <c r="X608" s="123">
        <f>IF(Faturamento!$V367="Pago",IFERROR(W608-R608,0),0)</f>
        <v>0</v>
      </c>
      <c r="Y608" s="52" t="s">
        <v>1015</v>
      </c>
      <c r="Z608" s="52"/>
      <c r="AA608" s="5"/>
      <c r="AB608" s="5"/>
      <c r="AI608"/>
    </row>
    <row r="609" spans="1:35" hidden="1" x14ac:dyDescent="0.3">
      <c r="A609" s="5" t="str">
        <f>VLOOKUP(B609,base!A:M,11,FALSE)</f>
        <v>BIFÁSICO</v>
      </c>
      <c r="B609" s="37" t="s">
        <v>250</v>
      </c>
      <c r="C609" s="56">
        <v>65999839279</v>
      </c>
      <c r="D609" s="59">
        <v>62955505015512</v>
      </c>
      <c r="E609" s="37" t="s">
        <v>433</v>
      </c>
      <c r="F609" s="37" t="s">
        <v>434</v>
      </c>
      <c r="G609" s="52">
        <v>45778</v>
      </c>
      <c r="H609" s="52" t="str">
        <f>Faturamento!$B524&amp;Faturamento!$G524</f>
        <v>10/480529-745658</v>
      </c>
      <c r="I609" s="37" t="s">
        <v>435</v>
      </c>
      <c r="J609">
        <v>103</v>
      </c>
      <c r="K609" s="3">
        <v>286.45987500000001</v>
      </c>
      <c r="L609" s="3">
        <v>261.38490624999997</v>
      </c>
      <c r="M609" s="5" t="str">
        <f>IF(Faturamento!$S524&lt;&gt;"","Não emitido",IF(Faturamento!$I524="NÃO","Pendente Fatura", IF(Faturamento!$R524&lt;&gt;"","Aprovado",IF(Faturamento!$O524&lt;&gt;0,"Pendente Emissão","Processo de Calculo"))))</f>
        <v>Aprovado</v>
      </c>
      <c r="N609" s="53">
        <v>100.299875</v>
      </c>
      <c r="O609" s="53">
        <v>75.22</v>
      </c>
      <c r="P609" s="52"/>
      <c r="Q609" s="52"/>
      <c r="R609" s="53">
        <v>75.22</v>
      </c>
      <c r="S609" s="37"/>
      <c r="T609" s="51" t="s">
        <v>1009</v>
      </c>
      <c r="U609" s="51"/>
      <c r="V609" s="37" t="s">
        <v>568</v>
      </c>
      <c r="W609" s="53">
        <v>75.22</v>
      </c>
      <c r="X609" s="123">
        <f>IF(Faturamento!$V366="Pago",IFERROR(W609-R609,0),0)</f>
        <v>0</v>
      </c>
      <c r="Y609" s="52"/>
      <c r="Z609" s="52"/>
      <c r="AA609" s="5"/>
      <c r="AB609" s="5"/>
      <c r="AI609"/>
    </row>
    <row r="610" spans="1:35" hidden="1" x14ac:dyDescent="0.3">
      <c r="A610" s="5" t="str">
        <f>VLOOKUP(B610,base!A:M,11,FALSE)</f>
        <v>BIFÁSICO</v>
      </c>
      <c r="B610" s="37" t="s">
        <v>137</v>
      </c>
      <c r="C610" s="56">
        <v>67992637973</v>
      </c>
      <c r="D610" s="59">
        <v>62955505040894</v>
      </c>
      <c r="E610" s="37" t="s">
        <v>433</v>
      </c>
      <c r="F610" s="37" t="s">
        <v>434</v>
      </c>
      <c r="G610" s="52">
        <v>45748</v>
      </c>
      <c r="H610" s="52" t="str">
        <f>Faturamento!$B422&amp;Faturamento!$G422</f>
        <v>10/72605-945748</v>
      </c>
      <c r="I610" s="37" t="s">
        <v>435</v>
      </c>
      <c r="J610" s="37">
        <v>103</v>
      </c>
      <c r="K610" s="53">
        <v>281.55</v>
      </c>
      <c r="L610" s="53">
        <v>256.53750000000002</v>
      </c>
      <c r="M610" s="5" t="str">
        <f>IF(Faturamento!$S422&lt;&gt;"","Não emitido",IF(Faturamento!$I422="NÃO","Pendente Fatura", IF(Faturamento!$R422&lt;&gt;"","Aprovado",IF(Faturamento!$O422&lt;&gt;0,"Pendente Emissão","Processo de Calculo"))))</f>
        <v>Aprovado</v>
      </c>
      <c r="N610" s="53">
        <v>100.05000000000001</v>
      </c>
      <c r="O610" s="53">
        <v>75.040000000000006</v>
      </c>
      <c r="P610" s="52"/>
      <c r="Q610" s="52"/>
      <c r="R610" s="53">
        <v>75.040000000000006</v>
      </c>
      <c r="S610" s="37"/>
      <c r="T610" s="51" t="s">
        <v>918</v>
      </c>
      <c r="U610" s="51"/>
      <c r="V610" s="37" t="s">
        <v>568</v>
      </c>
      <c r="W610" s="53">
        <v>75.040000000000006</v>
      </c>
      <c r="X610" s="123">
        <f>IF(Faturamento!$V365="Pago",IFERROR(W610-R610,0),0)</f>
        <v>0</v>
      </c>
      <c r="Y610" s="52"/>
      <c r="Z610" s="52"/>
      <c r="AA610" s="5"/>
      <c r="AB610" s="5"/>
      <c r="AI610"/>
    </row>
    <row r="611" spans="1:35" hidden="1" x14ac:dyDescent="0.3">
      <c r="A611" s="5" t="str">
        <f>VLOOKUP(B611,base!A:M,11,FALSE)</f>
        <v>TRIFÁSICO</v>
      </c>
      <c r="B611" t="s">
        <v>151</v>
      </c>
      <c r="C611" s="1">
        <v>67991133770</v>
      </c>
      <c r="D611" s="60">
        <v>62955505335851</v>
      </c>
      <c r="E611" s="63" t="s">
        <v>433</v>
      </c>
      <c r="F611" t="s">
        <v>434</v>
      </c>
      <c r="G611" s="4">
        <v>45778</v>
      </c>
      <c r="H611" s="4" t="str">
        <f>Faturamento!$B515&amp;Faturamento!$G515</f>
        <v>10/113971-645901</v>
      </c>
      <c r="I611" t="s">
        <v>435</v>
      </c>
      <c r="J611">
        <v>103</v>
      </c>
      <c r="K611" s="3">
        <v>280.90136054421771</v>
      </c>
      <c r="L611" s="3">
        <v>255.94852040816329</v>
      </c>
      <c r="M611" s="5" t="str">
        <f>IF(Faturamento!$S515&lt;&gt;"","Não emitido",IF(Faturamento!$I515="NÃO","Pendente Fatura", IF(Faturamento!$R515&lt;&gt;"","Aprovado",IF(Faturamento!$O515&lt;&gt;0,"Pendente Emissão","Processo de Calculo"))))</f>
        <v>Aprovado</v>
      </c>
      <c r="N611" s="3">
        <v>99.811360544217678</v>
      </c>
      <c r="O611" s="3">
        <v>74.86</v>
      </c>
      <c r="P611" s="4"/>
      <c r="Q611" s="4"/>
      <c r="R611" s="3">
        <v>74.86</v>
      </c>
      <c r="S611"/>
      <c r="T611" s="51" t="s">
        <v>1000</v>
      </c>
      <c r="U611" s="51"/>
      <c r="V611" t="s">
        <v>568</v>
      </c>
      <c r="W611" s="3">
        <v>99.81</v>
      </c>
      <c r="X611" s="123">
        <f>IF(Faturamento!$V196="Pago",IFERROR(W611-R611,0),0)</f>
        <v>24.950000000000003</v>
      </c>
      <c r="Y611" s="52">
        <v>45968</v>
      </c>
      <c r="Z611" s="52"/>
      <c r="AA611" s="5"/>
      <c r="AB611" s="5"/>
      <c r="AI611"/>
    </row>
    <row r="612" spans="1:35" hidden="1" x14ac:dyDescent="0.3">
      <c r="A612" s="5" t="str">
        <f>VLOOKUP(B612,base!A:M,11,FALSE)</f>
        <v>BIFÁSICO</v>
      </c>
      <c r="B612" s="37" t="s">
        <v>348</v>
      </c>
      <c r="C612" s="56">
        <v>67996150274</v>
      </c>
      <c r="D612" s="59">
        <v>62955505897930</v>
      </c>
      <c r="E612" s="37" t="s">
        <v>433</v>
      </c>
      <c r="F612" s="37" t="s">
        <v>434</v>
      </c>
      <c r="G612" s="52">
        <v>45839</v>
      </c>
      <c r="H612" s="52" t="str">
        <f>Faturamento!$B688&amp;Faturamento!$G688</f>
        <v>10/1117293-945931</v>
      </c>
      <c r="I612" s="37" t="s">
        <v>435</v>
      </c>
      <c r="J612" s="37">
        <v>96</v>
      </c>
      <c r="K612" s="53">
        <v>158.58294117647057</v>
      </c>
      <c r="L612" s="53">
        <v>136.42681447058823</v>
      </c>
      <c r="M612" s="5" t="str">
        <f>IF(Faturamento!$S688&lt;&gt;"","Não emitido",IF(Faturamento!$I688="NÃO","Pendente Fatura", IF(Faturamento!$R688&lt;&gt;"","Aprovado",IF(Faturamento!$O688&lt;&gt;0,"Pendente Emissão","Processo de Calculo"))))</f>
        <v>Aprovado</v>
      </c>
      <c r="N612" s="53">
        <v>96.58294117647057</v>
      </c>
      <c r="O612" s="53">
        <v>74.430000000000007</v>
      </c>
      <c r="P612" s="52">
        <v>45910</v>
      </c>
      <c r="Q612" s="52">
        <v>45920</v>
      </c>
      <c r="R612" s="53">
        <v>74.430000000000007</v>
      </c>
      <c r="S612" s="37"/>
      <c r="T612" s="51" t="s">
        <v>1287</v>
      </c>
      <c r="U612" s="51" t="s">
        <v>1288</v>
      </c>
      <c r="V612" s="37" t="s">
        <v>568</v>
      </c>
      <c r="W612" s="53">
        <v>74.430000000000007</v>
      </c>
      <c r="X612" s="123">
        <f>IF(Faturamento!$V364="Pago",IFERROR(W612-R612,0),0)</f>
        <v>0</v>
      </c>
      <c r="Y612" s="52"/>
      <c r="Z612" s="52"/>
      <c r="AA612" s="5"/>
      <c r="AB612" s="5"/>
      <c r="AI612"/>
    </row>
    <row r="613" spans="1:35" hidden="1" x14ac:dyDescent="0.3">
      <c r="A613" s="5" t="str">
        <f>VLOOKUP(B613,base!A:M,11,FALSE)</f>
        <v>BIFÁSICO</v>
      </c>
      <c r="B613" s="37" t="s">
        <v>276</v>
      </c>
      <c r="C613" s="56" t="s">
        <v>278</v>
      </c>
      <c r="D613" s="59">
        <v>62955505000167</v>
      </c>
      <c r="E613" s="37" t="s">
        <v>433</v>
      </c>
      <c r="F613" s="37" t="s">
        <v>434</v>
      </c>
      <c r="G613" s="52">
        <v>45778</v>
      </c>
      <c r="H613" s="52" t="str">
        <f>Faturamento!$B458&amp;Faturamento!$G458</f>
        <v>10/1548741-645748</v>
      </c>
      <c r="I613" s="37" t="s">
        <v>435</v>
      </c>
      <c r="J613">
        <v>89</v>
      </c>
      <c r="K613" s="3">
        <v>327.23270408163268</v>
      </c>
      <c r="L613" s="3">
        <v>302.5720280612245</v>
      </c>
      <c r="M613" s="5" t="str">
        <f>IF(Faturamento!$S458&lt;&gt;"","Não emitido",IF(Faturamento!$I458="NÃO","Pendente Fatura", IF(Faturamento!$R458&lt;&gt;"","Aprovado",IF(Faturamento!$O458&lt;&gt;0,"Pendente Emissão","Processo de Calculo"))))</f>
        <v>Aprovado</v>
      </c>
      <c r="N613" s="53">
        <v>98.642704081632644</v>
      </c>
      <c r="O613" s="53">
        <v>73.98</v>
      </c>
      <c r="P613" s="52"/>
      <c r="Q613" s="52"/>
      <c r="R613" s="53">
        <v>73.98</v>
      </c>
      <c r="S613" s="37"/>
      <c r="T613" s="51" t="s">
        <v>950</v>
      </c>
      <c r="U613" s="51"/>
      <c r="V613" s="37" t="s">
        <v>568</v>
      </c>
      <c r="W613" s="53">
        <v>98.64</v>
      </c>
      <c r="X613" s="123">
        <f>IF(Faturamento!$V423="Pago",IFERROR(W613-R613,0),0)</f>
        <v>24.659999999999997</v>
      </c>
      <c r="Y613" s="52">
        <v>45926</v>
      </c>
      <c r="Z613" s="52"/>
      <c r="AA613" s="5"/>
      <c r="AB613" s="5"/>
      <c r="AI613"/>
    </row>
    <row r="614" spans="1:35" hidden="1" x14ac:dyDescent="0.3">
      <c r="A614" s="5" t="str">
        <f>VLOOKUP(B614,base!A:M,11,FALSE)</f>
        <v>TRIFÁSICO</v>
      </c>
      <c r="B614" t="s">
        <v>211</v>
      </c>
      <c r="C614" s="1">
        <v>0</v>
      </c>
      <c r="D614" s="60">
        <v>62955505157066</v>
      </c>
      <c r="E614" s="63" t="s">
        <v>433</v>
      </c>
      <c r="F614" t="s">
        <v>434</v>
      </c>
      <c r="G614" s="4">
        <v>45901</v>
      </c>
      <c r="H614" s="4" t="str">
        <f>Faturamento!$B885&amp;Faturamento!$G885</f>
        <v>10/8777-545717</v>
      </c>
      <c r="I614" t="s">
        <v>435</v>
      </c>
      <c r="J614">
        <v>96</v>
      </c>
      <c r="K614" s="3">
        <v>218.67482352941175</v>
      </c>
      <c r="L614" s="3">
        <v>191.5711985134466</v>
      </c>
      <c r="M614" s="5" t="s">
        <v>1489</v>
      </c>
      <c r="N614" s="3">
        <v>100.91482352941176</v>
      </c>
      <c r="O614" s="3">
        <v>73.81</v>
      </c>
      <c r="P614" s="4">
        <v>45933</v>
      </c>
      <c r="Q614" s="4">
        <v>45943</v>
      </c>
      <c r="R614" s="3">
        <f>O614</f>
        <v>73.81</v>
      </c>
      <c r="S614"/>
      <c r="T614" s="51" t="s">
        <v>1645</v>
      </c>
      <c r="U614" s="51" t="s">
        <v>1646</v>
      </c>
      <c r="V614" t="s">
        <v>568</v>
      </c>
      <c r="W614" s="3">
        <f>O614</f>
        <v>73.81</v>
      </c>
      <c r="X614" s="123">
        <f>IF(Faturamento!$V363="Pago",IFERROR(W614-R614,0),0)</f>
        <v>0</v>
      </c>
      <c r="Y614" s="4"/>
      <c r="Z614" s="4"/>
      <c r="AA614" s="5"/>
      <c r="AB614" s="5"/>
      <c r="AI614"/>
    </row>
    <row r="615" spans="1:35" hidden="1" x14ac:dyDescent="0.3">
      <c r="A615" s="5" t="str">
        <f>VLOOKUP(B615,base!A:M,11,FALSE)</f>
        <v>TRIFÁSICO</v>
      </c>
      <c r="B615" s="37" t="s">
        <v>200</v>
      </c>
      <c r="C615" s="56">
        <v>67992637973</v>
      </c>
      <c r="D615" s="59">
        <v>62955505016403</v>
      </c>
      <c r="E615" s="37" t="s">
        <v>433</v>
      </c>
      <c r="F615" s="37" t="s">
        <v>434</v>
      </c>
      <c r="G615" s="52">
        <v>45809</v>
      </c>
      <c r="H615" s="52" t="str">
        <f>Faturamento!$B558&amp;Faturamento!$G558</f>
        <v>10/952579-145778</v>
      </c>
      <c r="I615" s="37" t="s">
        <v>435</v>
      </c>
      <c r="J615" s="37">
        <v>84</v>
      </c>
      <c r="K615" s="53">
        <v>739.6990825688074</v>
      </c>
      <c r="L615" s="53">
        <v>716.37246176918961</v>
      </c>
      <c r="M615" s="5" t="str">
        <f>IF(Faturamento!$S558&lt;&gt;"","Não emitido",IF(Faturamento!$I558="NÃO","Pendente Fatura", IF(Faturamento!$R558&lt;&gt;"","Aprovado",IF(Faturamento!$O558&lt;&gt;0,"Pendente Emissão","Processo de Calculo"))))</f>
        <v>Aprovado</v>
      </c>
      <c r="N615" s="53">
        <v>98.319082568807346</v>
      </c>
      <c r="O615" s="53">
        <v>73.739999999999995</v>
      </c>
      <c r="P615" s="52">
        <v>45860</v>
      </c>
      <c r="Q615" s="52">
        <v>45871</v>
      </c>
      <c r="R615" s="53">
        <v>73.739999999999995</v>
      </c>
      <c r="S615" s="37"/>
      <c r="T615" s="51" t="s">
        <v>1075</v>
      </c>
      <c r="U615" s="51" t="s">
        <v>1076</v>
      </c>
      <c r="V615" s="37" t="s">
        <v>568</v>
      </c>
      <c r="W615" s="53">
        <v>73.739999999999995</v>
      </c>
      <c r="X615" s="123">
        <f>IF(Faturamento!$V362="Pago",IFERROR(W615-R615,0),0)</f>
        <v>0</v>
      </c>
      <c r="Y615" s="52" t="s">
        <v>1015</v>
      </c>
      <c r="Z615" s="52"/>
      <c r="AA615" s="5"/>
      <c r="AB615" s="5"/>
      <c r="AI615"/>
    </row>
    <row r="616" spans="1:35" hidden="1" x14ac:dyDescent="0.3">
      <c r="A616" s="5" t="str">
        <f>VLOOKUP(B616,base!A:M,11,FALSE)</f>
        <v>TRIFÁSICO</v>
      </c>
      <c r="B616" s="37" t="s">
        <v>287</v>
      </c>
      <c r="C616" s="56" t="s">
        <v>288</v>
      </c>
      <c r="D616" s="59">
        <v>62955505273058</v>
      </c>
      <c r="E616" s="37" t="s">
        <v>433</v>
      </c>
      <c r="F616" s="37" t="s">
        <v>434</v>
      </c>
      <c r="G616" s="52">
        <v>45839</v>
      </c>
      <c r="H616" s="52" t="str">
        <f>Faturamento!$B700&amp;Faturamento!$G700</f>
        <v>10/1695011-545809</v>
      </c>
      <c r="I616" s="37" t="s">
        <v>435</v>
      </c>
      <c r="J616" s="37">
        <v>85</v>
      </c>
      <c r="K616" s="53">
        <v>211.72684210526319</v>
      </c>
      <c r="L616" s="53">
        <v>190.30848852631578</v>
      </c>
      <c r="M616" s="5" t="str">
        <f>IF(Faturamento!$S700&lt;&gt;"","Não emitido",IF(Faturamento!$I700="NÃO","Pendente Fatura", IF(Faturamento!$R700&lt;&gt;"","Aprovado",IF(Faturamento!$O700&lt;&gt;0,"Pendente Emissão","Processo de Calculo"))))</f>
        <v>Aprovado</v>
      </c>
      <c r="N616" s="53">
        <v>94.106842105263183</v>
      </c>
      <c r="O616" s="53">
        <v>72.69</v>
      </c>
      <c r="P616" s="52">
        <v>45910</v>
      </c>
      <c r="Q616" s="52">
        <v>45920</v>
      </c>
      <c r="R616" s="53">
        <v>72.69</v>
      </c>
      <c r="S616" s="37"/>
      <c r="T616" s="51" t="s">
        <v>1306</v>
      </c>
      <c r="U616" s="51" t="s">
        <v>1307</v>
      </c>
      <c r="V616" s="37" t="s">
        <v>568</v>
      </c>
      <c r="W616" s="53">
        <v>72.69</v>
      </c>
      <c r="X616" s="123">
        <f>IF(Faturamento!$V361="Pago",IFERROR(W616-R616,0),0)</f>
        <v>0</v>
      </c>
      <c r="Y616" s="52"/>
      <c r="Z616" s="52"/>
      <c r="AA616" s="5"/>
      <c r="AB616" s="5"/>
      <c r="AI616"/>
    </row>
    <row r="617" spans="1:35" hidden="1" x14ac:dyDescent="0.3">
      <c r="A617" s="5" t="str">
        <f>VLOOKUP(B617,base!A:M,11,FALSE)</f>
        <v>TRIFÁSICO</v>
      </c>
      <c r="B617" s="37" t="s">
        <v>350</v>
      </c>
      <c r="C617" s="56">
        <v>67993496482</v>
      </c>
      <c r="D617" s="59">
        <v>62955505015512</v>
      </c>
      <c r="E617" s="37" t="s">
        <v>433</v>
      </c>
      <c r="F617" s="37" t="s">
        <v>434</v>
      </c>
      <c r="G617" s="52">
        <v>45839</v>
      </c>
      <c r="H617" s="52" t="str">
        <f>Faturamento!$B704&amp;Faturamento!$G704</f>
        <v>10/283183-245901</v>
      </c>
      <c r="I617" s="37" t="s">
        <v>435</v>
      </c>
      <c r="J617" s="37">
        <v>81</v>
      </c>
      <c r="K617" s="53">
        <v>265.7903</v>
      </c>
      <c r="L617" s="53">
        <v>244.18075118000002</v>
      </c>
      <c r="M617" s="5" t="str">
        <f>IF(Faturamento!$S704&lt;&gt;"","Não emitido",IF(Faturamento!$I704="NÃO","Pendente Fatura", IF(Faturamento!$R704&lt;&gt;"","Aprovado",IF(Faturamento!$O704&lt;&gt;0,"Pendente Emissão","Processo de Calculo"))))</f>
        <v>Aprovado</v>
      </c>
      <c r="N617" s="53">
        <v>94.200299999999999</v>
      </c>
      <c r="O617" s="53">
        <v>72.59</v>
      </c>
      <c r="P617" s="52">
        <v>45910</v>
      </c>
      <c r="Q617" s="52">
        <v>45920</v>
      </c>
      <c r="R617" s="53">
        <v>72.59</v>
      </c>
      <c r="S617" s="37"/>
      <c r="T617" s="51" t="s">
        <v>1312</v>
      </c>
      <c r="U617" s="51" t="s">
        <v>1313</v>
      </c>
      <c r="V617" s="37" t="s">
        <v>568</v>
      </c>
      <c r="W617" s="53">
        <v>72.59</v>
      </c>
      <c r="X617" s="123">
        <f>IF(Faturamento!$V360="Pago",IFERROR(W617-R617,0),0)</f>
        <v>0</v>
      </c>
      <c r="Y617" s="52"/>
      <c r="Z617" s="52"/>
      <c r="AA617" s="5"/>
      <c r="AB617" s="5"/>
      <c r="AI617"/>
    </row>
    <row r="618" spans="1:35" hidden="1" x14ac:dyDescent="0.3">
      <c r="A618" s="5" t="str">
        <f>VLOOKUP(B618,base!A:M,11,FALSE)</f>
        <v>TRIFÁSICO</v>
      </c>
      <c r="B618" s="37" t="s">
        <v>287</v>
      </c>
      <c r="C618" s="56">
        <v>0</v>
      </c>
      <c r="D618" s="59">
        <v>62955505273058</v>
      </c>
      <c r="E618" s="37" t="s">
        <v>433</v>
      </c>
      <c r="F618" s="37" t="s">
        <v>434</v>
      </c>
      <c r="G618" s="52">
        <v>45870</v>
      </c>
      <c r="H618" s="52" t="str">
        <f>Faturamento!$B750&amp;Faturamento!$G750</f>
        <v>10/283183-245809</v>
      </c>
      <c r="I618" s="37" t="s">
        <v>435</v>
      </c>
      <c r="J618">
        <v>85</v>
      </c>
      <c r="K618" s="3">
        <v>209.79999999999998</v>
      </c>
      <c r="L618" s="3">
        <v>188.62067237871923</v>
      </c>
      <c r="M618" s="5" t="str">
        <f>IF(Faturamento!$S750&lt;&gt;"","Não emitido",IF(Faturamento!$I750="NÃO","Pendente Fatura", IF(Faturamento!$R750&lt;&gt;"","Aprovado",IF(Faturamento!$O750&lt;&gt;0,"Pendente Emissão","Processo de Calculo"))))</f>
        <v>Aprovado</v>
      </c>
      <c r="N618" s="53">
        <v>93.73</v>
      </c>
      <c r="O618" s="53">
        <v>72.55</v>
      </c>
      <c r="P618" s="52">
        <v>45910</v>
      </c>
      <c r="Q618" s="52">
        <v>45920</v>
      </c>
      <c r="R618" s="53">
        <v>72.55</v>
      </c>
      <c r="S618" s="37"/>
      <c r="T618" s="51" t="s">
        <v>1397</v>
      </c>
      <c r="U618" s="51" t="s">
        <v>1398</v>
      </c>
      <c r="V618" s="37" t="s">
        <v>568</v>
      </c>
      <c r="W618" s="53">
        <v>72.55</v>
      </c>
      <c r="X618" s="123">
        <f>IF(Faturamento!$V359="Pago",IFERROR(W618-R618,0),0)</f>
        <v>0</v>
      </c>
      <c r="Y618" s="52"/>
      <c r="Z618" s="52"/>
      <c r="AA618" s="5"/>
      <c r="AB618" s="5"/>
      <c r="AI618"/>
    </row>
    <row r="619" spans="1:35" hidden="1" x14ac:dyDescent="0.3">
      <c r="A619" s="5" t="str">
        <f>VLOOKUP(B619,base!A:M,11,FALSE)</f>
        <v>BIFÁSICO</v>
      </c>
      <c r="B619" t="s">
        <v>192</v>
      </c>
      <c r="C619" s="1">
        <v>67999516782</v>
      </c>
      <c r="D619" s="60">
        <v>62955505134449</v>
      </c>
      <c r="E619" s="63" t="s">
        <v>433</v>
      </c>
      <c r="F619" t="s">
        <v>434</v>
      </c>
      <c r="G619" s="4">
        <v>45809</v>
      </c>
      <c r="H619" s="4" t="str">
        <f>Faturamento!$B573&amp;Faturamento!$G573</f>
        <v>10/1288241-145658</v>
      </c>
      <c r="I619" t="s">
        <v>435</v>
      </c>
      <c r="J619" s="37">
        <v>95</v>
      </c>
      <c r="K619" s="53">
        <v>175.74705882352941</v>
      </c>
      <c r="L619" s="53">
        <v>152.88830905069582</v>
      </c>
      <c r="M619" s="5" t="str">
        <f>IF(Faturamento!$S573&lt;&gt;"","Não emitido",IF(Faturamento!$I573="NÃO","Pendente Fatura", IF(Faturamento!$R573&lt;&gt;"","Aprovado",IF(Faturamento!$O573&lt;&gt;0,"Pendente Emissão","Processo de Calculo"))))</f>
        <v>Aprovado</v>
      </c>
      <c r="N619" s="3">
        <v>96.347058823529409</v>
      </c>
      <c r="O619" s="3">
        <v>72.260000000000005</v>
      </c>
      <c r="P619" s="4">
        <v>45860</v>
      </c>
      <c r="Q619" s="4">
        <v>45871</v>
      </c>
      <c r="R619" s="3">
        <v>72.260000000000005</v>
      </c>
      <c r="S619"/>
      <c r="T619" s="51" t="s">
        <v>1105</v>
      </c>
      <c r="U619" s="51" t="s">
        <v>1106</v>
      </c>
      <c r="V619" t="s">
        <v>568</v>
      </c>
      <c r="W619" s="3">
        <v>72.260000000000005</v>
      </c>
      <c r="X619" s="123">
        <f>IF(Faturamento!$V358="Pago",IFERROR(W619-R619,0),0)</f>
        <v>0</v>
      </c>
      <c r="Y619" s="4"/>
      <c r="Z619" s="4"/>
      <c r="AA619" s="5"/>
      <c r="AB619" s="5"/>
      <c r="AI619"/>
    </row>
    <row r="620" spans="1:35" hidden="1" x14ac:dyDescent="0.3">
      <c r="A620" s="5" t="str">
        <f>VLOOKUP(B620,base!A:M,11,FALSE)</f>
        <v>TRIFÁSICO</v>
      </c>
      <c r="B620" t="s">
        <v>211</v>
      </c>
      <c r="C620" s="1">
        <v>0</v>
      </c>
      <c r="D620" s="60">
        <v>62955505157066</v>
      </c>
      <c r="E620" s="63" t="s">
        <v>433</v>
      </c>
      <c r="F620" t="s">
        <v>434</v>
      </c>
      <c r="G620" s="4">
        <v>45870</v>
      </c>
      <c r="H620" s="4" t="str">
        <f>Faturamento!$B787&amp;Faturamento!$G787</f>
        <v>10/135237-645627</v>
      </c>
      <c r="I620" t="s">
        <v>435</v>
      </c>
      <c r="J620">
        <v>92</v>
      </c>
      <c r="K620" s="3">
        <v>207.09329411764705</v>
      </c>
      <c r="L620" s="3">
        <v>186.03072189129</v>
      </c>
      <c r="M620" s="5" t="s">
        <v>1489</v>
      </c>
      <c r="N620" s="3">
        <v>93.213294117647052</v>
      </c>
      <c r="O620" s="3">
        <v>72.150000000000006</v>
      </c>
      <c r="P620" s="4">
        <v>45910</v>
      </c>
      <c r="Q620" s="4">
        <v>45920</v>
      </c>
      <c r="R620" s="3">
        <v>72.150000000000006</v>
      </c>
      <c r="S620"/>
      <c r="T620" s="51" t="s">
        <v>1470</v>
      </c>
      <c r="U620" s="51" t="s">
        <v>1471</v>
      </c>
      <c r="V620" t="s">
        <v>568</v>
      </c>
      <c r="W620" s="3">
        <v>72.150000000000006</v>
      </c>
      <c r="X620" s="123">
        <f>IF(Faturamento!$V357="Pago",IFERROR(W620-R620,0),0)</f>
        <v>0</v>
      </c>
      <c r="Y620" s="4"/>
      <c r="Z620" s="4"/>
      <c r="AA620" s="5"/>
      <c r="AB620" s="5"/>
      <c r="AI620"/>
    </row>
    <row r="621" spans="1:35" hidden="1" x14ac:dyDescent="0.3">
      <c r="A621" s="5" t="str">
        <f>VLOOKUP(B621,base!A:M,11,FALSE)</f>
        <v>TRIFÁSICO</v>
      </c>
      <c r="B621" s="37" t="s">
        <v>307</v>
      </c>
      <c r="C621" s="56">
        <v>0</v>
      </c>
      <c r="D621" s="59">
        <v>62955505182257</v>
      </c>
      <c r="E621" s="37" t="s">
        <v>433</v>
      </c>
      <c r="F621" s="37" t="s">
        <v>434</v>
      </c>
      <c r="G621" s="52">
        <v>45870</v>
      </c>
      <c r="H621" s="52" t="str">
        <f>Faturamento!$B788&amp;Faturamento!$G788</f>
        <v>10/1548741-645627</v>
      </c>
      <c r="I621" s="37" t="s">
        <v>435</v>
      </c>
      <c r="J621">
        <v>91</v>
      </c>
      <c r="K621" s="3">
        <v>252.33352941176472</v>
      </c>
      <c r="L621" s="3">
        <v>231.29124051107402</v>
      </c>
      <c r="M621" s="5" t="s">
        <v>1489</v>
      </c>
      <c r="N621" s="53">
        <v>93.123529411764721</v>
      </c>
      <c r="O621" s="53">
        <v>72.08</v>
      </c>
      <c r="P621" s="52">
        <v>45910</v>
      </c>
      <c r="Q621" s="52">
        <v>45920</v>
      </c>
      <c r="R621" s="53">
        <v>72.08</v>
      </c>
      <c r="S621" s="37"/>
      <c r="T621" s="51" t="s">
        <v>1472</v>
      </c>
      <c r="U621" s="51" t="s">
        <v>1473</v>
      </c>
      <c r="V621" s="37" t="s">
        <v>568</v>
      </c>
      <c r="W621" s="53">
        <v>93.12</v>
      </c>
      <c r="X621" s="123">
        <f>IF(Faturamento!$V410="Pago",IFERROR(W621-R621,0),0)</f>
        <v>21.040000000000006</v>
      </c>
      <c r="Y621" s="52">
        <v>45939</v>
      </c>
      <c r="Z621" s="52"/>
      <c r="AA621" s="5"/>
      <c r="AB621" s="5"/>
      <c r="AI621"/>
    </row>
    <row r="622" spans="1:35" hidden="1" x14ac:dyDescent="0.3">
      <c r="A622" s="5" t="str">
        <f>VLOOKUP(B622,base!A:M,11,FALSE)</f>
        <v>BIFÁSICO</v>
      </c>
      <c r="B622" t="s">
        <v>204</v>
      </c>
      <c r="C622" s="56">
        <v>67992637973</v>
      </c>
      <c r="D622">
        <v>62955505040894</v>
      </c>
      <c r="E622" s="37" t="s">
        <v>433</v>
      </c>
      <c r="F622" t="s">
        <v>108</v>
      </c>
      <c r="G622" s="4">
        <v>45931</v>
      </c>
      <c r="H622" s="52" t="str">
        <f>Faturamento!$B968&amp;Faturamento!$G968</f>
        <v>10/135237-645839</v>
      </c>
      <c r="I622" s="37" t="s">
        <v>435</v>
      </c>
      <c r="J622">
        <v>82</v>
      </c>
      <c r="K622" s="3">
        <v>191.27679999999998</v>
      </c>
      <c r="L622" s="3">
        <v>163.4020659428524</v>
      </c>
      <c r="M622" s="5" t="s">
        <v>1489</v>
      </c>
      <c r="N622" s="53">
        <v>99.666799999999981</v>
      </c>
      <c r="O622" s="53">
        <v>71.790000000000006</v>
      </c>
      <c r="P622" s="52">
        <v>45967</v>
      </c>
      <c r="Q622" s="52">
        <v>45974</v>
      </c>
      <c r="R622" s="53">
        <v>71.790000000000006</v>
      </c>
      <c r="S622" s="37"/>
      <c r="T622" s="3" t="str">
        <f>D622&amp;R622</f>
        <v>6295550504089471,79</v>
      </c>
      <c r="U622" s="3" t="s">
        <v>1780</v>
      </c>
      <c r="V622" s="37" t="s">
        <v>568</v>
      </c>
      <c r="W622" s="13">
        <f>R622</f>
        <v>71.790000000000006</v>
      </c>
      <c r="X622" s="124">
        <f>IF(Faturamento!$V970="Pago",IFERROR(W622-R622,0),0)</f>
        <v>0</v>
      </c>
    </row>
    <row r="623" spans="1:35" hidden="1" x14ac:dyDescent="0.3">
      <c r="A623" s="5" t="str">
        <f>VLOOKUP(B623,base!A:M,11,FALSE)</f>
        <v>TRIFÁSICO</v>
      </c>
      <c r="B623" t="s">
        <v>134</v>
      </c>
      <c r="C623" s="1">
        <v>67999516782</v>
      </c>
      <c r="D623" s="60">
        <v>62955505892114</v>
      </c>
      <c r="E623" s="63" t="s">
        <v>433</v>
      </c>
      <c r="F623" t="s">
        <v>434</v>
      </c>
      <c r="G623" s="4">
        <v>45717</v>
      </c>
      <c r="H623" s="4" t="str">
        <f>Faturamento!$B265&amp;Faturamento!$G265</f>
        <v>10/3092868-345901</v>
      </c>
      <c r="I623" t="s">
        <v>435</v>
      </c>
      <c r="J623">
        <v>85</v>
      </c>
      <c r="K623" s="3">
        <v>243.27</v>
      </c>
      <c r="L623" s="3">
        <v>219.55250000000001</v>
      </c>
      <c r="M623" s="5" t="str">
        <f>IF(Faturamento!$S265&lt;&gt;"","Não emitido",IF(Faturamento!$I265="NÃO","Pendente Fatura", IF(Faturamento!$R265&lt;&gt;"","Aprovado",IF(Faturamento!$O265&lt;&gt;0,"Pendente Emissão","Processo de Calculo"))))</f>
        <v>Aprovado</v>
      </c>
      <c r="N623" s="3">
        <v>94.87</v>
      </c>
      <c r="O623" s="3">
        <v>71.150000000000006</v>
      </c>
      <c r="P623" s="4"/>
      <c r="Q623" s="4"/>
      <c r="R623" s="3">
        <v>71.150000000000006</v>
      </c>
      <c r="S623"/>
      <c r="T623" s="51" t="s">
        <v>805</v>
      </c>
      <c r="U623" s="51"/>
      <c r="V623" t="s">
        <v>568</v>
      </c>
      <c r="W623" s="3">
        <v>71.150000000000006</v>
      </c>
      <c r="X623" s="123">
        <f>IF(Faturamento!$V355="Pago",IFERROR(W623-R623,0),0)</f>
        <v>0</v>
      </c>
      <c r="Y623" s="4"/>
      <c r="Z623" s="4"/>
      <c r="AA623" s="5"/>
      <c r="AB623" s="5"/>
      <c r="AI623"/>
    </row>
    <row r="624" spans="1:35" hidden="1" x14ac:dyDescent="0.3">
      <c r="A624" s="5" t="str">
        <f>VLOOKUP(B624,base!A:M,11,FALSE)</f>
        <v>TRIFÁSICO</v>
      </c>
      <c r="B624" t="s">
        <v>151</v>
      </c>
      <c r="C624" s="1">
        <v>67991133770</v>
      </c>
      <c r="D624" s="60">
        <v>62955505335851</v>
      </c>
      <c r="E624" s="63" t="s">
        <v>433</v>
      </c>
      <c r="F624" t="s">
        <v>434</v>
      </c>
      <c r="G624" s="4">
        <v>45839</v>
      </c>
      <c r="H624" s="4" t="str">
        <f>Faturamento!$B669&amp;Faturamento!$G669</f>
        <v>10/3054052-045689</v>
      </c>
      <c r="I624" t="s">
        <v>435</v>
      </c>
      <c r="J624" s="37">
        <v>90</v>
      </c>
      <c r="K624" s="53">
        <v>206.78117647058826</v>
      </c>
      <c r="L624" s="53">
        <v>186.00873658823531</v>
      </c>
      <c r="M624" s="5" t="str">
        <f>IF(Faturamento!$S669&lt;&gt;"","Não emitido",IF(Faturamento!$I669="NÃO","Pendente Fatura", IF(Faturamento!$R669&lt;&gt;"","Aprovado",IF(Faturamento!$O669&lt;&gt;0,"Pendente Emissão","Processo de Calculo"))))</f>
        <v>Aprovado</v>
      </c>
      <c r="N624" s="3">
        <v>91.55117647058826</v>
      </c>
      <c r="O624" s="3">
        <v>70.78</v>
      </c>
      <c r="P624" s="4">
        <v>45910</v>
      </c>
      <c r="Q624" s="4">
        <v>45920</v>
      </c>
      <c r="R624" s="3">
        <v>70.78</v>
      </c>
      <c r="S624"/>
      <c r="T624" s="51" t="s">
        <v>1251</v>
      </c>
      <c r="U624" s="51" t="s">
        <v>1252</v>
      </c>
      <c r="V624" t="s">
        <v>568</v>
      </c>
      <c r="W624" s="3">
        <v>91.55</v>
      </c>
      <c r="X624" s="123">
        <f>IF(Faturamento!$V844="Pago",IFERROR(W624-R624,0),0)</f>
        <v>0</v>
      </c>
      <c r="Y624" s="52">
        <v>45968</v>
      </c>
      <c r="Z624" s="52"/>
      <c r="AA624" s="5"/>
      <c r="AB624" s="5"/>
      <c r="AI624"/>
    </row>
    <row r="625" spans="1:35" hidden="1" x14ac:dyDescent="0.3">
      <c r="A625" s="5" t="str">
        <f>VLOOKUP(B625,base!A:M,11,FALSE)</f>
        <v>TRIFÁSICO</v>
      </c>
      <c r="B625" s="37" t="s">
        <v>232</v>
      </c>
      <c r="C625" s="56" t="s">
        <v>234</v>
      </c>
      <c r="D625" s="59">
        <v>62955505287601</v>
      </c>
      <c r="E625" s="37" t="s">
        <v>433</v>
      </c>
      <c r="F625" s="37" t="s">
        <v>434</v>
      </c>
      <c r="G625" s="52">
        <v>45689</v>
      </c>
      <c r="H625" s="52" t="str">
        <f>Faturamento!$B214&amp;Faturamento!$G214</f>
        <v>10/8777-545901</v>
      </c>
      <c r="I625" s="37" t="s">
        <v>435</v>
      </c>
      <c r="J625" s="37">
        <v>96</v>
      </c>
      <c r="K625" s="53"/>
      <c r="L625" s="53"/>
      <c r="M625" s="5" t="str">
        <f>IF(Faturamento!$S214&lt;&gt;"","Não emitido",IF(Faturamento!$I214="NÃO","Pendente Fatura", IF(Faturamento!$R214&lt;&gt;"","Aprovado",IF(Faturamento!$O214&lt;&gt;0,"Pendente Emissão","Processo de Calculo"))))</f>
        <v>Aprovado</v>
      </c>
      <c r="N625" s="53">
        <v>93.510000000000019</v>
      </c>
      <c r="O625" s="53">
        <v>70.13</v>
      </c>
      <c r="P625" s="52"/>
      <c r="Q625" s="52"/>
      <c r="R625" s="53"/>
      <c r="S625" s="37" t="s">
        <v>708</v>
      </c>
      <c r="T625" s="51" t="s">
        <v>763</v>
      </c>
      <c r="U625" s="51"/>
      <c r="V625" s="37" t="s">
        <v>438</v>
      </c>
      <c r="W625" s="53">
        <v>0</v>
      </c>
      <c r="X625" s="123">
        <f>IF(Faturamento!$V91="Pago",IFERROR(W625-R625,0),0)</f>
        <v>0</v>
      </c>
      <c r="Y625" s="52"/>
      <c r="Z625" s="52"/>
      <c r="AA625" s="5"/>
      <c r="AB625" s="5"/>
      <c r="AI625"/>
    </row>
    <row r="626" spans="1:35" hidden="1" x14ac:dyDescent="0.3">
      <c r="A626" s="5" t="str">
        <f>VLOOKUP(B626,base!A:M,11,FALSE)</f>
        <v>BIFÁSICO</v>
      </c>
      <c r="B626" s="37" t="s">
        <v>348</v>
      </c>
      <c r="C626" s="56">
        <v>67996150274</v>
      </c>
      <c r="D626" s="59">
        <v>62955505897930</v>
      </c>
      <c r="E626" s="37" t="s">
        <v>433</v>
      </c>
      <c r="F626" s="37" t="s">
        <v>434</v>
      </c>
      <c r="G626" s="52">
        <v>45748</v>
      </c>
      <c r="H626" s="52" t="str">
        <f>Faturamento!$B404&amp;Faturamento!$G404</f>
        <v>10/3040565-845748</v>
      </c>
      <c r="I626" s="37" t="s">
        <v>435</v>
      </c>
      <c r="J626" s="37">
        <v>96</v>
      </c>
      <c r="K626" s="53">
        <v>177.89</v>
      </c>
      <c r="L626" s="53">
        <v>154.54750000000001</v>
      </c>
      <c r="M626" s="5" t="str">
        <f>IF(Faturamento!$S404&lt;&gt;"","Não emitido",IF(Faturamento!$I404="NÃO","Pendente Fatura", IF(Faturamento!$R404&lt;&gt;"","Aprovado",IF(Faturamento!$O404&lt;&gt;0,"Pendente Emissão","Processo de Calculo"))))</f>
        <v>Aprovado</v>
      </c>
      <c r="N626" s="53">
        <v>93.37</v>
      </c>
      <c r="O626" s="53">
        <v>70.03</v>
      </c>
      <c r="P626" s="52"/>
      <c r="Q626" s="52"/>
      <c r="R626" s="53">
        <v>70.03</v>
      </c>
      <c r="S626" s="37"/>
      <c r="T626" s="51" t="s">
        <v>902</v>
      </c>
      <c r="U626" s="51"/>
      <c r="V626" s="37" t="s">
        <v>568</v>
      </c>
      <c r="W626" s="53">
        <v>70.03</v>
      </c>
      <c r="X626" s="123">
        <f>IF(Faturamento!$V354="Pago",IFERROR(W626-R626,0),0)</f>
        <v>0</v>
      </c>
      <c r="Y626" s="52"/>
      <c r="Z626" s="52"/>
      <c r="AA626" s="5"/>
      <c r="AB626" s="5"/>
      <c r="AI626"/>
    </row>
    <row r="627" spans="1:35" hidden="1" x14ac:dyDescent="0.3">
      <c r="A627" s="5" t="str">
        <f>VLOOKUP(B627,base!A:M,11,FALSE)</f>
        <v>BIFÁSICO</v>
      </c>
      <c r="B627" t="s">
        <v>297</v>
      </c>
      <c r="C627" s="1">
        <v>0</v>
      </c>
      <c r="D627" s="60">
        <v>62955505016080</v>
      </c>
      <c r="E627" s="63" t="s">
        <v>433</v>
      </c>
      <c r="F627" t="s">
        <v>434</v>
      </c>
      <c r="G627" s="4">
        <v>45901</v>
      </c>
      <c r="H627" s="4" t="str">
        <f>Faturamento!$B841&amp;Faturamento!$G841</f>
        <v>10/76927-345689</v>
      </c>
      <c r="I627" t="s">
        <v>435</v>
      </c>
      <c r="J627">
        <v>79</v>
      </c>
      <c r="K627" s="3">
        <v>194.2226</v>
      </c>
      <c r="L627" s="3">
        <v>168.59138632657235</v>
      </c>
      <c r="M627" s="5" t="s">
        <v>1489</v>
      </c>
      <c r="N627" s="3">
        <v>95.432599999999994</v>
      </c>
      <c r="O627" s="3">
        <v>69.8</v>
      </c>
      <c r="P627" s="4">
        <v>45933</v>
      </c>
      <c r="Q627" s="4">
        <v>45943</v>
      </c>
      <c r="R627" s="3">
        <f>O627</f>
        <v>69.8</v>
      </c>
      <c r="S627"/>
      <c r="T627" s="51" t="s">
        <v>1564</v>
      </c>
      <c r="U627" s="51" t="s">
        <v>1565</v>
      </c>
      <c r="V627" t="s">
        <v>568</v>
      </c>
      <c r="W627" s="3">
        <v>95.43</v>
      </c>
      <c r="X627" s="123">
        <f>IF(Faturamento!$V416="Pago",IFERROR(W627-R627,0),0)</f>
        <v>25.63000000000001</v>
      </c>
      <c r="Y627" s="4">
        <v>45960</v>
      </c>
      <c r="Z627" s="4"/>
      <c r="AA627" s="5"/>
      <c r="AB627" s="5"/>
      <c r="AI627"/>
    </row>
    <row r="628" spans="1:35" hidden="1" x14ac:dyDescent="0.3">
      <c r="A628" s="5" t="str">
        <f>VLOOKUP(B628,base!A:M,11,FALSE)</f>
        <v>TRIFÁSICO</v>
      </c>
      <c r="B628" t="s">
        <v>191</v>
      </c>
      <c r="C628" s="1">
        <v>0</v>
      </c>
      <c r="D628" s="60">
        <v>62955505461210</v>
      </c>
      <c r="E628" s="63" t="s">
        <v>433</v>
      </c>
      <c r="F628" t="s">
        <v>434</v>
      </c>
      <c r="G628" s="4">
        <v>45870</v>
      </c>
      <c r="H628" s="4" t="str">
        <f>Faturamento!$B735&amp;Faturamento!$G735</f>
        <v>10/10232-745809</v>
      </c>
      <c r="I628" t="s">
        <v>435</v>
      </c>
      <c r="J628">
        <v>77</v>
      </c>
      <c r="K628" s="3">
        <v>268.75080000000003</v>
      </c>
      <c r="L628" s="3">
        <v>248.39604938027247</v>
      </c>
      <c r="M628" s="5" t="str">
        <f>IF(Faturamento!$S735&lt;&gt;"","Não emitido",IF(Faturamento!$I735="NÃO","Pendente Fatura", IF(Faturamento!$R735&lt;&gt;"","Aprovado",IF(Faturamento!$O735&lt;&gt;0,"Pendente Emissão","Processo de Calculo"))))</f>
        <v>Aprovado</v>
      </c>
      <c r="N628" s="3">
        <v>90.080799999999996</v>
      </c>
      <c r="O628" s="3">
        <v>69.73</v>
      </c>
      <c r="P628" s="4">
        <v>45910</v>
      </c>
      <c r="Q628" s="4">
        <v>45920</v>
      </c>
      <c r="R628" s="3">
        <v>69.73</v>
      </c>
      <c r="S628"/>
      <c r="T628" s="51" t="s">
        <v>1371</v>
      </c>
      <c r="U628" s="51" t="s">
        <v>1372</v>
      </c>
      <c r="V628" t="s">
        <v>568</v>
      </c>
      <c r="W628" s="3">
        <v>69.73</v>
      </c>
      <c r="X628" s="123">
        <f>IF(Faturamento!$V353="Pago",IFERROR(W628-R628,0),0)</f>
        <v>0</v>
      </c>
      <c r="Y628" s="4"/>
      <c r="Z628" s="4"/>
      <c r="AA628" s="5"/>
      <c r="AB628" s="5"/>
      <c r="AI628"/>
    </row>
    <row r="629" spans="1:35" hidden="1" x14ac:dyDescent="0.3">
      <c r="A629" s="5" t="str">
        <f>VLOOKUP(B629,base!A:M,11,FALSE)</f>
        <v>TRIFÁSICO</v>
      </c>
      <c r="B629" t="s">
        <v>118</v>
      </c>
      <c r="C629" s="1">
        <v>67996135721</v>
      </c>
      <c r="D629" s="60">
        <v>62955505182257</v>
      </c>
      <c r="E629" s="63" t="s">
        <v>433</v>
      </c>
      <c r="F629" t="s">
        <v>434</v>
      </c>
      <c r="G629" s="4">
        <v>45839</v>
      </c>
      <c r="H629" s="4" t="str">
        <f>Faturamento!$B695&amp;Faturamento!$G695</f>
        <v>10/501586-245658</v>
      </c>
      <c r="I629" t="s">
        <v>435</v>
      </c>
      <c r="J629" s="37">
        <v>83</v>
      </c>
      <c r="K629" s="53">
        <v>292.87224719101124</v>
      </c>
      <c r="L629" s="53">
        <v>273.06533568539328</v>
      </c>
      <c r="M629" s="5" t="str">
        <f>IF(Faturamento!$S695&lt;&gt;"","Não emitido",IF(Faturamento!$I695="NÃO","Pendente Fatura", IF(Faturamento!$R695&lt;&gt;"","Aprovado",IF(Faturamento!$O695&lt;&gt;0,"Pendente Emissão","Processo de Calculo"))))</f>
        <v>Aprovado</v>
      </c>
      <c r="N629" s="3">
        <v>88.992247191011259</v>
      </c>
      <c r="O629" s="3">
        <v>69.19</v>
      </c>
      <c r="P629" s="4">
        <v>45910</v>
      </c>
      <c r="Q629" s="4">
        <v>45920</v>
      </c>
      <c r="R629" s="3">
        <v>69.19</v>
      </c>
      <c r="S629"/>
      <c r="T629" s="51" t="s">
        <v>1297</v>
      </c>
      <c r="U629" s="51" t="s">
        <v>1298</v>
      </c>
      <c r="V629" t="s">
        <v>568</v>
      </c>
      <c r="W629" s="3">
        <v>69.19</v>
      </c>
      <c r="X629" s="123">
        <f>IF(Faturamento!$V352="Pago",IFERROR(W629-R629,0),0)</f>
        <v>0</v>
      </c>
      <c r="Y629" s="4"/>
      <c r="Z629" s="4"/>
      <c r="AA629" s="5"/>
      <c r="AB629" s="5"/>
      <c r="AI629"/>
    </row>
    <row r="630" spans="1:35" hidden="1" x14ac:dyDescent="0.3">
      <c r="A630" s="5" t="str">
        <f>VLOOKUP(B630,base!A:M,11,FALSE)</f>
        <v>TRIFÁSICO</v>
      </c>
      <c r="B630" t="s">
        <v>164</v>
      </c>
      <c r="C630" s="1" t="s">
        <v>126</v>
      </c>
      <c r="D630" s="60">
        <v>62955505419443</v>
      </c>
      <c r="E630" s="63" t="s">
        <v>433</v>
      </c>
      <c r="F630" t="s">
        <v>434</v>
      </c>
      <c r="G630" s="4">
        <v>45901</v>
      </c>
      <c r="H630" s="4" t="str">
        <f>Faturamento!$B827&amp;Faturamento!$G827</f>
        <v>10/3214521-145658</v>
      </c>
      <c r="I630" t="s">
        <v>435</v>
      </c>
      <c r="J630">
        <v>78</v>
      </c>
      <c r="K630" s="3">
        <v>236.34100000000004</v>
      </c>
      <c r="L630" s="3">
        <v>211.03251112239678</v>
      </c>
      <c r="M630" s="5" t="s">
        <v>1489</v>
      </c>
      <c r="N630" s="3">
        <v>94.230999999999995</v>
      </c>
      <c r="O630" s="3">
        <v>68.92</v>
      </c>
      <c r="P630" s="4">
        <v>45933</v>
      </c>
      <c r="Q630" s="4">
        <v>45943</v>
      </c>
      <c r="R630" s="3">
        <f>O630</f>
        <v>68.92</v>
      </c>
      <c r="S630"/>
      <c r="T630" s="51" t="s">
        <v>1539</v>
      </c>
      <c r="U630" s="51" t="s">
        <v>1540</v>
      </c>
      <c r="V630" t="s">
        <v>568</v>
      </c>
      <c r="W630" s="3">
        <v>68.92</v>
      </c>
      <c r="X630" s="123">
        <f>IF(Faturamento!$V351="Pago",IFERROR(W630-R630,0),0)</f>
        <v>0</v>
      </c>
      <c r="Y630" s="4">
        <v>45954</v>
      </c>
      <c r="Z630" s="4"/>
      <c r="AA630" s="5"/>
      <c r="AB630" s="5"/>
      <c r="AI630"/>
    </row>
    <row r="631" spans="1:35" hidden="1" x14ac:dyDescent="0.3">
      <c r="A631" s="5" t="str">
        <f>VLOOKUP(B631,base!A:M,11,FALSE)</f>
        <v>TRIFÁSICO</v>
      </c>
      <c r="B631" t="s">
        <v>230</v>
      </c>
      <c r="C631" s="1">
        <v>0</v>
      </c>
      <c r="D631" s="60">
        <v>62955505843253</v>
      </c>
      <c r="E631" s="63" t="s">
        <v>433</v>
      </c>
      <c r="F631" t="s">
        <v>434</v>
      </c>
      <c r="G631" s="4">
        <v>45870</v>
      </c>
      <c r="H631" s="4" t="str">
        <f>Faturamento!$B771&amp;Faturamento!$G771</f>
        <v>10/135237-645778</v>
      </c>
      <c r="I631" t="s">
        <v>435</v>
      </c>
      <c r="J631">
        <v>86</v>
      </c>
      <c r="K631" s="3">
        <v>228.18</v>
      </c>
      <c r="L631" s="3">
        <v>208.23667922912369</v>
      </c>
      <c r="M631" s="5" t="str">
        <f>IF(Faturamento!$S771&lt;&gt;"","Não emitido",IF(Faturamento!$I771="NÃO","Pendente Fatura", IF(Faturamento!$R771&lt;&gt;"","Aprovado",IF(Faturamento!$O771&lt;&gt;0,"Pendente Emissão","Processo de Calculo"))))</f>
        <v>Aprovado</v>
      </c>
      <c r="N631" s="3">
        <v>88.259999999999991</v>
      </c>
      <c r="O631" s="3">
        <v>68.319999999999993</v>
      </c>
      <c r="P631" s="4">
        <v>45910</v>
      </c>
      <c r="Q631" s="4">
        <v>45920</v>
      </c>
      <c r="R631" s="3">
        <v>68.319999999999993</v>
      </c>
      <c r="S631"/>
      <c r="T631" s="51" t="s">
        <v>1438</v>
      </c>
      <c r="U631" s="51" t="s">
        <v>1439</v>
      </c>
      <c r="V631" t="s">
        <v>568</v>
      </c>
      <c r="W631" s="3">
        <v>68.319999999999993</v>
      </c>
      <c r="X631" s="123">
        <f>IF(Faturamento!$V350="Pago",IFERROR(W631-R631,0),0)</f>
        <v>0</v>
      </c>
      <c r="Y631" s="4"/>
      <c r="Z631" s="4"/>
      <c r="AA631" s="5"/>
      <c r="AB631" s="5"/>
      <c r="AI631"/>
    </row>
    <row r="632" spans="1:35" hidden="1" x14ac:dyDescent="0.3">
      <c r="A632" s="5" t="str">
        <f>VLOOKUP(B632,base!A:M,11,FALSE)</f>
        <v>TRIFÁSICO</v>
      </c>
      <c r="B632" s="37" t="s">
        <v>322</v>
      </c>
      <c r="C632" s="56">
        <v>0</v>
      </c>
      <c r="D632" s="59">
        <v>62955505182257</v>
      </c>
      <c r="E632" s="37" t="s">
        <v>433</v>
      </c>
      <c r="F632" s="37" t="s">
        <v>434</v>
      </c>
      <c r="G632" s="52">
        <v>45870</v>
      </c>
      <c r="H632" s="52" t="str">
        <f>Faturamento!$B772&amp;Faturamento!$G772</f>
        <v>10/257864-945931</v>
      </c>
      <c r="I632" s="37" t="s">
        <v>435</v>
      </c>
      <c r="J632">
        <v>86</v>
      </c>
      <c r="K632" s="3">
        <v>244.66</v>
      </c>
      <c r="L632" s="3">
        <v>224.85903467990153</v>
      </c>
      <c r="M632" s="5" t="str">
        <f>IF(Faturamento!$S772&lt;&gt;"","Não emitido",IF(Faturamento!$I772="NÃO","Pendente Fatura", IF(Faturamento!$R772&lt;&gt;"","Aprovado",IF(Faturamento!$O772&lt;&gt;0,"Pendente Emissão","Processo de Calculo"))))</f>
        <v>Aprovado</v>
      </c>
      <c r="N632" s="53">
        <v>87.63</v>
      </c>
      <c r="O632" s="53">
        <v>67.83</v>
      </c>
      <c r="P632" s="52">
        <v>45910</v>
      </c>
      <c r="Q632" s="52">
        <v>45920</v>
      </c>
      <c r="R632" s="53">
        <v>67.83</v>
      </c>
      <c r="S632" s="37"/>
      <c r="T632" s="51" t="s">
        <v>1440</v>
      </c>
      <c r="U632" s="51" t="s">
        <v>1441</v>
      </c>
      <c r="V632" s="37" t="s">
        <v>568</v>
      </c>
      <c r="W632" s="53">
        <v>67.83</v>
      </c>
      <c r="X632" s="123">
        <f>IF(Faturamento!$V349="Pago",IFERROR(W632-R632,0),0)</f>
        <v>0</v>
      </c>
      <c r="Y632" s="52"/>
      <c r="Z632" s="52"/>
      <c r="AA632" s="5"/>
      <c r="AB632" s="5"/>
      <c r="AI632"/>
    </row>
    <row r="633" spans="1:35" hidden="1" x14ac:dyDescent="0.3">
      <c r="A633" s="5" t="str">
        <f>VLOOKUP(B633,base!A:M,11,FALSE)</f>
        <v>TRIFÁSICO</v>
      </c>
      <c r="B633" s="37" t="s">
        <v>324</v>
      </c>
      <c r="C633" s="56">
        <v>0</v>
      </c>
      <c r="D633" s="59">
        <v>62955505136492</v>
      </c>
      <c r="E633" s="37" t="s">
        <v>433</v>
      </c>
      <c r="F633" s="37" t="s">
        <v>434</v>
      </c>
      <c r="G633" s="52">
        <v>45901</v>
      </c>
      <c r="H633" s="52" t="str">
        <f>Faturamento!$B884&amp;Faturamento!$G884</f>
        <v>10/15297-545717</v>
      </c>
      <c r="I633" s="37" t="s">
        <v>435</v>
      </c>
      <c r="J633">
        <v>88</v>
      </c>
      <c r="K633" s="3">
        <v>252.82906976744187</v>
      </c>
      <c r="L633" s="3">
        <v>227.98305557586241</v>
      </c>
      <c r="M633" s="5" t="s">
        <v>1489</v>
      </c>
      <c r="N633" s="53">
        <v>92.509069767441872</v>
      </c>
      <c r="O633" s="53">
        <v>67.66</v>
      </c>
      <c r="P633" s="52">
        <v>45933</v>
      </c>
      <c r="Q633" s="52">
        <v>45943</v>
      </c>
      <c r="R633" s="53">
        <f>O633</f>
        <v>67.66</v>
      </c>
      <c r="S633" s="37"/>
      <c r="T633" s="51" t="s">
        <v>1643</v>
      </c>
      <c r="U633" s="51" t="s">
        <v>1644</v>
      </c>
      <c r="V633" s="37" t="s">
        <v>568</v>
      </c>
      <c r="W633" s="53">
        <f>O633</f>
        <v>67.66</v>
      </c>
      <c r="X633" s="123">
        <f>IF(Faturamento!$V348="Pago",IFERROR(W633-R633,0),0)</f>
        <v>0</v>
      </c>
      <c r="Y633" s="52"/>
      <c r="Z633" s="52"/>
      <c r="AA633" s="5"/>
      <c r="AB633" s="5"/>
      <c r="AI633"/>
    </row>
    <row r="634" spans="1:35" hidden="1" x14ac:dyDescent="0.3">
      <c r="A634" s="5" t="str">
        <f>VLOOKUP(B634,base!A:M,11,FALSE)</f>
        <v>TRIFÁSICO</v>
      </c>
      <c r="B634" t="s">
        <v>287</v>
      </c>
      <c r="C634" s="1" t="s">
        <v>288</v>
      </c>
      <c r="D634" s="60">
        <v>62955505273058</v>
      </c>
      <c r="E634" s="63" t="s">
        <v>433</v>
      </c>
      <c r="F634" t="s">
        <v>434</v>
      </c>
      <c r="G634" s="4">
        <v>45689</v>
      </c>
      <c r="H634" s="4" t="str">
        <f>Faturamento!$B173&amp;Faturamento!$G173</f>
        <v>10/260761-245839</v>
      </c>
      <c r="I634" t="s">
        <v>435</v>
      </c>
      <c r="J634" s="37">
        <v>80</v>
      </c>
      <c r="K634" s="53">
        <v>200.92</v>
      </c>
      <c r="L634" s="53">
        <v>178.59499999999997</v>
      </c>
      <c r="M634" s="5" t="str">
        <f>IF(Faturamento!$S173&lt;&gt;"","Não emitido",IF(Faturamento!$I173="NÃO","Pendente Fatura", IF(Faturamento!$R173&lt;&gt;"","Aprovado",IF(Faturamento!$O173&lt;&gt;0,"Pendente Emissão","Processo de Calculo"))))</f>
        <v>Aprovado</v>
      </c>
      <c r="N634" s="3">
        <v>89.3</v>
      </c>
      <c r="O634" s="3">
        <v>66.98</v>
      </c>
      <c r="P634" s="4"/>
      <c r="Q634" s="4"/>
      <c r="R634" s="3">
        <v>66.98</v>
      </c>
      <c r="S634"/>
      <c r="T634" s="51" t="s">
        <v>733</v>
      </c>
      <c r="U634" s="51"/>
      <c r="V634" t="s">
        <v>568</v>
      </c>
      <c r="W634" s="3">
        <v>66.98</v>
      </c>
      <c r="X634" s="123">
        <f>IF(Faturamento!$V347="Pago",IFERROR(W634-R634,0),0)</f>
        <v>0</v>
      </c>
      <c r="Y634" s="4"/>
      <c r="Z634" s="4"/>
      <c r="AA634" s="5"/>
      <c r="AB634" s="5"/>
      <c r="AI634"/>
    </row>
    <row r="635" spans="1:35" hidden="1" x14ac:dyDescent="0.3">
      <c r="A635" s="5" t="str">
        <f>VLOOKUP(B635,base!A:M,11,FALSE)</f>
        <v>BIFÁSICO</v>
      </c>
      <c r="B635" s="37" t="s">
        <v>348</v>
      </c>
      <c r="C635" s="56">
        <v>0</v>
      </c>
      <c r="D635" s="59">
        <v>62955505897930</v>
      </c>
      <c r="E635" s="37" t="s">
        <v>433</v>
      </c>
      <c r="F635" s="37" t="s">
        <v>434</v>
      </c>
      <c r="G635" s="52">
        <v>45870</v>
      </c>
      <c r="H635" s="52" t="str">
        <f>Faturamento!$B786&amp;Faturamento!$G786</f>
        <v>10/1184751-445627</v>
      </c>
      <c r="I635" s="37" t="s">
        <v>435</v>
      </c>
      <c r="J635">
        <v>84</v>
      </c>
      <c r="K635" s="3">
        <v>173.55333333333331</v>
      </c>
      <c r="L635" s="3">
        <v>154.11993129355011</v>
      </c>
      <c r="M635" s="5" t="s">
        <v>1489</v>
      </c>
      <c r="N635" s="53">
        <v>86.003333333333316</v>
      </c>
      <c r="O635" s="53">
        <v>66.569999999999993</v>
      </c>
      <c r="P635" s="52">
        <v>45910</v>
      </c>
      <c r="Q635" s="52">
        <v>45920</v>
      </c>
      <c r="R635" s="53">
        <v>66.569999999999993</v>
      </c>
      <c r="S635" s="37"/>
      <c r="T635" s="51" t="s">
        <v>1468</v>
      </c>
      <c r="U635" s="51" t="s">
        <v>1469</v>
      </c>
      <c r="V635" s="37" t="s">
        <v>568</v>
      </c>
      <c r="W635" s="53">
        <v>66.569999999999993</v>
      </c>
      <c r="X635" s="123">
        <f>IF(Faturamento!$V346="Pago",IFERROR(W635-R635,0),0)</f>
        <v>0</v>
      </c>
      <c r="Y635" s="52"/>
      <c r="Z635" s="52"/>
      <c r="AA635" s="5"/>
      <c r="AB635" s="5"/>
      <c r="AI635"/>
    </row>
    <row r="636" spans="1:35" hidden="1" x14ac:dyDescent="0.3">
      <c r="A636" s="5" t="str">
        <f>VLOOKUP(B636,base!A:M,11,FALSE)</f>
        <v>TRIFÁSICO</v>
      </c>
      <c r="B636" s="37" t="s">
        <v>196</v>
      </c>
      <c r="C636" s="56" t="s">
        <v>175</v>
      </c>
      <c r="D636" s="59">
        <v>62955505215791</v>
      </c>
      <c r="E636" s="37" t="s">
        <v>433</v>
      </c>
      <c r="F636" s="37" t="s">
        <v>434</v>
      </c>
      <c r="G636" s="52">
        <v>45778</v>
      </c>
      <c r="H636" s="52" t="str">
        <f>Faturamento!$B438&amp;Faturamento!$G438</f>
        <v>10/1017804-445931</v>
      </c>
      <c r="I636" s="37" t="s">
        <v>435</v>
      </c>
      <c r="J636">
        <v>77</v>
      </c>
      <c r="K636" s="3">
        <v>848.83543119266051</v>
      </c>
      <c r="L636" s="3">
        <v>826.85407339449534</v>
      </c>
      <c r="M636" s="5" t="str">
        <f>IF(Faturamento!$S438&lt;&gt;"","Não emitido",IF(Faturamento!$I438="NÃO","Pendente Fatura", IF(Faturamento!$R438&lt;&gt;"","Aprovado",IF(Faturamento!$O438&lt;&gt;0,"Pendente Emissão","Processo de Calculo"))))</f>
        <v>Aprovado</v>
      </c>
      <c r="N636" s="53">
        <v>87.925431192660554</v>
      </c>
      <c r="O636" s="53">
        <v>65.94</v>
      </c>
      <c r="P636" s="52"/>
      <c r="Q636" s="52"/>
      <c r="R636" s="53">
        <v>65.94</v>
      </c>
      <c r="S636" s="37"/>
      <c r="T636" s="51" t="s">
        <v>933</v>
      </c>
      <c r="U636" s="51"/>
      <c r="V636" s="37" t="s">
        <v>568</v>
      </c>
      <c r="W636" s="53">
        <v>65.94</v>
      </c>
      <c r="X636" s="123">
        <f>IF(Faturamento!$V345="Pago",IFERROR(W636-R636,0),0)</f>
        <v>0</v>
      </c>
      <c r="Y636" s="52"/>
      <c r="Z636" s="52"/>
      <c r="AA636" s="5"/>
      <c r="AB636" s="5"/>
      <c r="AI636"/>
    </row>
    <row r="637" spans="1:35" hidden="1" x14ac:dyDescent="0.3">
      <c r="A637" s="5" t="str">
        <f>VLOOKUP(B637,base!A:M,11,FALSE)</f>
        <v>TRIFÁSICO</v>
      </c>
      <c r="B637" s="37" t="s">
        <v>228</v>
      </c>
      <c r="C637" s="56">
        <v>67991162146</v>
      </c>
      <c r="D637" s="59">
        <v>62955505015199</v>
      </c>
      <c r="E637" s="37" t="s">
        <v>433</v>
      </c>
      <c r="F637" s="37" t="s">
        <v>434</v>
      </c>
      <c r="G637" s="52">
        <v>45778</v>
      </c>
      <c r="H637" s="52" t="str">
        <f>Faturamento!$B474&amp;Faturamento!$G474</f>
        <v>10/1674177-945809</v>
      </c>
      <c r="I637" s="37" t="s">
        <v>435</v>
      </c>
      <c r="J637">
        <v>77</v>
      </c>
      <c r="K637" s="3">
        <v>558.65405405405409</v>
      </c>
      <c r="L637" s="3">
        <v>536.68804054054044</v>
      </c>
      <c r="M637" s="5" t="str">
        <f>IF(Faturamento!$S474&lt;&gt;"","Não emitido",IF(Faturamento!$I474="NÃO","Pendente Fatura", IF(Faturamento!$R474&lt;&gt;"","Aprovado",IF(Faturamento!$O474&lt;&gt;0,"Pendente Emissão","Processo de Calculo"))))</f>
        <v>Aprovado</v>
      </c>
      <c r="N637" s="53">
        <v>87.864054054054066</v>
      </c>
      <c r="O637" s="53">
        <v>65.900000000000006</v>
      </c>
      <c r="P637" s="52"/>
      <c r="Q637" s="52"/>
      <c r="R637" s="53">
        <v>65.900000000000006</v>
      </c>
      <c r="S637" s="37"/>
      <c r="T637" s="51" t="s">
        <v>966</v>
      </c>
      <c r="U637" s="51"/>
      <c r="V637" s="37" t="s">
        <v>568</v>
      </c>
      <c r="W637" s="53">
        <v>87.86</v>
      </c>
      <c r="X637" s="123">
        <f>IF(Faturamento!$V396="Pago",IFERROR(W637-R637,0),0)</f>
        <v>21.959999999999994</v>
      </c>
      <c r="Y637" s="52">
        <v>45917</v>
      </c>
      <c r="Z637" s="52"/>
      <c r="AA637" s="5"/>
      <c r="AB637" s="5"/>
      <c r="AI637"/>
    </row>
    <row r="638" spans="1:35" hidden="1" x14ac:dyDescent="0.3">
      <c r="A638" s="5" t="str">
        <f>VLOOKUP(B638,base!A:M,11,FALSE)</f>
        <v>MONOFÁSICO</v>
      </c>
      <c r="B638" t="s">
        <v>167</v>
      </c>
      <c r="C638" s="1" t="s">
        <v>126</v>
      </c>
      <c r="D638" s="60">
        <v>62955505091456</v>
      </c>
      <c r="E638" s="63" t="s">
        <v>433</v>
      </c>
      <c r="F638" t="s">
        <v>434</v>
      </c>
      <c r="G638" s="4">
        <v>45870</v>
      </c>
      <c r="H638" s="4" t="str">
        <f>Faturamento!$B753&amp;Faturamento!$G753</f>
        <v>10/252817-245870</v>
      </c>
      <c r="I638" t="s">
        <v>435</v>
      </c>
      <c r="J638">
        <v>79</v>
      </c>
      <c r="M638" s="5" t="str">
        <f>IF(Faturamento!$S753&lt;&gt;"","Não emitido",IF(Faturamento!$I753="NÃO","Pendente Fatura", IF(Faturamento!$R753&lt;&gt;"","Aprovado",IF(Faturamento!$O753&lt;&gt;0,"Pendente Emissão","Processo de Calculo"))))</f>
        <v>Aprovado</v>
      </c>
      <c r="N638" s="3">
        <v>84.964285714285708</v>
      </c>
      <c r="O638" s="3">
        <v>65.77</v>
      </c>
      <c r="P638" s="4"/>
      <c r="Q638" s="4"/>
      <c r="S638" t="s">
        <v>1393</v>
      </c>
      <c r="T638" s="51" t="s">
        <v>1403</v>
      </c>
      <c r="U638" s="51" t="e">
        <v>#N/A</v>
      </c>
      <c r="V638" t="s">
        <v>438</v>
      </c>
      <c r="W638" s="3"/>
      <c r="X638" s="123">
        <f>IF(Faturamento!$V864="Pago",IFERROR(W638-R638,0),0)</f>
        <v>0</v>
      </c>
      <c r="Y638" s="4"/>
      <c r="Z638" s="4"/>
      <c r="AA638" s="5"/>
      <c r="AB638" s="5"/>
      <c r="AI638"/>
    </row>
    <row r="639" spans="1:35" hidden="1" x14ac:dyDescent="0.3">
      <c r="A639" s="5" t="str">
        <f>VLOOKUP(B639,base!A:M,11,FALSE)</f>
        <v>BIFÁSICO</v>
      </c>
      <c r="B639" t="s">
        <v>348</v>
      </c>
      <c r="C639" s="1">
        <v>67996150274</v>
      </c>
      <c r="D639" s="60">
        <v>62955505897930</v>
      </c>
      <c r="E639" s="63" t="s">
        <v>433</v>
      </c>
      <c r="F639" t="s">
        <v>434</v>
      </c>
      <c r="G639" s="4">
        <v>45717</v>
      </c>
      <c r="H639" s="4" t="str">
        <f>Faturamento!$B307&amp;Faturamento!$G307</f>
        <v>10/15297-545839</v>
      </c>
      <c r="I639" t="s">
        <v>435</v>
      </c>
      <c r="J639">
        <v>89</v>
      </c>
      <c r="K639" s="3">
        <v>148.09</v>
      </c>
      <c r="L639" s="3">
        <v>126.4175</v>
      </c>
      <c r="M639" s="5" t="str">
        <f>IF(Faturamento!$S307&lt;&gt;"","Não emitido",IF(Faturamento!$I307="NÃO","Pendente Fatura", IF(Faturamento!$R307&lt;&gt;"","Aprovado",IF(Faturamento!$O307&lt;&gt;0,"Pendente Emissão","Processo de Calculo"))))</f>
        <v>Aprovado</v>
      </c>
      <c r="N639" s="3">
        <v>86.69</v>
      </c>
      <c r="O639" s="3">
        <v>65.02</v>
      </c>
      <c r="P639" s="4"/>
      <c r="Q639" s="4"/>
      <c r="R639" s="3">
        <v>65.02</v>
      </c>
      <c r="S639"/>
      <c r="T639" s="51" t="s">
        <v>830</v>
      </c>
      <c r="U639" s="51"/>
      <c r="V639" t="s">
        <v>568</v>
      </c>
      <c r="W639" s="3">
        <v>65.02</v>
      </c>
      <c r="X639" s="123">
        <f>IF(Faturamento!$V344="Pago",IFERROR(W639-R639,0),0)</f>
        <v>0</v>
      </c>
      <c r="Y639" s="4"/>
      <c r="Z639" s="4"/>
      <c r="AA639" s="5"/>
      <c r="AB639" s="5"/>
      <c r="AI639"/>
    </row>
    <row r="640" spans="1:35" hidden="1" x14ac:dyDescent="0.3">
      <c r="A640" s="5" t="str">
        <f>VLOOKUP(B640,base!A:M,11,FALSE)</f>
        <v>BIFÁSICO</v>
      </c>
      <c r="B640" s="37" t="s">
        <v>257</v>
      </c>
      <c r="C640" s="56">
        <v>67993249456</v>
      </c>
      <c r="D640" s="59">
        <v>62955505239119</v>
      </c>
      <c r="E640" s="37" t="s">
        <v>433</v>
      </c>
      <c r="F640" s="37" t="s">
        <v>434</v>
      </c>
      <c r="G640" s="52">
        <v>45809</v>
      </c>
      <c r="H640" s="52" t="str">
        <f>Faturamento!$B586&amp;Faturamento!$G586</f>
        <v>10/1548741-645809</v>
      </c>
      <c r="I640" s="37" t="s">
        <v>435</v>
      </c>
      <c r="J640" s="37">
        <v>86</v>
      </c>
      <c r="K640" s="53">
        <v>265.20140845070421</v>
      </c>
      <c r="L640" s="53">
        <v>244.66909096308285</v>
      </c>
      <c r="M640" s="5" t="str">
        <f>IF(Faturamento!$S586&lt;&gt;"","Não emitido",IF(Faturamento!$I586="NÃO","Pendente Fatura", IF(Faturamento!$R586&lt;&gt;"","Aprovado",IF(Faturamento!$O586&lt;&gt;0,"Pendente Emissão","Processo de Calculo"))))</f>
        <v>Aprovado</v>
      </c>
      <c r="N640" s="53">
        <v>86.541408450704225</v>
      </c>
      <c r="O640" s="53">
        <v>64.91</v>
      </c>
      <c r="P640" s="52">
        <v>45860</v>
      </c>
      <c r="Q640" s="52">
        <v>45871</v>
      </c>
      <c r="R640" s="53">
        <v>64.91</v>
      </c>
      <c r="S640" s="37"/>
      <c r="T640" s="51" t="s">
        <v>1131</v>
      </c>
      <c r="U640" s="51" t="s">
        <v>1132</v>
      </c>
      <c r="V640" s="37" t="s">
        <v>568</v>
      </c>
      <c r="W640" s="53">
        <v>64.91</v>
      </c>
      <c r="X640" s="123">
        <f>IF(Faturamento!$V343="Pago",IFERROR(W640-R640,0),0)</f>
        <v>0</v>
      </c>
      <c r="Y640" s="52">
        <v>45901</v>
      </c>
      <c r="Z640" s="52"/>
      <c r="AA640" s="5"/>
      <c r="AB640" s="5"/>
      <c r="AI640"/>
    </row>
    <row r="641" spans="1:35" hidden="1" x14ac:dyDescent="0.3">
      <c r="A641" s="5" t="str">
        <f>VLOOKUP(B641,base!A:M,11,FALSE)</f>
        <v>TRIFÁSICO</v>
      </c>
      <c r="B641" s="37" t="s">
        <v>134</v>
      </c>
      <c r="C641" s="56">
        <v>67999516782</v>
      </c>
      <c r="D641" s="59">
        <v>62955505892114</v>
      </c>
      <c r="E641" s="37" t="s">
        <v>433</v>
      </c>
      <c r="F641" s="37" t="s">
        <v>434</v>
      </c>
      <c r="G641" s="52">
        <v>45748</v>
      </c>
      <c r="H641" s="52" t="str">
        <f>Faturamento!$B362&amp;Faturamento!$G362</f>
        <v>10/252817-245931</v>
      </c>
      <c r="I641" s="37" t="s">
        <v>435</v>
      </c>
      <c r="J641" s="37">
        <v>76</v>
      </c>
      <c r="K641" s="53">
        <v>248.10000000000002</v>
      </c>
      <c r="L641" s="53">
        <v>226.78500000000003</v>
      </c>
      <c r="M641" s="5" t="str">
        <f>IF(Faturamento!$S362&lt;&gt;"","Não emitido",IF(Faturamento!$I362="NÃO","Pendente Fatura", IF(Faturamento!$R362&lt;&gt;"","Aprovado",IF(Faturamento!$O362&lt;&gt;0,"Pendente Emissão","Processo de Calculo"))))</f>
        <v>Aprovado</v>
      </c>
      <c r="N641" s="53">
        <v>85.259999999999991</v>
      </c>
      <c r="O641" s="53">
        <v>63.95</v>
      </c>
      <c r="P641" s="52"/>
      <c r="Q641" s="52"/>
      <c r="R641" s="53">
        <v>63.95</v>
      </c>
      <c r="S641" s="37"/>
      <c r="T641" s="51" t="s">
        <v>862</v>
      </c>
      <c r="U641" s="51"/>
      <c r="V641" s="37" t="s">
        <v>568</v>
      </c>
      <c r="W641" s="53">
        <v>63.95</v>
      </c>
      <c r="X641" s="123">
        <f>IF(Faturamento!$V342="Pago",IFERROR(W641-R641,0),0)</f>
        <v>0</v>
      </c>
      <c r="Y641" s="52">
        <v>45901</v>
      </c>
      <c r="Z641" s="52"/>
      <c r="AA641" s="5"/>
      <c r="AB641" s="5"/>
      <c r="AI641"/>
    </row>
    <row r="642" spans="1:35" hidden="1" x14ac:dyDescent="0.3">
      <c r="A642" s="5" t="str">
        <f>VLOOKUP(B642,base!A:M,11,FALSE)</f>
        <v>TRIFÁSICO</v>
      </c>
      <c r="B642" s="37" t="s">
        <v>343</v>
      </c>
      <c r="C642" s="56">
        <v>67992637973</v>
      </c>
      <c r="D642" s="59">
        <v>62955505358630</v>
      </c>
      <c r="E642" s="37" t="s">
        <v>433</v>
      </c>
      <c r="F642" s="37" t="s">
        <v>434</v>
      </c>
      <c r="G642" s="52">
        <v>45689</v>
      </c>
      <c r="H642" s="52" t="str">
        <f>Faturamento!$B238&amp;Faturamento!$G238</f>
        <v>10/3139326-745658</v>
      </c>
      <c r="I642" s="37" t="s">
        <v>435</v>
      </c>
      <c r="J642" s="37">
        <v>87</v>
      </c>
      <c r="K642" s="53">
        <v>234.23999999999998</v>
      </c>
      <c r="L642" s="53">
        <v>213.05499999999998</v>
      </c>
      <c r="M642" s="5" t="str">
        <f>IF(Faturamento!$S238&lt;&gt;"","Não emitido",IF(Faturamento!$I238="NÃO","Pendente Fatura", IF(Faturamento!$R238&lt;&gt;"","Aprovado",IF(Faturamento!$O238&lt;&gt;0,"Pendente Emissão","Processo de Calculo"))))</f>
        <v>Aprovado</v>
      </c>
      <c r="N642" s="53">
        <v>84.740000000000009</v>
      </c>
      <c r="O642" s="53">
        <v>63.56</v>
      </c>
      <c r="P642" s="52"/>
      <c r="Q642" s="52"/>
      <c r="R642" s="53">
        <v>63.56</v>
      </c>
      <c r="S642" s="37"/>
      <c r="T642" s="51" t="s">
        <v>779</v>
      </c>
      <c r="U642" s="51"/>
      <c r="V642" s="37" t="s">
        <v>568</v>
      </c>
      <c r="W642" s="53">
        <v>63.56</v>
      </c>
      <c r="X642" s="123">
        <f>IF(Faturamento!$V340="Pago",IFERROR(W642-R642,0),0)</f>
        <v>0</v>
      </c>
      <c r="Y642" s="52"/>
      <c r="Z642" s="52"/>
      <c r="AA642" s="5"/>
      <c r="AB642" s="5"/>
      <c r="AI642" t="str">
        <f>VLOOKUP(B642,'[2]Conciliação - 022025'!$A:$L,12,FALSE)</f>
        <v>DEPÓSITO ÚNICO ITAU 30/05/2025</v>
      </c>
    </row>
    <row r="643" spans="1:35" hidden="1" x14ac:dyDescent="0.3">
      <c r="A643" s="5" t="str">
        <f>VLOOKUP(B643,base!A:M,11,FALSE)</f>
        <v>BIFÁSICO</v>
      </c>
      <c r="B643" s="37" t="s">
        <v>202</v>
      </c>
      <c r="C643" s="56">
        <v>67999031330</v>
      </c>
      <c r="D643" s="59">
        <v>62955505017051</v>
      </c>
      <c r="E643" s="37" t="s">
        <v>433</v>
      </c>
      <c r="F643" s="37" t="s">
        <v>434</v>
      </c>
      <c r="G643" s="52">
        <v>45778</v>
      </c>
      <c r="H643" s="52" t="str">
        <f>Faturamento!$B464&amp;Faturamento!$G464</f>
        <v>10/395471-645809</v>
      </c>
      <c r="I643" s="37" t="s">
        <v>435</v>
      </c>
      <c r="J643">
        <v>81</v>
      </c>
      <c r="K643" s="3">
        <v>152.4367441860465</v>
      </c>
      <c r="L643" s="3">
        <v>131.36755813953488</v>
      </c>
      <c r="M643" s="5" t="str">
        <f>IF(Faturamento!$S464&lt;&gt;"","Não emitido",IF(Faturamento!$I464="NÃO","Pendente Fatura", IF(Faturamento!$R464&lt;&gt;"","Aprovado",IF(Faturamento!$O464&lt;&gt;0,"Pendente Emissão","Processo de Calculo"))))</f>
        <v>Aprovado</v>
      </c>
      <c r="N643" s="53">
        <v>84.276744186046528</v>
      </c>
      <c r="O643" s="53">
        <v>63.21</v>
      </c>
      <c r="P643" s="52"/>
      <c r="Q643" s="52"/>
      <c r="R643" s="53">
        <v>63.21</v>
      </c>
      <c r="S643" s="37"/>
      <c r="T643" s="51" t="s">
        <v>956</v>
      </c>
      <c r="U643" s="51"/>
      <c r="V643" s="37" t="s">
        <v>568</v>
      </c>
      <c r="W643" s="53">
        <v>63.21</v>
      </c>
      <c r="X643" s="123">
        <f>IF(Faturamento!$V339="Pago",IFERROR(W643-R643,0),0)</f>
        <v>0</v>
      </c>
      <c r="Y643" s="52"/>
      <c r="Z643" s="52"/>
      <c r="AA643" s="5"/>
      <c r="AB643" s="5"/>
      <c r="AI643"/>
    </row>
    <row r="644" spans="1:35" hidden="1" x14ac:dyDescent="0.3">
      <c r="A644" s="5" t="str">
        <f>VLOOKUP(B644,base!A:M,11,FALSE)</f>
        <v>MONOFÁSICO</v>
      </c>
      <c r="B644" t="s">
        <v>167</v>
      </c>
      <c r="C644" s="1">
        <v>67992337953</v>
      </c>
      <c r="D644" s="60">
        <v>62955505091456</v>
      </c>
      <c r="E644" s="63" t="s">
        <v>433</v>
      </c>
      <c r="F644" t="s">
        <v>434</v>
      </c>
      <c r="G644" s="4">
        <v>45839</v>
      </c>
      <c r="H644" s="4" t="str">
        <f>Faturamento!$B675&amp;Faturamento!$G675</f>
        <v>10/1698130-045839</v>
      </c>
      <c r="I644" t="s">
        <v>435</v>
      </c>
      <c r="J644" s="37">
        <v>76</v>
      </c>
      <c r="K644" s="53">
        <v>160.84666666666664</v>
      </c>
      <c r="L644" s="53">
        <v>142.5069013333333</v>
      </c>
      <c r="M644" s="5" t="str">
        <f>IF(Faturamento!$S675&lt;&gt;"","Não emitido",IF(Faturamento!$I675="NÃO","Pendente Fatura", IF(Faturamento!$R675&lt;&gt;"","Aprovado",IF(Faturamento!$O675&lt;&gt;0,"Pendente Emissão","Processo de Calculo"))))</f>
        <v>Aprovado</v>
      </c>
      <c r="N644" s="3">
        <v>81.356666666666655</v>
      </c>
      <c r="O644" s="3">
        <v>63.02</v>
      </c>
      <c r="P644" s="4">
        <v>45910</v>
      </c>
      <c r="Q644" s="4">
        <v>45920</v>
      </c>
      <c r="R644" s="3">
        <v>63.02</v>
      </c>
      <c r="S644"/>
      <c r="T644" s="51" t="s">
        <v>1263</v>
      </c>
      <c r="U644" s="51" t="s">
        <v>1264</v>
      </c>
      <c r="V644" t="s">
        <v>702</v>
      </c>
      <c r="W644" s="3"/>
      <c r="X644" s="123">
        <f>IF(Faturamento!$V846="Pago",IFERROR(W644-R644,0),0)</f>
        <v>0</v>
      </c>
      <c r="Y644" s="4"/>
      <c r="Z644" s="4"/>
      <c r="AA644" s="5"/>
      <c r="AB644" s="5"/>
      <c r="AI644"/>
    </row>
    <row r="645" spans="1:35" hidden="1" x14ac:dyDescent="0.3">
      <c r="A645" s="5" t="str">
        <f>VLOOKUP(B645,base!A:M,11,FALSE)</f>
        <v>TRIFÁSICO</v>
      </c>
      <c r="B645" t="s">
        <v>181</v>
      </c>
      <c r="C645" s="1" t="s">
        <v>131</v>
      </c>
      <c r="D645" s="60">
        <v>62955505197360</v>
      </c>
      <c r="E645" s="63" t="s">
        <v>433</v>
      </c>
      <c r="F645" t="s">
        <v>434</v>
      </c>
      <c r="G645" s="4">
        <v>45901</v>
      </c>
      <c r="H645" s="4" t="str">
        <f>Faturamento!$B823&amp;Faturamento!$G823</f>
        <v>10/104720-845627</v>
      </c>
      <c r="I645" t="s">
        <v>435</v>
      </c>
      <c r="J645">
        <v>71</v>
      </c>
      <c r="K645" s="3">
        <v>243.56739999999999</v>
      </c>
      <c r="L645" s="3">
        <v>220.53205824451669</v>
      </c>
      <c r="M645" s="5" t="s">
        <v>1489</v>
      </c>
      <c r="N645" s="3">
        <v>85.767399999999981</v>
      </c>
      <c r="O645" s="3">
        <v>62.73</v>
      </c>
      <c r="P645" s="4">
        <v>45933</v>
      </c>
      <c r="Q645" s="4">
        <v>45943</v>
      </c>
      <c r="R645" s="3">
        <f>O645</f>
        <v>62.73</v>
      </c>
      <c r="S645"/>
      <c r="T645" s="51" t="s">
        <v>1530</v>
      </c>
      <c r="U645" s="51" t="s">
        <v>1531</v>
      </c>
      <c r="V645" t="s">
        <v>568</v>
      </c>
      <c r="W645" s="3">
        <f>R645</f>
        <v>62.73</v>
      </c>
      <c r="X645" s="123">
        <f>IF(Faturamento!$V338="Pago",IFERROR(W645-R645,0),0)</f>
        <v>0</v>
      </c>
      <c r="Y645" s="4"/>
      <c r="Z645" s="4"/>
      <c r="AA645" s="5"/>
      <c r="AB645" s="5"/>
      <c r="AI645"/>
    </row>
    <row r="646" spans="1:35" hidden="1" x14ac:dyDescent="0.3">
      <c r="A646" s="5" t="str">
        <f>VLOOKUP(B646,base!A:M,11,FALSE)</f>
        <v>MONOFÁSICO</v>
      </c>
      <c r="B646" s="37" t="s">
        <v>173</v>
      </c>
      <c r="C646" s="56">
        <v>0</v>
      </c>
      <c r="D646" s="59">
        <v>62955505084751</v>
      </c>
      <c r="E646" s="37" t="s">
        <v>433</v>
      </c>
      <c r="F646" s="37" t="s">
        <v>434</v>
      </c>
      <c r="G646" s="52">
        <v>45870</v>
      </c>
      <c r="H646" s="52" t="str">
        <f>Faturamento!$B732&amp;Faturamento!$G732</f>
        <v>10/175073-645689</v>
      </c>
      <c r="I646" s="37" t="s">
        <v>435</v>
      </c>
      <c r="J646">
        <v>68</v>
      </c>
      <c r="K646" s="3">
        <v>146.98533333333333</v>
      </c>
      <c r="L646" s="3">
        <v>128.77392855990973</v>
      </c>
      <c r="M646" s="5" t="str">
        <f>IF(Faturamento!$S732&lt;&gt;"","Não emitido",IF(Faturamento!$I732="NÃO","Pendente Fatura", IF(Faturamento!$R732&lt;&gt;"","Aprovado",IF(Faturamento!$O732&lt;&gt;0,"Pendente Emissão","Processo de Calculo"))))</f>
        <v>Aprovado</v>
      </c>
      <c r="N646" s="53">
        <v>80.595333333333329</v>
      </c>
      <c r="O646" s="53">
        <v>62.38</v>
      </c>
      <c r="P646" s="52">
        <v>45910</v>
      </c>
      <c r="Q646" s="52">
        <v>45920</v>
      </c>
      <c r="R646" s="53">
        <v>62.38</v>
      </c>
      <c r="S646" s="37"/>
      <c r="T646" s="51" t="s">
        <v>1367</v>
      </c>
      <c r="U646" s="51" t="s">
        <v>1368</v>
      </c>
      <c r="V646" s="37" t="s">
        <v>568</v>
      </c>
      <c r="W646" s="53">
        <v>62.38</v>
      </c>
      <c r="X646" s="123">
        <f>IF(Faturamento!$V337="Pago",IFERROR(W646-R646,0),0)</f>
        <v>0</v>
      </c>
      <c r="Y646" s="52"/>
      <c r="Z646" s="52"/>
      <c r="AA646" s="5"/>
      <c r="AB646" s="5"/>
      <c r="AI646"/>
    </row>
    <row r="647" spans="1:35" hidden="1" x14ac:dyDescent="0.3">
      <c r="A647" s="5" t="str">
        <f>VLOOKUP(B647,base!A:M,11,FALSE)</f>
        <v>TRIFÁSICO</v>
      </c>
      <c r="B647" s="37" t="s">
        <v>311</v>
      </c>
      <c r="C647" s="56">
        <v>0</v>
      </c>
      <c r="D647" s="59">
        <v>62955505193534</v>
      </c>
      <c r="E647" s="37" t="s">
        <v>433</v>
      </c>
      <c r="F647" s="37" t="s">
        <v>434</v>
      </c>
      <c r="G647" s="52">
        <v>45870</v>
      </c>
      <c r="H647" s="52" t="str">
        <f>Faturamento!$B728&amp;Faturamento!$G728</f>
        <v>10/175073-645748</v>
      </c>
      <c r="I647" s="37" t="s">
        <v>435</v>
      </c>
      <c r="J647">
        <v>69</v>
      </c>
      <c r="K647" s="3">
        <v>234.36871287128716</v>
      </c>
      <c r="L647" s="3">
        <v>216.17688094694478</v>
      </c>
      <c r="M647" s="5" t="str">
        <f>IF(Faturamento!$S728&lt;&gt;"","Não emitido",IF(Faturamento!$I728="NÃO","Pendente Fatura", IF(Faturamento!$R728&lt;&gt;"","Aprovado",IF(Faturamento!$O728&lt;&gt;0,"Pendente Emissão","Processo de Calculo"))))</f>
        <v>Aprovado</v>
      </c>
      <c r="N647" s="53">
        <v>80.508712871287145</v>
      </c>
      <c r="O647" s="53">
        <v>62.32</v>
      </c>
      <c r="P647" s="52">
        <v>45910</v>
      </c>
      <c r="Q647" s="52">
        <v>45920</v>
      </c>
      <c r="R647" s="53">
        <v>62.32</v>
      </c>
      <c r="S647" s="37"/>
      <c r="T647" s="51" t="s">
        <v>1359</v>
      </c>
      <c r="U647" s="51" t="s">
        <v>1360</v>
      </c>
      <c r="V647" s="37" t="s">
        <v>568</v>
      </c>
      <c r="W647" s="53">
        <v>62.32</v>
      </c>
      <c r="X647" s="123">
        <f>IF(Faturamento!$V336="Pago",IFERROR(W647-R647,0),0)</f>
        <v>0</v>
      </c>
      <c r="Y647" s="52"/>
      <c r="Z647" s="52"/>
      <c r="AA647" s="5"/>
      <c r="AB647" s="5"/>
      <c r="AI647"/>
    </row>
    <row r="648" spans="1:35" hidden="1" x14ac:dyDescent="0.3">
      <c r="A648" s="5" t="str">
        <f>VLOOKUP(B648,base!A:M,11,FALSE)</f>
        <v>TRIFÁSICO</v>
      </c>
      <c r="B648" s="37" t="s">
        <v>343</v>
      </c>
      <c r="C648" s="56">
        <v>67992637973</v>
      </c>
      <c r="D648" s="59">
        <v>62955505358630</v>
      </c>
      <c r="E648" s="37" t="s">
        <v>433</v>
      </c>
      <c r="F648" s="37" t="s">
        <v>434</v>
      </c>
      <c r="G648" s="52">
        <v>45658</v>
      </c>
      <c r="H648" s="52" t="str">
        <f>Faturamento!$B138&amp;Faturamento!$G138</f>
        <v>10/399338-345658</v>
      </c>
      <c r="I648" s="37" t="s">
        <v>435</v>
      </c>
      <c r="J648">
        <v>83</v>
      </c>
      <c r="K648" s="3">
        <v>231.99999999999997</v>
      </c>
      <c r="L648" s="3">
        <v>211.31499999999997</v>
      </c>
      <c r="M648" s="5" t="str">
        <f>IF(Faturamento!$S138&lt;&gt;"","Não emitido",IF(Faturamento!$I138="NÃO","Pendente Fatura", IF(Faturamento!$R138&lt;&gt;"","Aprovado",IF(Faturamento!$O138&lt;&gt;0,"Pendente Emissão","Processo de Calculo"))))</f>
        <v>Aprovado</v>
      </c>
      <c r="N648" s="53">
        <v>82.740000000000009</v>
      </c>
      <c r="O648" s="53">
        <v>62.06</v>
      </c>
      <c r="P648" s="52"/>
      <c r="Q648" s="52"/>
      <c r="R648" s="53">
        <v>62.06</v>
      </c>
      <c r="S648" s="37"/>
      <c r="T648" s="51" t="s">
        <v>695</v>
      </c>
      <c r="U648" s="51"/>
      <c r="V648" s="37" t="s">
        <v>568</v>
      </c>
      <c r="W648" s="53">
        <v>62.06</v>
      </c>
      <c r="X648" s="123">
        <f>IF(Faturamento!$V335="Pago",IFERROR(W648-R648,0),0)</f>
        <v>0</v>
      </c>
      <c r="Y648" s="52"/>
      <c r="Z648" s="52"/>
      <c r="AA648" s="5"/>
      <c r="AB648" s="5"/>
      <c r="AI648"/>
    </row>
    <row r="649" spans="1:35" hidden="1" x14ac:dyDescent="0.3">
      <c r="A649" s="5" t="str">
        <f>VLOOKUP(B649,base!A:M,11,FALSE)</f>
        <v>TRIFÁSICO</v>
      </c>
      <c r="B649" t="s">
        <v>330</v>
      </c>
      <c r="C649" s="1" t="s">
        <v>332</v>
      </c>
      <c r="D649" s="60">
        <v>62955505016837</v>
      </c>
      <c r="E649" s="63" t="s">
        <v>433</v>
      </c>
      <c r="F649" t="s">
        <v>434</v>
      </c>
      <c r="G649" s="4">
        <v>45839</v>
      </c>
      <c r="H649" s="4" t="str">
        <f>Faturamento!$B673&amp;Faturamento!$G673</f>
        <v>10/218777-145931</v>
      </c>
      <c r="I649" t="s">
        <v>435</v>
      </c>
      <c r="J649" s="37">
        <v>77</v>
      </c>
      <c r="K649" s="53">
        <v>218.46793103448277</v>
      </c>
      <c r="L649" s="53">
        <v>200.69678765517241</v>
      </c>
      <c r="M649" s="5" t="str">
        <f>IF(Faturamento!$S673&lt;&gt;"","Não emitido",IF(Faturamento!$I673="NÃO","Pendente Fatura", IF(Faturamento!$R673&lt;&gt;"","Aprovado",IF(Faturamento!$O673&lt;&gt;0,"Pendente Emissão","Processo de Calculo"))))</f>
        <v>Aprovado</v>
      </c>
      <c r="N649" s="3">
        <v>79.497931034482775</v>
      </c>
      <c r="O649" s="3">
        <v>61.73</v>
      </c>
      <c r="P649" s="4">
        <v>45910</v>
      </c>
      <c r="Q649" s="4">
        <v>45920</v>
      </c>
      <c r="R649" s="3">
        <v>61.73</v>
      </c>
      <c r="S649"/>
      <c r="T649" s="51" t="s">
        <v>1259</v>
      </c>
      <c r="U649" s="51" t="s">
        <v>1260</v>
      </c>
      <c r="V649" t="s">
        <v>568</v>
      </c>
      <c r="W649" s="3">
        <v>61.73</v>
      </c>
      <c r="X649" s="123">
        <f>IF(Faturamento!$V334="Pago",IFERROR(W649-R649,0),0)</f>
        <v>0</v>
      </c>
      <c r="Y649" s="4"/>
      <c r="Z649" s="4"/>
      <c r="AA649" s="5"/>
      <c r="AB649" s="5"/>
      <c r="AI649"/>
    </row>
    <row r="650" spans="1:35" hidden="1" x14ac:dyDescent="0.3">
      <c r="A650" s="5" t="str">
        <f>VLOOKUP(B650,base!A:M,11,FALSE)</f>
        <v>TRIFÁSICO</v>
      </c>
      <c r="B650" t="s">
        <v>206</v>
      </c>
      <c r="C650" s="1">
        <v>67992637973</v>
      </c>
      <c r="D650" s="60">
        <v>62955505017213</v>
      </c>
      <c r="E650" s="63" t="s">
        <v>433</v>
      </c>
      <c r="F650" t="s">
        <v>434</v>
      </c>
      <c r="G650" s="4">
        <v>45778</v>
      </c>
      <c r="H650" s="4" t="str">
        <f>Faturamento!$B455&amp;Faturamento!$G455</f>
        <v>10/276283-945839</v>
      </c>
      <c r="I650" t="s">
        <v>435</v>
      </c>
      <c r="J650">
        <v>74</v>
      </c>
      <c r="K650" s="3">
        <v>210.7595918367347</v>
      </c>
      <c r="L650" s="3">
        <v>190.22219387755104</v>
      </c>
      <c r="M650" s="5" t="str">
        <f>IF(Faturamento!$S455&lt;&gt;"","Não emitido",IF(Faturamento!$I455="NÃO","Pendente Fatura", IF(Faturamento!$R455&lt;&gt;"","Aprovado",IF(Faturamento!$O455&lt;&gt;0,"Pendente Emissão","Processo de Calculo"))))</f>
        <v>Aprovado</v>
      </c>
      <c r="N650" s="3">
        <v>82.149591836734686</v>
      </c>
      <c r="O650" s="3">
        <v>61.61</v>
      </c>
      <c r="P650" s="4"/>
      <c r="Q650" s="4"/>
      <c r="R650" s="3">
        <v>61.61</v>
      </c>
      <c r="S650"/>
      <c r="T650" s="51" t="s">
        <v>948</v>
      </c>
      <c r="U650" s="51"/>
      <c r="V650" t="s">
        <v>568</v>
      </c>
      <c r="W650" s="3">
        <v>61.61</v>
      </c>
      <c r="X650" s="123">
        <f>IF(Faturamento!$V333="Pago",IFERROR(W650-R650,0),0)</f>
        <v>0</v>
      </c>
      <c r="Y650" s="4"/>
      <c r="Z650" s="4"/>
      <c r="AA650" s="5"/>
      <c r="AB650" s="5"/>
      <c r="AI650"/>
    </row>
    <row r="651" spans="1:35" hidden="1" x14ac:dyDescent="0.3">
      <c r="A651" s="5" t="str">
        <f>VLOOKUP(B651,base!A:M,11,FALSE)</f>
        <v>BIFÁSICO</v>
      </c>
      <c r="B651" s="37" t="s">
        <v>309</v>
      </c>
      <c r="C651" s="56">
        <v>67999516782</v>
      </c>
      <c r="D651" s="59">
        <v>62955505367117</v>
      </c>
      <c r="E651" s="37" t="s">
        <v>433</v>
      </c>
      <c r="F651" s="37" t="s">
        <v>434</v>
      </c>
      <c r="G651" s="52">
        <v>45658</v>
      </c>
      <c r="H651" s="52" t="str">
        <f>Faturamento!$B126&amp;Faturamento!$G126</f>
        <v>10/127464-645748</v>
      </c>
      <c r="I651" s="37" t="s">
        <v>435</v>
      </c>
      <c r="J651">
        <v>73</v>
      </c>
      <c r="K651" s="3">
        <v>165.78</v>
      </c>
      <c r="L651" s="3">
        <v>145.41000000000003</v>
      </c>
      <c r="M651" s="5" t="str">
        <f>IF(Faturamento!$S126&lt;&gt;"","Não emitido",IF(Faturamento!$I126="NÃO","Pendente Fatura", IF(Faturamento!$R126&lt;&gt;"","Aprovado",IF(Faturamento!$O126&lt;&gt;0,"Pendente Emissão","Processo de Calculo"))))</f>
        <v>Aprovado</v>
      </c>
      <c r="N651" s="53">
        <v>81.48</v>
      </c>
      <c r="O651" s="53">
        <v>61.11</v>
      </c>
      <c r="P651" s="52"/>
      <c r="Q651" s="52"/>
      <c r="R651" s="53">
        <v>61.11</v>
      </c>
      <c r="S651" s="37"/>
      <c r="T651" s="51" t="s">
        <v>684</v>
      </c>
      <c r="U651" s="51"/>
      <c r="V651" s="37" t="s">
        <v>568</v>
      </c>
      <c r="W651" s="53">
        <v>61.11</v>
      </c>
      <c r="X651" s="123">
        <f>IF(Faturamento!$V332="Pago",IFERROR(W651-R651,0),0)</f>
        <v>0</v>
      </c>
      <c r="Y651" s="4">
        <v>45925</v>
      </c>
      <c r="Z651" s="4"/>
      <c r="AA651" s="5"/>
      <c r="AB651" s="5"/>
      <c r="AI651"/>
    </row>
    <row r="652" spans="1:35" hidden="1" x14ac:dyDescent="0.3">
      <c r="A652" s="5" t="str">
        <f>VLOOKUP(B652,base!A:M,11,FALSE)</f>
        <v>TRIFÁSICO</v>
      </c>
      <c r="B652" t="s">
        <v>189</v>
      </c>
      <c r="C652" s="1">
        <v>67991767866</v>
      </c>
      <c r="D652" s="60">
        <v>62955505461210</v>
      </c>
      <c r="E652" s="63" t="s">
        <v>433</v>
      </c>
      <c r="F652" t="s">
        <v>434</v>
      </c>
      <c r="G652" s="4">
        <v>45748</v>
      </c>
      <c r="H652" s="4" t="str">
        <f>Faturamento!$B359&amp;Faturamento!$G359</f>
        <v>10/510330-445839</v>
      </c>
      <c r="I652" t="s">
        <v>435</v>
      </c>
      <c r="J652" s="37">
        <v>72</v>
      </c>
      <c r="K652" s="53">
        <v>1112.08</v>
      </c>
      <c r="L652" s="53">
        <v>1091.9724999999999</v>
      </c>
      <c r="M652" s="5" t="str">
        <f>IF(Faturamento!$S359&lt;&gt;"","Não emitido",IF(Faturamento!$I359="NÃO","Pendente Fatura", IF(Faturamento!$R359&lt;&gt;"","Aprovado",IF(Faturamento!$O359&lt;&gt;0,"Pendente Emissão","Processo de Calculo"))))</f>
        <v>Aprovado</v>
      </c>
      <c r="N652" s="3">
        <v>80.430000000000007</v>
      </c>
      <c r="O652" s="3">
        <v>60.32</v>
      </c>
      <c r="P652" s="4"/>
      <c r="Q652" s="4"/>
      <c r="R652" s="3">
        <v>60.32</v>
      </c>
      <c r="S652"/>
      <c r="T652" s="51" t="s">
        <v>859</v>
      </c>
      <c r="U652" s="51"/>
      <c r="V652" t="s">
        <v>568</v>
      </c>
      <c r="W652" s="3">
        <v>60.32</v>
      </c>
      <c r="X652" s="123">
        <f>IF(Faturamento!$V331="Pago",IFERROR(W652-R652,0),0)</f>
        <v>0</v>
      </c>
      <c r="Y652" s="4"/>
      <c r="Z652" s="4"/>
      <c r="AA652" s="5"/>
      <c r="AB652" s="5"/>
      <c r="AI652"/>
    </row>
    <row r="653" spans="1:35" hidden="1" x14ac:dyDescent="0.3">
      <c r="A653" s="5" t="str">
        <f>VLOOKUP(B653,base!A:M,11,FALSE)</f>
        <v>TRIFÁSICO</v>
      </c>
      <c r="B653" t="s">
        <v>184</v>
      </c>
      <c r="C653" s="1">
        <v>67992637973</v>
      </c>
      <c r="D653" s="60">
        <v>62955505017213</v>
      </c>
      <c r="E653" s="63" t="s">
        <v>433</v>
      </c>
      <c r="F653" t="s">
        <v>434</v>
      </c>
      <c r="G653" s="4">
        <v>45839</v>
      </c>
      <c r="H653" s="4" t="str">
        <f>Faturamento!$B693&amp;Faturamento!$G693</f>
        <v>10/257864-945809</v>
      </c>
      <c r="I653" t="s">
        <v>435</v>
      </c>
      <c r="J653" s="37">
        <v>64</v>
      </c>
      <c r="K653" s="53">
        <v>208.61680000000001</v>
      </c>
      <c r="L653" s="53">
        <v>191.54329208000001</v>
      </c>
      <c r="M653" s="5" t="str">
        <f>IF(Faturamento!$S693&lt;&gt;"","Não emitido",IF(Faturamento!$I693="NÃO","Pendente Fatura", IF(Faturamento!$R693&lt;&gt;"","Aprovado",IF(Faturamento!$O693&lt;&gt;0,"Pendente Emissão","Processo de Calculo"))))</f>
        <v>Aprovado</v>
      </c>
      <c r="N653" s="3">
        <v>77.136800000000008</v>
      </c>
      <c r="O653" s="3">
        <v>60.06</v>
      </c>
      <c r="P653" s="4">
        <v>45910</v>
      </c>
      <c r="Q653" s="4">
        <v>45920</v>
      </c>
      <c r="R653" s="3">
        <v>60.06</v>
      </c>
      <c r="S653"/>
      <c r="T653" s="51" t="s">
        <v>1293</v>
      </c>
      <c r="U653" s="51" t="s">
        <v>1294</v>
      </c>
      <c r="V653" t="s">
        <v>568</v>
      </c>
      <c r="W653" s="3">
        <v>60.06</v>
      </c>
      <c r="X653" s="123">
        <f>IF(Faturamento!$V330="Pago",IFERROR(W653-R653,0),0)</f>
        <v>0</v>
      </c>
      <c r="Y653" s="4"/>
      <c r="Z653" s="4"/>
      <c r="AA653" s="5"/>
      <c r="AB653" s="5"/>
      <c r="AI653"/>
    </row>
    <row r="654" spans="1:35" hidden="1" x14ac:dyDescent="0.3">
      <c r="A654" s="5" t="str">
        <f>VLOOKUP(B654,base!A:M,11,FALSE)</f>
        <v>TRIFÁSICO</v>
      </c>
      <c r="B654" s="37" t="s">
        <v>134</v>
      </c>
      <c r="C654" s="56">
        <v>67999516782</v>
      </c>
      <c r="D654" s="59">
        <v>62955505892114</v>
      </c>
      <c r="E654" s="37" t="s">
        <v>433</v>
      </c>
      <c r="F654" s="37" t="s">
        <v>434</v>
      </c>
      <c r="G654" s="52">
        <v>45689</v>
      </c>
      <c r="H654" s="52" t="str">
        <f>Faturamento!$B144&amp;Faturamento!$G144</f>
        <v>10/61344-845658</v>
      </c>
      <c r="I654" s="37" t="s">
        <v>435</v>
      </c>
      <c r="J654" s="37">
        <v>75</v>
      </c>
      <c r="K654" s="53">
        <v>227.65</v>
      </c>
      <c r="L654" s="53">
        <v>207.68</v>
      </c>
      <c r="M654" s="5" t="str">
        <f>IF(Faturamento!$S144&lt;&gt;"","Não emitido",IF(Faturamento!$I144="NÃO","Pendente Fatura", IF(Faturamento!$R144&lt;&gt;"","Aprovado",IF(Faturamento!$O144&lt;&gt;0,"Pendente Emissão","Processo de Calculo"))))</f>
        <v>Aprovado</v>
      </c>
      <c r="N654" s="53">
        <v>79.88</v>
      </c>
      <c r="O654" s="53">
        <v>59.91</v>
      </c>
      <c r="P654" s="52"/>
      <c r="Q654" s="52"/>
      <c r="R654" s="53">
        <v>59.91</v>
      </c>
      <c r="S654" s="37"/>
      <c r="T654" s="51" t="s">
        <v>705</v>
      </c>
      <c r="U654" s="51"/>
      <c r="V654" s="37" t="s">
        <v>568</v>
      </c>
      <c r="W654" s="53">
        <v>59.91</v>
      </c>
      <c r="X654" s="123">
        <f>IF(Faturamento!$V329="Pago",IFERROR(W654-R654,0),0)</f>
        <v>0</v>
      </c>
      <c r="Y654" s="52"/>
      <c r="Z654" s="52"/>
      <c r="AA654" s="5"/>
      <c r="AB654" s="5"/>
      <c r="AI654"/>
    </row>
    <row r="655" spans="1:35" hidden="1" x14ac:dyDescent="0.3">
      <c r="A655" s="5" t="str">
        <f>VLOOKUP(B655,base!A:M,11,FALSE)</f>
        <v>BIFÁSICO</v>
      </c>
      <c r="B655" t="s">
        <v>250</v>
      </c>
      <c r="C655" s="1">
        <v>65999839279</v>
      </c>
      <c r="D655" s="60">
        <v>62955505015512</v>
      </c>
      <c r="E655" s="63" t="s">
        <v>433</v>
      </c>
      <c r="F655" t="s">
        <v>434</v>
      </c>
      <c r="G655" s="4">
        <v>45809</v>
      </c>
      <c r="H655" s="4" t="str">
        <f>Faturamento!$B593&amp;Faturamento!$G593</f>
        <v>10/10232-745778</v>
      </c>
      <c r="I655" t="s">
        <v>435</v>
      </c>
      <c r="J655" s="37">
        <v>79</v>
      </c>
      <c r="K655" s="53">
        <v>284.10422680412375</v>
      </c>
      <c r="L655" s="53">
        <v>265.26049095390317</v>
      </c>
      <c r="M655" s="5" t="str">
        <f>IF(Faturamento!$S593&lt;&gt;"","Não emitido",IF(Faturamento!$I593="NÃO","Pendente Fatura", IF(Faturamento!$R593&lt;&gt;"","Aprovado",IF(Faturamento!$O593&lt;&gt;0,"Pendente Emissão","Processo de Calculo"))))</f>
        <v>Aprovado</v>
      </c>
      <c r="N655" s="3">
        <v>79.42422680412372</v>
      </c>
      <c r="O655" s="3">
        <v>59.57</v>
      </c>
      <c r="P655" s="4">
        <v>45860</v>
      </c>
      <c r="Q655" s="4">
        <v>45871</v>
      </c>
      <c r="R655" s="3">
        <v>59.57</v>
      </c>
      <c r="S655"/>
      <c r="T655" s="51" t="s">
        <v>1145</v>
      </c>
      <c r="U655" s="51" t="s">
        <v>1146</v>
      </c>
      <c r="V655" t="s">
        <v>568</v>
      </c>
      <c r="W655" s="3">
        <v>59.57</v>
      </c>
      <c r="X655" s="123">
        <f>IF(Faturamento!$V328="Pago",IFERROR(W655-R655,0),0)</f>
        <v>0</v>
      </c>
      <c r="Y655" s="4" t="e">
        <f>VLOOKUP(Faturamento!$T593,[3]Sheet1!$F:$H,3,FALSE)</f>
        <v>#N/A</v>
      </c>
      <c r="Z655" s="4"/>
      <c r="AA655" s="5"/>
      <c r="AB655" s="5"/>
      <c r="AI655"/>
    </row>
    <row r="656" spans="1:35" hidden="1" x14ac:dyDescent="0.3">
      <c r="A656" s="5" t="str">
        <f>VLOOKUP(B656,base!A:M,11,FALSE)</f>
        <v>BIFÁSICO</v>
      </c>
      <c r="B656" s="37" t="s">
        <v>280</v>
      </c>
      <c r="C656" s="56">
        <v>67998302932</v>
      </c>
      <c r="D656" s="59">
        <v>62955505015512</v>
      </c>
      <c r="E656" s="37" t="s">
        <v>433</v>
      </c>
      <c r="F656" s="37" t="s">
        <v>434</v>
      </c>
      <c r="G656" s="52">
        <v>45809</v>
      </c>
      <c r="H656" s="52" t="str">
        <f>Faturamento!$B594&amp;Faturamento!$G594</f>
        <v>10/218777-145658</v>
      </c>
      <c r="I656" s="37" t="s">
        <v>435</v>
      </c>
      <c r="J656" s="37">
        <v>79</v>
      </c>
      <c r="K656" s="53">
        <v>252.79301075268819</v>
      </c>
      <c r="L656" s="53">
        <v>234.06344545879551</v>
      </c>
      <c r="M656" s="5" t="str">
        <f>IF(Faturamento!$S594&lt;&gt;"","Não emitido",IF(Faturamento!$I594="NÃO","Pendente Fatura", IF(Faturamento!$R594&lt;&gt;"","Aprovado",IF(Faturamento!$O594&lt;&gt;0,"Pendente Emissão","Processo de Calculo"))))</f>
        <v>Aprovado</v>
      </c>
      <c r="N656" s="53">
        <v>78.943010752688181</v>
      </c>
      <c r="O656" s="53">
        <v>59.21</v>
      </c>
      <c r="P656" s="52">
        <v>45860</v>
      </c>
      <c r="Q656" s="52">
        <v>45871</v>
      </c>
      <c r="R656" s="53">
        <v>59.21</v>
      </c>
      <c r="S656" s="37"/>
      <c r="T656" s="51" t="s">
        <v>1147</v>
      </c>
      <c r="U656" s="51" t="s">
        <v>1148</v>
      </c>
      <c r="V656" s="37" t="s">
        <v>568</v>
      </c>
      <c r="W656" s="53">
        <v>59.21</v>
      </c>
      <c r="X656" s="123">
        <f>IF(Faturamento!$V327="Pago",IFERROR(W656-R656,0),0)</f>
        <v>0</v>
      </c>
      <c r="Y656" s="52"/>
      <c r="Z656" s="52"/>
      <c r="AA656" s="5"/>
      <c r="AB656" s="5"/>
      <c r="AI656"/>
    </row>
    <row r="657" spans="1:35" hidden="1" x14ac:dyDescent="0.3">
      <c r="A657" s="5" t="str">
        <f>VLOOKUP(B657,base!A:M,11,FALSE)</f>
        <v>TRIFÁSICO</v>
      </c>
      <c r="B657" t="s">
        <v>211</v>
      </c>
      <c r="C657" s="1">
        <v>67996266684</v>
      </c>
      <c r="D657" s="60">
        <v>62955505157066</v>
      </c>
      <c r="E657" s="63" t="s">
        <v>433</v>
      </c>
      <c r="F657" t="s">
        <v>434</v>
      </c>
      <c r="G657" s="4">
        <v>45748</v>
      </c>
      <c r="H657" s="4" t="str">
        <f>Faturamento!$B407&amp;Faturamento!$G407</f>
        <v>10/109074-545778</v>
      </c>
      <c r="I657" t="s">
        <v>435</v>
      </c>
      <c r="J657" s="37">
        <v>81</v>
      </c>
      <c r="K657" s="53">
        <v>187.69</v>
      </c>
      <c r="L657" s="53">
        <v>167.97499999999999</v>
      </c>
      <c r="M657" s="5" t="str">
        <f>IF(Faturamento!$S407&lt;&gt;"","Não emitido",IF(Faturamento!$I407="NÃO","Pendente Fatura", IF(Faturamento!$R407&lt;&gt;"","Aprovado",IF(Faturamento!$O407&lt;&gt;0,"Pendente Emissão","Processo de Calculo"))))</f>
        <v>Aprovado</v>
      </c>
      <c r="N657" s="3">
        <v>78.86</v>
      </c>
      <c r="O657" s="3">
        <v>59.15</v>
      </c>
      <c r="P657" s="4"/>
      <c r="Q657" s="4"/>
      <c r="R657" s="3">
        <v>59.15</v>
      </c>
      <c r="S657"/>
      <c r="T657" s="51" t="s">
        <v>904</v>
      </c>
      <c r="U657" s="51"/>
      <c r="V657" t="s">
        <v>568</v>
      </c>
      <c r="W657" s="3">
        <v>59.15</v>
      </c>
      <c r="X657" s="123">
        <f>IF(Faturamento!$V326="Pago",IFERROR(W657-R657,0),0)</f>
        <v>0</v>
      </c>
      <c r="Y657" s="4"/>
      <c r="Z657" s="4"/>
      <c r="AA657" s="5"/>
      <c r="AB657" s="5"/>
      <c r="AI657"/>
    </row>
    <row r="658" spans="1:35" hidden="1" x14ac:dyDescent="0.3">
      <c r="A658" s="5" t="str">
        <f>VLOOKUP(B658,base!A:M,11,FALSE)</f>
        <v>TRIFÁSICO</v>
      </c>
      <c r="B658" t="s">
        <v>151</v>
      </c>
      <c r="C658" s="1">
        <v>67991133770</v>
      </c>
      <c r="D658" s="60">
        <v>62955505335851</v>
      </c>
      <c r="E658" s="63" t="s">
        <v>433</v>
      </c>
      <c r="F658" t="s">
        <v>434</v>
      </c>
      <c r="G658" s="4">
        <v>45809</v>
      </c>
      <c r="H658" s="4" t="str">
        <f>Faturamento!$B587&amp;Faturamento!$G587</f>
        <v>10/384823-145748</v>
      </c>
      <c r="I658" t="s">
        <v>435</v>
      </c>
      <c r="J658" s="37">
        <v>79</v>
      </c>
      <c r="K658" s="53">
        <v>238.16161290322583</v>
      </c>
      <c r="L658" s="53">
        <v>219.47033993605058</v>
      </c>
      <c r="M658" s="5" t="str">
        <f>IF(Faturamento!$S587&lt;&gt;"","Não emitido",IF(Faturamento!$I587="NÃO","Pendente Fatura", IF(Faturamento!$R587&lt;&gt;"","Aprovado",IF(Faturamento!$O587&lt;&gt;0,"Pendente Emissão","Processo de Calculo"))))</f>
        <v>Aprovado</v>
      </c>
      <c r="N658" s="3">
        <v>78.78161290322582</v>
      </c>
      <c r="O658" s="3">
        <v>59.09</v>
      </c>
      <c r="P658" s="4">
        <v>45860</v>
      </c>
      <c r="Q658" s="4">
        <v>45871</v>
      </c>
      <c r="R658" s="3">
        <v>59.09</v>
      </c>
      <c r="S658"/>
      <c r="T658" s="51" t="s">
        <v>1133</v>
      </c>
      <c r="U658" s="51" t="s">
        <v>1134</v>
      </c>
      <c r="V658" t="s">
        <v>568</v>
      </c>
      <c r="W658" s="3">
        <v>78.78</v>
      </c>
      <c r="X658" s="123">
        <f>IF(Faturamento!$V207="Pago",IFERROR(W658-R658,0),0)</f>
        <v>19.689999999999998</v>
      </c>
      <c r="Y658" s="52">
        <v>45968</v>
      </c>
      <c r="Z658" s="52"/>
      <c r="AA658" s="5"/>
      <c r="AB658" s="5"/>
      <c r="AI658"/>
    </row>
    <row r="659" spans="1:35" hidden="1" x14ac:dyDescent="0.3">
      <c r="A659" s="5" t="str">
        <f>VLOOKUP(B659,base!A:M,11,FALSE)</f>
        <v>TRIFÁSICO</v>
      </c>
      <c r="B659" s="37" t="s">
        <v>274</v>
      </c>
      <c r="C659" s="56">
        <v>67992021114</v>
      </c>
      <c r="D659" s="59">
        <v>62955505357405</v>
      </c>
      <c r="E659" s="37" t="s">
        <v>433</v>
      </c>
      <c r="F659" s="37" t="s">
        <v>434</v>
      </c>
      <c r="G659" s="52">
        <v>45809</v>
      </c>
      <c r="H659" s="52" t="str">
        <f>Faturamento!$B564&amp;Faturamento!$G564</f>
        <v>10/218777-145717</v>
      </c>
      <c r="I659" s="37" t="s">
        <v>435</v>
      </c>
      <c r="J659" s="37">
        <v>78</v>
      </c>
      <c r="K659" s="53">
        <v>279.40666666666664</v>
      </c>
      <c r="L659" s="53">
        <v>260.76401806639575</v>
      </c>
      <c r="M659" s="5" t="str">
        <f>IF(Faturamento!$S564&lt;&gt;"","Não emitido",IF(Faturamento!$I564="NÃO","Pendente Fatura", IF(Faturamento!$R564&lt;&gt;"","Aprovado",IF(Faturamento!$O564&lt;&gt;0,"Pendente Emissão","Processo de Calculo"))))</f>
        <v>Aprovado</v>
      </c>
      <c r="N659" s="53">
        <v>78.576666666666668</v>
      </c>
      <c r="O659" s="53">
        <v>58.93</v>
      </c>
      <c r="P659" s="52">
        <v>45860</v>
      </c>
      <c r="Q659" s="52">
        <v>45871</v>
      </c>
      <c r="R659" s="53">
        <v>58.93</v>
      </c>
      <c r="S659" s="37"/>
      <c r="T659" s="51" t="s">
        <v>1087</v>
      </c>
      <c r="U659" s="51" t="s">
        <v>1088</v>
      </c>
      <c r="V659" s="37" t="s">
        <v>568</v>
      </c>
      <c r="W659" s="53">
        <v>58.93</v>
      </c>
      <c r="X659" s="123">
        <f>IF(Faturamento!$V325="Pago",IFERROR(W659-R659,0),0)</f>
        <v>0</v>
      </c>
      <c r="Y659" s="52" t="s">
        <v>1015</v>
      </c>
      <c r="Z659" s="52"/>
      <c r="AA659" s="5"/>
      <c r="AB659" s="5"/>
      <c r="AI659"/>
    </row>
    <row r="660" spans="1:35" hidden="1" x14ac:dyDescent="0.3">
      <c r="A660" s="5" t="str">
        <f>VLOOKUP(B660,base!A:M,11,FALSE)</f>
        <v>BIFÁSICO</v>
      </c>
      <c r="B660" t="s">
        <v>137</v>
      </c>
      <c r="C660" s="1">
        <v>67992637973</v>
      </c>
      <c r="D660" s="60">
        <v>62955505040894</v>
      </c>
      <c r="E660" s="63" t="s">
        <v>433</v>
      </c>
      <c r="F660" t="s">
        <v>434</v>
      </c>
      <c r="G660" s="4">
        <v>45778</v>
      </c>
      <c r="H660" s="4" t="str">
        <f>Faturamento!$B519&amp;Faturamento!$G519</f>
        <v>10/218777-145748</v>
      </c>
      <c r="I660" t="s">
        <v>435</v>
      </c>
      <c r="J660">
        <v>79</v>
      </c>
      <c r="K660" s="3">
        <v>351.9324644549763</v>
      </c>
      <c r="L660" s="3">
        <v>332.47934834123225</v>
      </c>
      <c r="M660" s="5" t="str">
        <f>IF(Faturamento!$S519&lt;&gt;"","Não emitido",IF(Faturamento!$I519="NÃO","Pendente Fatura", IF(Faturamento!$R519&lt;&gt;"","Aprovado",IF(Faturamento!$O519&lt;&gt;0,"Pendente Emissão","Processo de Calculo"))))</f>
        <v>Aprovado</v>
      </c>
      <c r="N660" s="3">
        <v>77.812464454976308</v>
      </c>
      <c r="O660" s="3">
        <v>58.36</v>
      </c>
      <c r="P660" s="4"/>
      <c r="Q660" s="4"/>
      <c r="R660" s="3">
        <v>58.36</v>
      </c>
      <c r="S660"/>
      <c r="T660" s="51" t="s">
        <v>1004</v>
      </c>
      <c r="U660" s="51"/>
      <c r="V660" t="s">
        <v>568</v>
      </c>
      <c r="W660" s="3">
        <v>58.36</v>
      </c>
      <c r="X660" s="123">
        <f>IF(Faturamento!$V324="Pago",IFERROR(W660-R660,0),0)</f>
        <v>0</v>
      </c>
      <c r="Y660" s="4"/>
      <c r="Z660" s="4"/>
      <c r="AA660" s="5"/>
      <c r="AB660" s="5"/>
      <c r="AI660"/>
    </row>
    <row r="661" spans="1:35" hidden="1" x14ac:dyDescent="0.3">
      <c r="A661" s="5" t="str">
        <f>VLOOKUP(B661,base!A:M,11,FALSE)</f>
        <v>TRIFÁSICO</v>
      </c>
      <c r="B661" t="s">
        <v>143</v>
      </c>
      <c r="C661" s="1" t="s">
        <v>144</v>
      </c>
      <c r="D661" s="60">
        <v>62955505149047</v>
      </c>
      <c r="E661" s="63" t="s">
        <v>433</v>
      </c>
      <c r="F661" t="s">
        <v>434</v>
      </c>
      <c r="G661" s="4">
        <v>45658</v>
      </c>
      <c r="H661" s="4" t="str">
        <f>Faturamento!$B49&amp;Faturamento!$G49</f>
        <v>10/18015-845870</v>
      </c>
      <c r="I661" t="s">
        <v>435</v>
      </c>
      <c r="J661">
        <v>68</v>
      </c>
      <c r="K661" s="3">
        <v>229.68</v>
      </c>
      <c r="L661" s="3">
        <v>210.70500000000001</v>
      </c>
      <c r="M661" s="5" t="str">
        <f>IF(Faturamento!$S49&lt;&gt;"","Não emitido",IF(Faturamento!$I49="NÃO","Pendente Fatura", IF(Faturamento!$R49&lt;&gt;"","Aprovado",IF(Faturamento!$O49&lt;&gt;0,"Pendente Emissão","Processo de Calculo"))))</f>
        <v>Aprovado</v>
      </c>
      <c r="N661" s="3">
        <v>75.900000000000006</v>
      </c>
      <c r="O661" s="3">
        <v>56.93</v>
      </c>
      <c r="P661" s="4"/>
      <c r="Q661" s="4"/>
      <c r="R661" s="3">
        <v>56.93</v>
      </c>
      <c r="S661"/>
      <c r="T661" s="51" t="s">
        <v>580</v>
      </c>
      <c r="U661" s="51"/>
      <c r="V661" t="s">
        <v>568</v>
      </c>
      <c r="W661" s="3">
        <v>56.93</v>
      </c>
      <c r="X661" s="123">
        <f>IF(Faturamento!$V323="Pago",IFERROR(W661-R661,0),0)</f>
        <v>0</v>
      </c>
      <c r="Y661" s="4"/>
      <c r="Z661" s="4"/>
      <c r="AA661" s="5">
        <v>283032</v>
      </c>
      <c r="AB661" s="5">
        <v>502</v>
      </c>
      <c r="AC661" s="5" t="s">
        <v>434</v>
      </c>
      <c r="AD661" s="5" t="s">
        <v>467</v>
      </c>
      <c r="AE661" s="5">
        <v>118.29</v>
      </c>
      <c r="AG661" s="5" t="s">
        <v>581</v>
      </c>
      <c r="AH661" s="5" t="s">
        <v>119</v>
      </c>
      <c r="AI661"/>
    </row>
    <row r="662" spans="1:35" hidden="1" x14ac:dyDescent="0.3">
      <c r="A662" s="5" t="str">
        <f>VLOOKUP(B662,base!A:M,11,FALSE)</f>
        <v>MONOFÁSICO</v>
      </c>
      <c r="B662" s="37" t="s">
        <v>173</v>
      </c>
      <c r="C662" s="56" t="s">
        <v>175</v>
      </c>
      <c r="D662">
        <v>62955505084751</v>
      </c>
      <c r="E662" s="37" t="s">
        <v>433</v>
      </c>
      <c r="F662" t="s">
        <v>108</v>
      </c>
      <c r="G662" s="4">
        <v>45931</v>
      </c>
      <c r="H662" s="52" t="str">
        <f>Faturamento!$B970&amp;Faturamento!$G970</f>
        <v>10/162736-345870</v>
      </c>
      <c r="I662" s="37" t="s">
        <v>435</v>
      </c>
      <c r="J662">
        <v>131</v>
      </c>
      <c r="K662" s="3">
        <v>283.1723076923077</v>
      </c>
      <c r="L662" s="3">
        <v>240.36395906371354</v>
      </c>
      <c r="M662" s="5" t="s">
        <v>1489</v>
      </c>
      <c r="N662" s="53">
        <v>153.06230769230768</v>
      </c>
      <c r="O662" s="53">
        <v>110.25</v>
      </c>
      <c r="P662" s="52">
        <v>45967</v>
      </c>
      <c r="Q662" s="52">
        <v>45974</v>
      </c>
      <c r="R662" s="53">
        <v>110.25</v>
      </c>
      <c r="S662" s="37"/>
      <c r="T662" s="3" t="str">
        <f>D662&amp;R662</f>
        <v>62955505084751110,25</v>
      </c>
      <c r="U662" s="3" t="s">
        <v>1782</v>
      </c>
      <c r="V662" s="37" t="s">
        <v>369</v>
      </c>
      <c r="X662" s="124">
        <f>IF(Faturamento!$V972="Pago",IFERROR(W662-R662,0),0)</f>
        <v>0</v>
      </c>
      <c r="Z662" s="196" t="s">
        <v>1795</v>
      </c>
    </row>
    <row r="663" spans="1:35" x14ac:dyDescent="0.3">
      <c r="A663" s="5" t="str">
        <f>VLOOKUP(B663,base!A:M,11,FALSE)</f>
        <v>TRIFÁSICO</v>
      </c>
      <c r="B663" t="s">
        <v>244</v>
      </c>
      <c r="C663" s="1" t="s">
        <v>166</v>
      </c>
      <c r="D663" s="60">
        <v>62955505419443</v>
      </c>
      <c r="E663" s="63" t="s">
        <v>433</v>
      </c>
      <c r="F663" t="s">
        <v>434</v>
      </c>
      <c r="G663" s="4">
        <v>45809</v>
      </c>
      <c r="H663" s="4" t="str">
        <f>Faturamento!$B537&amp;Faturamento!$G537</f>
        <v>10/52987-545778</v>
      </c>
      <c r="I663" t="s">
        <v>435</v>
      </c>
      <c r="J663" s="37">
        <v>64</v>
      </c>
      <c r="K663" s="53">
        <v>252.8026315789474</v>
      </c>
      <c r="L663" s="53">
        <v>235.03166344046014</v>
      </c>
      <c r="M663" s="5" t="str">
        <f>IF(Faturamento!$S537&lt;&gt;"","Não emitido",IF(Faturamento!$I537="NÃO","Pendente Fatura", IF(Faturamento!$R537&lt;&gt;"","Aprovado",IF(Faturamento!$O537&lt;&gt;0,"Pendente Emissão","Processo de Calculo"))))</f>
        <v>Aprovado</v>
      </c>
      <c r="N663" s="3">
        <v>74.902631578947378</v>
      </c>
      <c r="O663" s="3">
        <v>56.18</v>
      </c>
      <c r="P663" s="4">
        <v>45860</v>
      </c>
      <c r="Q663" s="4">
        <v>45871</v>
      </c>
      <c r="R663" s="3">
        <v>56.18</v>
      </c>
      <c r="S663"/>
      <c r="T663" s="51" t="s">
        <v>1029</v>
      </c>
      <c r="U663" s="51" t="s">
        <v>1030</v>
      </c>
      <c r="V663" t="s">
        <v>568</v>
      </c>
      <c r="W663" s="3">
        <v>56.18</v>
      </c>
      <c r="X663" s="123">
        <f>IF(Faturamento!$V321="Pago",IFERROR(W663-R663,0),0)</f>
        <v>0</v>
      </c>
      <c r="Y663" s="4" t="s">
        <v>1031</v>
      </c>
      <c r="Z663" s="4"/>
      <c r="AA663" s="5"/>
      <c r="AB663" s="5"/>
      <c r="AI663"/>
    </row>
    <row r="664" spans="1:35" hidden="1" x14ac:dyDescent="0.3">
      <c r="A664" s="5" t="str">
        <f>VLOOKUP(B664,base!A:M,11,FALSE)</f>
        <v>BIFÁSICO</v>
      </c>
      <c r="B664" t="s">
        <v>204</v>
      </c>
      <c r="C664" s="1">
        <v>0</v>
      </c>
      <c r="D664" s="60">
        <v>62955505040894</v>
      </c>
      <c r="E664" s="63" t="s">
        <v>433</v>
      </c>
      <c r="F664" t="s">
        <v>434</v>
      </c>
      <c r="G664" s="4">
        <v>45901</v>
      </c>
      <c r="H664" s="4" t="str">
        <f>Faturamento!$B837&amp;Faturamento!$G837</f>
        <v>10/104720-845689</v>
      </c>
      <c r="I664" t="s">
        <v>435</v>
      </c>
      <c r="J664">
        <v>63</v>
      </c>
      <c r="K664" s="3">
        <v>167.3322</v>
      </c>
      <c r="L664" s="3">
        <v>146.89273016246096</v>
      </c>
      <c r="M664" s="5" t="s">
        <v>1489</v>
      </c>
      <c r="N664" s="3">
        <v>76.102199999999996</v>
      </c>
      <c r="O664" s="3">
        <v>55.66</v>
      </c>
      <c r="P664" s="4">
        <v>45933</v>
      </c>
      <c r="Q664" s="4">
        <v>45943</v>
      </c>
      <c r="R664" s="3">
        <f>O664</f>
        <v>55.66</v>
      </c>
      <c r="S664"/>
      <c r="T664" s="51" t="s">
        <v>1556</v>
      </c>
      <c r="U664" s="51" t="s">
        <v>1557</v>
      </c>
      <c r="V664" t="s">
        <v>568</v>
      </c>
      <c r="W664" s="3">
        <f>O664</f>
        <v>55.66</v>
      </c>
      <c r="X664" s="123">
        <f>IF(Faturamento!$V320="Pago",IFERROR(W664-R664,0),0)</f>
        <v>0</v>
      </c>
      <c r="Y664" s="4"/>
      <c r="Z664" s="4"/>
      <c r="AA664" s="5"/>
      <c r="AB664" s="5"/>
      <c r="AI664"/>
    </row>
    <row r="665" spans="1:35" hidden="1" x14ac:dyDescent="0.3">
      <c r="A665" s="5" t="str">
        <f>VLOOKUP(B665,base!A:M,11,FALSE)</f>
        <v>TRIFÁSICO</v>
      </c>
      <c r="B665" s="37" t="s">
        <v>326</v>
      </c>
      <c r="C665" s="56" t="s">
        <v>328</v>
      </c>
      <c r="D665" s="59">
        <v>62955505058599</v>
      </c>
      <c r="E665" s="37" t="s">
        <v>433</v>
      </c>
      <c r="F665" s="37" t="s">
        <v>434</v>
      </c>
      <c r="G665" s="52">
        <v>45839</v>
      </c>
      <c r="H665" s="52" t="str">
        <f>Faturamento!$B686&amp;Faturamento!$G686</f>
        <v>10/530195-745689</v>
      </c>
      <c r="I665" s="37" t="s">
        <v>435</v>
      </c>
      <c r="J665" s="37">
        <v>69</v>
      </c>
      <c r="K665" s="53">
        <v>212.52640449438204</v>
      </c>
      <c r="L665" s="53">
        <v>196.5999873033708</v>
      </c>
      <c r="M665" s="5" t="str">
        <f>IF(Faturamento!$S686&lt;&gt;"","Não emitido",IF(Faturamento!$I686="NÃO","Pendente Fatura", IF(Faturamento!$R686&lt;&gt;"","Aprovado",IF(Faturamento!$O686&lt;&gt;0,"Pendente Emissão","Processo de Calculo"))))</f>
        <v>Aprovado</v>
      </c>
      <c r="N665" s="53">
        <v>71.446404494382023</v>
      </c>
      <c r="O665" s="53">
        <v>55.52</v>
      </c>
      <c r="P665" s="52">
        <v>45910</v>
      </c>
      <c r="Q665" s="52">
        <v>45920</v>
      </c>
      <c r="R665" s="53">
        <v>55.52</v>
      </c>
      <c r="S665" s="37"/>
      <c r="T665" s="51" t="s">
        <v>1284</v>
      </c>
      <c r="U665" s="51" t="s">
        <v>1285</v>
      </c>
      <c r="V665" s="37" t="s">
        <v>568</v>
      </c>
      <c r="W665" s="53">
        <v>71.45</v>
      </c>
      <c r="X665" s="123">
        <f>IF(Faturamento!$V356="Pago",IFERROR(W665-R665,0),0)</f>
        <v>15.93</v>
      </c>
      <c r="Y665" s="52">
        <v>45904</v>
      </c>
      <c r="Z665" s="52"/>
      <c r="AA665" s="5"/>
      <c r="AB665" s="5"/>
      <c r="AI665"/>
    </row>
    <row r="666" spans="1:35" hidden="1" x14ac:dyDescent="0.3">
      <c r="A666" s="5" t="str">
        <f>VLOOKUP(B666,base!A:M,11,FALSE)</f>
        <v>TRIFÁSICO</v>
      </c>
      <c r="B666" s="37" t="s">
        <v>189</v>
      </c>
      <c r="C666" s="56">
        <v>67991767866</v>
      </c>
      <c r="D666" s="59">
        <v>62955505461210</v>
      </c>
      <c r="E666" s="37" t="s">
        <v>433</v>
      </c>
      <c r="F666" s="37" t="s">
        <v>434</v>
      </c>
      <c r="G666" s="52">
        <v>45778</v>
      </c>
      <c r="H666" s="52" t="str">
        <f>Faturamento!$B456&amp;Faturamento!$G456</f>
        <v>10/1672452-845901</v>
      </c>
      <c r="I666" s="37" t="s">
        <v>435</v>
      </c>
      <c r="J666">
        <v>65</v>
      </c>
      <c r="K666" s="3">
        <v>1006.5371572871572</v>
      </c>
      <c r="L666" s="3">
        <v>988.16536796536798</v>
      </c>
      <c r="M666" s="5" t="str">
        <f>IF(Faturamento!$S456&lt;&gt;"","Não emitido",IF(Faturamento!$I456="NÃO","Pendente Fatura", IF(Faturamento!$R456&lt;&gt;"","Aprovado",IF(Faturamento!$O456&lt;&gt;0,"Pendente Emissão","Processo de Calculo"))))</f>
        <v>Aprovado</v>
      </c>
      <c r="N666" s="53">
        <v>73.487157287157288</v>
      </c>
      <c r="O666" s="53">
        <v>55.12</v>
      </c>
      <c r="P666" s="52"/>
      <c r="Q666" s="52"/>
      <c r="R666" s="53">
        <v>55.12</v>
      </c>
      <c r="S666" s="37"/>
      <c r="T666" s="51" t="s">
        <v>949</v>
      </c>
      <c r="U666" s="51"/>
      <c r="V666" s="37" t="s">
        <v>568</v>
      </c>
      <c r="W666" s="53">
        <v>55.12</v>
      </c>
      <c r="X666" s="123">
        <f>IF(Faturamento!$V319="Pago",IFERROR(W666-R666,0),0)</f>
        <v>0</v>
      </c>
      <c r="Y666" s="52"/>
      <c r="Z666" s="52"/>
      <c r="AA666" s="5"/>
      <c r="AB666" s="5"/>
      <c r="AI666"/>
    </row>
    <row r="667" spans="1:35" hidden="1" x14ac:dyDescent="0.3">
      <c r="A667" s="5" t="str">
        <f>VLOOKUP(B667,base!A:M,11,FALSE)</f>
        <v>BIFÁSICO</v>
      </c>
      <c r="B667" t="s">
        <v>309</v>
      </c>
      <c r="C667" s="56">
        <v>67999516782</v>
      </c>
      <c r="D667">
        <v>62955505367117</v>
      </c>
      <c r="E667" s="37" t="s">
        <v>433</v>
      </c>
      <c r="F667" t="s">
        <v>108</v>
      </c>
      <c r="G667" s="4">
        <v>45931</v>
      </c>
      <c r="H667" s="52" t="str">
        <f>Faturamento!$B929&amp;Faturamento!$G929</f>
        <v>10/925970-645778</v>
      </c>
      <c r="I667" s="37" t="s">
        <v>435</v>
      </c>
      <c r="J667">
        <v>69</v>
      </c>
      <c r="K667" s="3">
        <v>161.06076923076921</v>
      </c>
      <c r="L667" s="3">
        <v>140.36988452642535</v>
      </c>
      <c r="M667" s="5" t="s">
        <v>1489</v>
      </c>
      <c r="N667" s="53">
        <v>73.980769230769226</v>
      </c>
      <c r="O667" s="53">
        <v>53.29</v>
      </c>
      <c r="P667" s="52">
        <v>45967</v>
      </c>
      <c r="Q667" s="52">
        <v>45974</v>
      </c>
      <c r="R667" s="53">
        <v>53.29</v>
      </c>
      <c r="S667" s="37"/>
      <c r="T667" s="3" t="str">
        <f>D667&amp;R667</f>
        <v>6295550536711753,29</v>
      </c>
      <c r="U667" s="3" t="s">
        <v>1741</v>
      </c>
      <c r="V667" s="37" t="s">
        <v>568</v>
      </c>
      <c r="W667">
        <v>53.29</v>
      </c>
      <c r="X667" s="124">
        <f>IF(Faturamento!$V931="Pago",IFERROR(W667-R667,0),0)</f>
        <v>0</v>
      </c>
      <c r="Y667" s="175">
        <v>45987</v>
      </c>
      <c r="Z667" s="175"/>
    </row>
    <row r="668" spans="1:35" hidden="1" x14ac:dyDescent="0.3">
      <c r="A668" s="5" t="str">
        <f>VLOOKUP(B668,base!A:M,11,FALSE)</f>
        <v>BIFÁSICO</v>
      </c>
      <c r="B668" s="37" t="s">
        <v>158</v>
      </c>
      <c r="C668" s="56">
        <v>67996266684</v>
      </c>
      <c r="D668" s="59">
        <v>62955505197521</v>
      </c>
      <c r="E668" s="37" t="s">
        <v>433</v>
      </c>
      <c r="F668" s="37" t="s">
        <v>434</v>
      </c>
      <c r="G668" s="52">
        <v>45809</v>
      </c>
      <c r="H668" s="52" t="str">
        <f>Faturamento!$B582&amp;Faturamento!$G582</f>
        <v>10/113971-645839</v>
      </c>
      <c r="I668" s="37" t="s">
        <v>435</v>
      </c>
      <c r="J668" s="37">
        <v>70</v>
      </c>
      <c r="K668" s="53">
        <v>266.24375796178339</v>
      </c>
      <c r="L668" s="53">
        <v>249.44526503436441</v>
      </c>
      <c r="M668" s="5" t="s">
        <v>1489</v>
      </c>
      <c r="N668" s="53">
        <v>70.803757961783418</v>
      </c>
      <c r="O668" s="53">
        <v>53.1</v>
      </c>
      <c r="P668" s="52">
        <v>45860</v>
      </c>
      <c r="Q668" s="52">
        <v>45871</v>
      </c>
      <c r="R668" s="53">
        <v>53.1</v>
      </c>
      <c r="S668" s="37"/>
      <c r="T668" s="51" t="s">
        <v>1123</v>
      </c>
      <c r="U668" s="51" t="s">
        <v>1124</v>
      </c>
      <c r="V668" s="37" t="s">
        <v>568</v>
      </c>
      <c r="W668" s="53">
        <v>53.1</v>
      </c>
      <c r="X668" s="123">
        <f>IF(Faturamento!$V318="Pago",IFERROR(W668-R668,0),0)</f>
        <v>0</v>
      </c>
      <c r="Y668" s="52" t="s">
        <v>1043</v>
      </c>
      <c r="Z668" s="52"/>
      <c r="AA668" s="5"/>
      <c r="AB668" s="5"/>
      <c r="AI668"/>
    </row>
    <row r="669" spans="1:35" hidden="1" x14ac:dyDescent="0.3">
      <c r="A669" s="5" t="str">
        <f>VLOOKUP(B669,base!A:M,11,FALSE)</f>
        <v>TRIFÁSICO</v>
      </c>
      <c r="B669" s="37" t="s">
        <v>242</v>
      </c>
      <c r="C669" s="56">
        <v>67996266684</v>
      </c>
      <c r="D669" s="59">
        <v>62955505312487</v>
      </c>
      <c r="E669" s="37" t="s">
        <v>433</v>
      </c>
      <c r="F669" s="37" t="s">
        <v>434</v>
      </c>
      <c r="G669" s="52">
        <v>45689</v>
      </c>
      <c r="H669" s="52" t="str">
        <f>Faturamento!$B226&amp;Faturamento!$G226</f>
        <v>10/127464-645839</v>
      </c>
      <c r="I669" s="37" t="s">
        <v>435</v>
      </c>
      <c r="J669" s="37">
        <v>71</v>
      </c>
      <c r="K669" s="53">
        <v>227.63</v>
      </c>
      <c r="L669" s="53">
        <v>210.34</v>
      </c>
      <c r="M669" s="5" t="str">
        <f>IF(Faturamento!$S226&lt;&gt;"","Não emitido",IF(Faturamento!$I226="NÃO","Pendente Fatura", IF(Faturamento!$R226&lt;&gt;"","Aprovado",IF(Faturamento!$O226&lt;&gt;0,"Pendente Emissão","Processo de Calculo"))))</f>
        <v>Aprovado</v>
      </c>
      <c r="N669" s="53">
        <v>69.16</v>
      </c>
      <c r="O669" s="53">
        <v>51.87</v>
      </c>
      <c r="P669" s="52"/>
      <c r="Q669" s="52"/>
      <c r="R669" s="53">
        <v>51.87</v>
      </c>
      <c r="S669" s="37"/>
      <c r="T669" s="51" t="s">
        <v>772</v>
      </c>
      <c r="U669" s="51"/>
      <c r="V669" s="37" t="s">
        <v>568</v>
      </c>
      <c r="W669" s="53">
        <v>51.87</v>
      </c>
      <c r="X669" s="123">
        <f>IF(Faturamento!$V316="Pago",IFERROR(W669-R669,0),0)</f>
        <v>0</v>
      </c>
      <c r="Y669" s="52"/>
      <c r="Z669" s="52"/>
      <c r="AA669" s="5"/>
      <c r="AB669" s="5"/>
      <c r="AI669" t="str">
        <f>VLOOKUP(B669,'[2]Conciliação - 022025'!$A:$L,12,FALSE)</f>
        <v>DEPÓSITO ÚNICO ITAU 02/06/2025</v>
      </c>
    </row>
    <row r="670" spans="1:35" hidden="1" x14ac:dyDescent="0.3">
      <c r="A670" s="5" t="str">
        <f>VLOOKUP(B670,base!A:M,11,FALSE)</f>
        <v>TRIFÁSICO</v>
      </c>
      <c r="B670" t="s">
        <v>242</v>
      </c>
      <c r="C670" s="1">
        <v>67996266684</v>
      </c>
      <c r="D670" s="60">
        <v>62955505312487</v>
      </c>
      <c r="E670" s="63" t="s">
        <v>433</v>
      </c>
      <c r="F670" t="s">
        <v>434</v>
      </c>
      <c r="G670" s="4">
        <v>45717</v>
      </c>
      <c r="H670" s="4" t="str">
        <f>Faturamento!$B323&amp;Faturamento!$G323</f>
        <v>10/1939035-045809</v>
      </c>
      <c r="I670" t="s">
        <v>435</v>
      </c>
      <c r="J670">
        <v>71</v>
      </c>
      <c r="K670" s="3">
        <v>227.63</v>
      </c>
      <c r="L670" s="3">
        <v>210.34</v>
      </c>
      <c r="M670" s="5" t="str">
        <f>IF(Faturamento!$S323&lt;&gt;"","Não emitido",IF(Faturamento!$I323="NÃO","Pendente Fatura", IF(Faturamento!$R323&lt;&gt;"","Aprovado",IF(Faturamento!$O323&lt;&gt;0,"Pendente Emissão","Processo de Calculo"))))</f>
        <v>Aprovado</v>
      </c>
      <c r="N670" s="3">
        <v>69.16</v>
      </c>
      <c r="O670" s="3">
        <v>51.87</v>
      </c>
      <c r="P670" s="4"/>
      <c r="Q670" s="4"/>
      <c r="R670" s="3">
        <v>51.87</v>
      </c>
      <c r="S670"/>
      <c r="T670" s="51" t="s">
        <v>772</v>
      </c>
      <c r="U670" s="51"/>
      <c r="V670" t="s">
        <v>568</v>
      </c>
      <c r="W670" s="3">
        <v>51.87</v>
      </c>
      <c r="X670" s="123">
        <f>IF(Faturamento!$V317="Pago",IFERROR(W670-R670,0),0)</f>
        <v>0</v>
      </c>
      <c r="Y670" s="4"/>
      <c r="Z670" s="4"/>
      <c r="AA670" s="5"/>
      <c r="AB670" s="5"/>
      <c r="AI670"/>
    </row>
    <row r="671" spans="1:35" hidden="1" x14ac:dyDescent="0.3">
      <c r="A671" s="5" t="str">
        <f>VLOOKUP(B671,base!A:M,11,FALSE)</f>
        <v>TRIFÁSICO</v>
      </c>
      <c r="B671" t="s">
        <v>151</v>
      </c>
      <c r="C671" s="1">
        <v>0</v>
      </c>
      <c r="D671" s="60">
        <v>62955505335851</v>
      </c>
      <c r="E671" s="63" t="s">
        <v>433</v>
      </c>
      <c r="F671" t="s">
        <v>434</v>
      </c>
      <c r="G671" s="4">
        <v>45901</v>
      </c>
      <c r="H671" s="4" t="str">
        <f>Faturamento!$B881&amp;Faturamento!$G881</f>
        <v>10/76927-345717</v>
      </c>
      <c r="I671" t="s">
        <v>435</v>
      </c>
      <c r="J671">
        <v>66</v>
      </c>
      <c r="K671" s="3">
        <v>236.74390624999998</v>
      </c>
      <c r="L671" s="3">
        <v>218.10883053592721</v>
      </c>
      <c r="M671" s="5" t="s">
        <v>1489</v>
      </c>
      <c r="N671" s="3">
        <v>69.383906249999995</v>
      </c>
      <c r="O671" s="3">
        <v>50.75</v>
      </c>
      <c r="P671" s="4">
        <v>45933</v>
      </c>
      <c r="Q671" s="4">
        <v>45943</v>
      </c>
      <c r="R671" s="3">
        <f>O671</f>
        <v>50.75</v>
      </c>
      <c r="S671"/>
      <c r="T671" s="51" t="s">
        <v>1639</v>
      </c>
      <c r="U671" s="51" t="s">
        <v>1640</v>
      </c>
      <c r="V671" t="s">
        <v>568</v>
      </c>
      <c r="W671" s="3">
        <f>O671</f>
        <v>50.75</v>
      </c>
      <c r="X671" s="123">
        <f>IF(Faturamento!$V314="Pago",IFERROR(W671-R671,0),0)</f>
        <v>0</v>
      </c>
      <c r="Y671" s="4"/>
      <c r="Z671" s="4"/>
      <c r="AA671" s="5"/>
      <c r="AB671" s="5"/>
      <c r="AI671"/>
    </row>
    <row r="672" spans="1:35" hidden="1" x14ac:dyDescent="0.3">
      <c r="A672" s="5" t="str">
        <f>VLOOKUP(B672,base!A:M,11,FALSE)</f>
        <v>BIFÁSICO</v>
      </c>
      <c r="B672" s="37" t="s">
        <v>280</v>
      </c>
      <c r="C672" s="56">
        <v>0</v>
      </c>
      <c r="D672" s="59">
        <v>62955505015512</v>
      </c>
      <c r="E672" s="37" t="s">
        <v>433</v>
      </c>
      <c r="F672" s="37" t="s">
        <v>434</v>
      </c>
      <c r="G672" s="52">
        <v>45901</v>
      </c>
      <c r="H672" s="52" t="str">
        <f>Faturamento!$B882&amp;Faturamento!$G882</f>
        <v>10/142353-245717</v>
      </c>
      <c r="I672" s="37" t="s">
        <v>435</v>
      </c>
      <c r="J672">
        <v>66</v>
      </c>
      <c r="K672" s="3">
        <v>279.26213114754097</v>
      </c>
      <c r="L672" s="3">
        <v>260.62753218910962</v>
      </c>
      <c r="M672" s="5" t="s">
        <v>1489</v>
      </c>
      <c r="N672" s="53">
        <v>69.382131147540989</v>
      </c>
      <c r="O672" s="53">
        <v>50.75</v>
      </c>
      <c r="P672" s="52">
        <v>45933</v>
      </c>
      <c r="Q672" s="52">
        <v>45943</v>
      </c>
      <c r="R672" s="53">
        <f>O672</f>
        <v>50.75</v>
      </c>
      <c r="S672" s="37"/>
      <c r="T672" s="51" t="s">
        <v>1641</v>
      </c>
      <c r="U672" s="51" t="s">
        <v>1642</v>
      </c>
      <c r="V672" s="37" t="s">
        <v>568</v>
      </c>
      <c r="W672" s="53">
        <f>R672</f>
        <v>50.75</v>
      </c>
      <c r="X672" s="123">
        <f>IF(Faturamento!$V315="Pago",IFERROR(W672-R672,0),0)</f>
        <v>0</v>
      </c>
      <c r="Y672" s="52"/>
      <c r="Z672" s="52"/>
      <c r="AA672" s="5"/>
      <c r="AB672" s="5"/>
      <c r="AI672"/>
    </row>
    <row r="673" spans="1:35" hidden="1" x14ac:dyDescent="0.3">
      <c r="A673" s="5" t="str">
        <f>VLOOKUP(B673,base!A:M,11,FALSE)</f>
        <v>BIFÁSICO</v>
      </c>
      <c r="B673" t="s">
        <v>202</v>
      </c>
      <c r="C673" s="56">
        <v>67999031330</v>
      </c>
      <c r="D673">
        <v>62955505017051</v>
      </c>
      <c r="E673" s="37" t="s">
        <v>433</v>
      </c>
      <c r="F673" t="s">
        <v>108</v>
      </c>
      <c r="G673" s="4">
        <v>45931</v>
      </c>
      <c r="H673" s="52" t="str">
        <f>Faturamento!$B963&amp;Faturamento!$G963</f>
        <v>10/512142-145839</v>
      </c>
      <c r="I673" s="37" t="s">
        <v>435</v>
      </c>
      <c r="J673">
        <v>61</v>
      </c>
      <c r="K673" s="3">
        <v>143.60111111111112</v>
      </c>
      <c r="L673" s="3">
        <v>124.02325413238742</v>
      </c>
      <c r="M673" s="5" t="s">
        <v>1489</v>
      </c>
      <c r="N673" s="53">
        <v>70.001111111111115</v>
      </c>
      <c r="O673" s="53">
        <v>50.42</v>
      </c>
      <c r="P673" s="52">
        <v>45967</v>
      </c>
      <c r="Q673" s="52">
        <v>45974</v>
      </c>
      <c r="R673" s="53">
        <v>50.42</v>
      </c>
      <c r="S673" s="37"/>
      <c r="T673" s="3" t="str">
        <f>D673&amp;R673</f>
        <v>6295550501705150,42</v>
      </c>
      <c r="U673" s="3" t="s">
        <v>1775</v>
      </c>
      <c r="V673" s="37" t="s">
        <v>568</v>
      </c>
      <c r="W673" s="13">
        <f>R673</f>
        <v>50.42</v>
      </c>
      <c r="X673" s="124">
        <f>IF(Faturamento!$V965="Pago",IFERROR(W673-R673,0),0)</f>
        <v>0</v>
      </c>
    </row>
    <row r="674" spans="1:35" hidden="1" x14ac:dyDescent="0.3">
      <c r="A674" s="5" t="str">
        <f>VLOOKUP(B674,base!A:M,11,FALSE)</f>
        <v>BIFÁSICO</v>
      </c>
      <c r="B674" t="s">
        <v>153</v>
      </c>
      <c r="C674" s="56">
        <v>67996446178</v>
      </c>
      <c r="D674">
        <v>62955505405140</v>
      </c>
      <c r="E674" s="37" t="s">
        <v>433</v>
      </c>
      <c r="F674" t="s">
        <v>108</v>
      </c>
      <c r="G674" s="4">
        <v>45931</v>
      </c>
      <c r="H674" s="52" t="str">
        <f>Faturamento!$B915&amp;Faturamento!$G915</f>
        <v>10/113971-645748</v>
      </c>
      <c r="I674" s="37" t="s">
        <v>435</v>
      </c>
      <c r="J674">
        <v>75</v>
      </c>
      <c r="K674" s="3">
        <v>387.314798206278</v>
      </c>
      <c r="L674" s="3">
        <v>365.21879693766488</v>
      </c>
      <c r="M674" s="5" t="s">
        <v>1489</v>
      </c>
      <c r="N674" s="53">
        <v>79.004798206278011</v>
      </c>
      <c r="O674" s="53">
        <v>56.91</v>
      </c>
      <c r="P674" s="52">
        <v>45967</v>
      </c>
      <c r="Q674" s="52">
        <v>45974</v>
      </c>
      <c r="R674" s="53">
        <v>56.91</v>
      </c>
      <c r="S674" s="37"/>
      <c r="T674" s="3" t="str">
        <f>D674&amp;R674</f>
        <v>6295550540514056,91</v>
      </c>
      <c r="U674" s="3" t="s">
        <v>1727</v>
      </c>
      <c r="V674" s="37" t="s">
        <v>369</v>
      </c>
      <c r="X674" s="124">
        <f>IF(Faturamento!$V917="Pago",IFERROR(W674-R674,0),0)</f>
        <v>0</v>
      </c>
      <c r="Z674" s="196" t="s">
        <v>1795</v>
      </c>
    </row>
    <row r="675" spans="1:35" hidden="1" x14ac:dyDescent="0.3">
      <c r="A675" s="5" t="str">
        <f>VLOOKUP(B675,base!A:M,11,FALSE)</f>
        <v>TRIFÁSICO</v>
      </c>
      <c r="B675" t="s">
        <v>191</v>
      </c>
      <c r="C675" s="1">
        <v>67991767866</v>
      </c>
      <c r="D675" s="60">
        <v>62955505461210</v>
      </c>
      <c r="E675" s="63" t="s">
        <v>433</v>
      </c>
      <c r="F675" t="s">
        <v>434</v>
      </c>
      <c r="G675" s="4">
        <v>45839</v>
      </c>
      <c r="H675" s="4" t="str">
        <f>Faturamento!$B637&amp;Faturamento!$G637</f>
        <v>10/2794432-145778</v>
      </c>
      <c r="I675" t="s">
        <v>435</v>
      </c>
      <c r="J675" s="37">
        <v>54</v>
      </c>
      <c r="K675" s="53">
        <v>240.79019999999997</v>
      </c>
      <c r="L675" s="53">
        <v>226.38383411999999</v>
      </c>
      <c r="M675" s="5" t="str">
        <f>IF(Faturamento!$S637&lt;&gt;"","Não emitido",IF(Faturamento!$I637="NÃO","Pendente Fatura", IF(Faturamento!$R637&lt;&gt;"","Aprovado",IF(Faturamento!$O637&lt;&gt;0,"Pendente Emissão","Processo de Calculo"))))</f>
        <v>Aprovado</v>
      </c>
      <c r="N675" s="3">
        <v>64.420200000000008</v>
      </c>
      <c r="O675" s="3">
        <v>50.01</v>
      </c>
      <c r="P675" s="4">
        <v>45910</v>
      </c>
      <c r="Q675" s="4">
        <v>45920</v>
      </c>
      <c r="R675" s="3">
        <v>50.01</v>
      </c>
      <c r="S675"/>
      <c r="T675" s="51" t="s">
        <v>1188</v>
      </c>
      <c r="U675" s="51" t="s">
        <v>1189</v>
      </c>
      <c r="V675" t="s">
        <v>568</v>
      </c>
      <c r="W675" s="3">
        <v>50.01</v>
      </c>
      <c r="X675" s="123">
        <f>IF(Faturamento!$V313="Pago",IFERROR(W675-R675,0),0)</f>
        <v>0</v>
      </c>
      <c r="Y675" s="4"/>
      <c r="Z675" s="4"/>
      <c r="AA675" s="5"/>
      <c r="AB675" s="5"/>
      <c r="AI675"/>
    </row>
    <row r="676" spans="1:35" hidden="1" x14ac:dyDescent="0.3">
      <c r="A676" s="5" t="str">
        <f>VLOOKUP(B676,base!A:M,11,FALSE)</f>
        <v>TRIFÁSICO</v>
      </c>
      <c r="B676" t="s">
        <v>177</v>
      </c>
      <c r="C676" s="1" t="s">
        <v>179</v>
      </c>
      <c r="D676" s="60">
        <v>62955505015350</v>
      </c>
      <c r="E676" s="63" t="s">
        <v>433</v>
      </c>
      <c r="F676" t="s">
        <v>434</v>
      </c>
      <c r="G676" s="4">
        <v>45839</v>
      </c>
      <c r="H676" s="4" t="str">
        <f>Faturamento!$B639&amp;Faturamento!$G639</f>
        <v>10/952579-145717</v>
      </c>
      <c r="I676" t="s">
        <v>435</v>
      </c>
      <c r="J676" s="37">
        <v>54</v>
      </c>
      <c r="K676" s="53">
        <v>217.73019999999997</v>
      </c>
      <c r="L676" s="53">
        <v>203.32383411999999</v>
      </c>
      <c r="M676" s="5" t="str">
        <f>IF(Faturamento!$S639&lt;&gt;"","Não emitido",IF(Faturamento!$I639="NÃO","Pendente Fatura", IF(Faturamento!$R639&lt;&gt;"","Aprovado",IF(Faturamento!$O639&lt;&gt;0,"Pendente Emissão","Processo de Calculo"))))</f>
        <v>Aprovado</v>
      </c>
      <c r="N676" s="3">
        <v>64.120200000000011</v>
      </c>
      <c r="O676" s="3">
        <v>49.71</v>
      </c>
      <c r="P676" s="4">
        <v>45910</v>
      </c>
      <c r="Q676" s="4">
        <v>45920</v>
      </c>
      <c r="R676" s="3">
        <v>49.71</v>
      </c>
      <c r="S676"/>
      <c r="T676" s="51" t="s">
        <v>1193</v>
      </c>
      <c r="U676" s="51" t="s">
        <v>1194</v>
      </c>
      <c r="V676" t="s">
        <v>568</v>
      </c>
      <c r="W676" s="3">
        <v>49.71</v>
      </c>
      <c r="X676" s="123">
        <f>IF(Faturamento!$V312="Pago",IFERROR(W676-R676,0),0)</f>
        <v>0</v>
      </c>
      <c r="Y676" s="4"/>
      <c r="Z676" s="4"/>
      <c r="AA676" s="5"/>
      <c r="AB676" s="5"/>
      <c r="AI676"/>
    </row>
    <row r="677" spans="1:35" hidden="1" x14ac:dyDescent="0.3">
      <c r="A677" s="5" t="str">
        <f>VLOOKUP(B677,base!A:M,11,FALSE)</f>
        <v>TRIFÁSICO</v>
      </c>
      <c r="B677" t="s">
        <v>206</v>
      </c>
      <c r="C677" s="1">
        <v>67992637973</v>
      </c>
      <c r="D677" s="60">
        <v>62955505017213</v>
      </c>
      <c r="E677" s="63" t="s">
        <v>433</v>
      </c>
      <c r="F677" t="s">
        <v>434</v>
      </c>
      <c r="G677" s="4">
        <v>45689</v>
      </c>
      <c r="H677" s="4" t="str">
        <f>Faturamento!$B161&amp;Faturamento!$G161</f>
        <v>10/1035655-845689</v>
      </c>
      <c r="I677" t="s">
        <v>435</v>
      </c>
      <c r="J677" s="37">
        <v>59</v>
      </c>
      <c r="K677" s="53">
        <v>192.79999999999998</v>
      </c>
      <c r="L677" s="53">
        <v>176.33749999999998</v>
      </c>
      <c r="M677" s="5" t="str">
        <f>IF(Faturamento!$S161&lt;&gt;"","Não emitido",IF(Faturamento!$I161="NÃO","Pendente Fatura", IF(Faturamento!$R161&lt;&gt;"","Aprovado",IF(Faturamento!$O161&lt;&gt;0,"Pendente Emissão","Processo de Calculo"))))</f>
        <v>Aprovado</v>
      </c>
      <c r="N677" s="3">
        <v>65.849999999999994</v>
      </c>
      <c r="O677" s="3">
        <v>49.39</v>
      </c>
      <c r="P677" s="4"/>
      <c r="Q677" s="4"/>
      <c r="R677" s="3">
        <v>49.39</v>
      </c>
      <c r="S677"/>
      <c r="T677" s="51" t="s">
        <v>722</v>
      </c>
      <c r="U677" s="51"/>
      <c r="V677" t="s">
        <v>568</v>
      </c>
      <c r="W677" s="3">
        <v>49.39</v>
      </c>
      <c r="X677" s="123">
        <f>IF(Faturamento!$V311="Pago",IFERROR(W677-R677,0),0)</f>
        <v>0</v>
      </c>
      <c r="Y677" s="4"/>
      <c r="Z677" s="4"/>
      <c r="AA677" s="5"/>
      <c r="AB677" s="5"/>
      <c r="AI677"/>
    </row>
    <row r="678" spans="1:35" hidden="1" x14ac:dyDescent="0.3">
      <c r="A678" s="5" t="str">
        <f>VLOOKUP(B678,base!A:M,11,FALSE)</f>
        <v>BIFÁSICO</v>
      </c>
      <c r="B678" t="s">
        <v>309</v>
      </c>
      <c r="C678" s="1">
        <v>67999516782</v>
      </c>
      <c r="D678" s="60">
        <v>62955505367117</v>
      </c>
      <c r="E678" s="63" t="s">
        <v>433</v>
      </c>
      <c r="F678" t="s">
        <v>434</v>
      </c>
      <c r="G678" s="4">
        <v>45809</v>
      </c>
      <c r="H678" s="4" t="str">
        <f>Faturamento!$B591&amp;Faturamento!$G591</f>
        <v>10/24514-245931</v>
      </c>
      <c r="I678" t="s">
        <v>435</v>
      </c>
      <c r="J678" s="37">
        <v>65</v>
      </c>
      <c r="K678" s="53">
        <v>150.02666666666667</v>
      </c>
      <c r="L678" s="53">
        <v>134.59644069458483</v>
      </c>
      <c r="M678" s="5" t="str">
        <f>IF(Faturamento!$S591&lt;&gt;"","Não emitido",IF(Faturamento!$I591="NÃO","Pendente Fatura", IF(Faturamento!$R591&lt;&gt;"","Aprovado",IF(Faturamento!$O591&lt;&gt;0,"Pendente Emissão","Processo de Calculo"))))</f>
        <v>Aprovado</v>
      </c>
      <c r="N678" s="3">
        <v>65.036666666666676</v>
      </c>
      <c r="O678" s="3">
        <v>48.78</v>
      </c>
      <c r="P678" s="4">
        <v>45860</v>
      </c>
      <c r="Q678" s="4">
        <v>45871</v>
      </c>
      <c r="R678" s="3">
        <v>48.78</v>
      </c>
      <c r="S678"/>
      <c r="T678" s="51" t="s">
        <v>1141</v>
      </c>
      <c r="U678" s="51" t="s">
        <v>1142</v>
      </c>
      <c r="V678" t="s">
        <v>568</v>
      </c>
      <c r="W678" s="3">
        <v>48.78</v>
      </c>
      <c r="X678" s="123">
        <f>IF(Faturamento!$V310="Pago",IFERROR(W678-R678,0),0)</f>
        <v>0</v>
      </c>
      <c r="Y678" s="4">
        <v>45925</v>
      </c>
      <c r="Z678" s="4"/>
      <c r="AA678" s="5"/>
      <c r="AB678" s="5"/>
      <c r="AI678"/>
    </row>
    <row r="679" spans="1:35" hidden="1" x14ac:dyDescent="0.3">
      <c r="A679" s="5" t="str">
        <f>VLOOKUP(B679,base!A:M,11,FALSE)</f>
        <v>TRIFÁSICO</v>
      </c>
      <c r="B679" t="s">
        <v>156</v>
      </c>
      <c r="C679" s="1">
        <v>67996446178</v>
      </c>
      <c r="D679" s="60">
        <v>62955505080098</v>
      </c>
      <c r="E679" s="63" t="s">
        <v>433</v>
      </c>
      <c r="F679" t="s">
        <v>434</v>
      </c>
      <c r="G679" s="4">
        <v>45689</v>
      </c>
      <c r="H679" s="4" t="str">
        <f>Faturamento!$B147&amp;Faturamento!$G147</f>
        <v>10/2794432-145901</v>
      </c>
      <c r="I679" t="s">
        <v>435</v>
      </c>
      <c r="J679" s="37">
        <v>58</v>
      </c>
      <c r="K679" s="53"/>
      <c r="L679" s="53"/>
      <c r="M679" s="5" t="str">
        <f>IF(Faturamento!$S147&lt;&gt;"","Não emitido",IF(Faturamento!$I147="NÃO","Pendente Fatura", IF(Faturamento!$R147&lt;&gt;"","Aprovado",IF(Faturamento!$O147&lt;&gt;0,"Pendente Emissão","Processo de Calculo"))))</f>
        <v>Aprovado</v>
      </c>
      <c r="N679" s="3">
        <v>64.739999999999995</v>
      </c>
      <c r="O679" s="3">
        <v>48.56</v>
      </c>
      <c r="P679" s="4"/>
      <c r="Q679" s="4"/>
      <c r="S679" t="s">
        <v>708</v>
      </c>
      <c r="T679" s="51" t="s">
        <v>456</v>
      </c>
      <c r="U679" s="51"/>
      <c r="V679" t="s">
        <v>438</v>
      </c>
      <c r="W679" s="3">
        <v>0</v>
      </c>
      <c r="X679" s="123">
        <f>IF(Faturamento!$V62="Pago",IFERROR(W679-R679,0),0)</f>
        <v>0</v>
      </c>
      <c r="Y679" s="4"/>
      <c r="Z679" s="4"/>
      <c r="AA679" s="5"/>
      <c r="AB679" s="5"/>
      <c r="AI679"/>
    </row>
    <row r="680" spans="1:35" hidden="1" x14ac:dyDescent="0.3">
      <c r="A680" s="5" t="str">
        <f>VLOOKUP(B680,base!A:M,11,FALSE)</f>
        <v>TRIFÁSICO</v>
      </c>
      <c r="B680" t="s">
        <v>232</v>
      </c>
      <c r="C680" s="1" t="s">
        <v>234</v>
      </c>
      <c r="D680" s="60">
        <v>62955505287601</v>
      </c>
      <c r="E680" s="63" t="s">
        <v>433</v>
      </c>
      <c r="F680" t="s">
        <v>434</v>
      </c>
      <c r="G680" s="4">
        <v>45778</v>
      </c>
      <c r="H680" s="4" t="str">
        <f>Faturamento!$B505&amp;Faturamento!$G505</f>
        <v>10/466560-045658</v>
      </c>
      <c r="I680" t="s">
        <v>435</v>
      </c>
      <c r="J680">
        <v>66</v>
      </c>
      <c r="K680" s="3">
        <v>213.24213483146065</v>
      </c>
      <c r="L680" s="3">
        <v>197.09660112359546</v>
      </c>
      <c r="M680" s="5" t="str">
        <f>IF(Faturamento!$S505&lt;&gt;"","Não emitido",IF(Faturamento!$I505="NÃO","Pendente Fatura", IF(Faturamento!$R505&lt;&gt;"","Aprovado",IF(Faturamento!$O505&lt;&gt;0,"Pendente Emissão","Processo de Calculo"))))</f>
        <v>Aprovado</v>
      </c>
      <c r="N680" s="3">
        <v>64.582134831460664</v>
      </c>
      <c r="O680" s="3">
        <v>48.44</v>
      </c>
      <c r="P680" s="4"/>
      <c r="Q680" s="4"/>
      <c r="R680" s="3">
        <v>48.44</v>
      </c>
      <c r="S680"/>
      <c r="T680" s="51" t="s">
        <v>992</v>
      </c>
      <c r="U680" s="51"/>
      <c r="V680" t="s">
        <v>568</v>
      </c>
      <c r="W680" s="3">
        <v>48.44</v>
      </c>
      <c r="X680" s="123">
        <f>IF(Faturamento!$V309="Pago",IFERROR(W680-R680,0),0)</f>
        <v>0</v>
      </c>
      <c r="Y680" s="4"/>
      <c r="Z680" s="4"/>
      <c r="AA680" s="5"/>
      <c r="AB680" s="5"/>
      <c r="AI680"/>
    </row>
    <row r="681" spans="1:35" hidden="1" x14ac:dyDescent="0.3">
      <c r="A681" s="5" t="str">
        <f>VLOOKUP(B681,base!A:M,11,FALSE)</f>
        <v>TRIFÁSICO</v>
      </c>
      <c r="B681" s="37" t="s">
        <v>156</v>
      </c>
      <c r="C681" s="56">
        <v>67996446178</v>
      </c>
      <c r="D681" s="59">
        <v>62955505080098</v>
      </c>
      <c r="E681" s="37" t="s">
        <v>433</v>
      </c>
      <c r="F681" s="37" t="s">
        <v>434</v>
      </c>
      <c r="G681" s="52">
        <v>45748</v>
      </c>
      <c r="H681" s="52" t="str">
        <f>Faturamento!$B366&amp;Faturamento!$G366</f>
        <v>10/81222-245870</v>
      </c>
      <c r="I681" s="37" t="s">
        <v>435</v>
      </c>
      <c r="J681" s="37">
        <v>57</v>
      </c>
      <c r="K681" s="53">
        <v>191.6</v>
      </c>
      <c r="L681" s="53">
        <v>175.655</v>
      </c>
      <c r="M681" s="5" t="str">
        <f>IF(Faturamento!$S366&lt;&gt;"","Não emitido",IF(Faturamento!$I366="NÃO","Pendente Fatura", IF(Faturamento!$R366&lt;&gt;"","Aprovado",IF(Faturamento!$O366&lt;&gt;0,"Pendente Emissão","Processo de Calculo"))))</f>
        <v>Aprovado</v>
      </c>
      <c r="N681" s="53">
        <v>63.78</v>
      </c>
      <c r="O681" s="53">
        <v>47.84</v>
      </c>
      <c r="P681" s="52"/>
      <c r="Q681" s="52"/>
      <c r="R681" s="53">
        <v>47.84</v>
      </c>
      <c r="S681" s="37"/>
      <c r="T681" s="51" t="s">
        <v>866</v>
      </c>
      <c r="U681" s="51" t="e">
        <v>#N/A</v>
      </c>
      <c r="V681" s="37" t="s">
        <v>568</v>
      </c>
      <c r="W681" s="53">
        <v>63.78</v>
      </c>
      <c r="X681" s="123">
        <f>IF(Faturamento!$V341="Pago",IFERROR(W681-R681,0),0)</f>
        <v>15.939999999999998</v>
      </c>
      <c r="Y681" s="52">
        <v>45931</v>
      </c>
      <c r="Z681" s="52"/>
      <c r="AA681" s="5"/>
      <c r="AB681" s="5"/>
      <c r="AI681"/>
    </row>
    <row r="682" spans="1:35" hidden="1" x14ac:dyDescent="0.3">
      <c r="A682" s="5" t="str">
        <f>VLOOKUP(B682,base!A:M,11,FALSE)</f>
        <v>TRIFÁSICO</v>
      </c>
      <c r="B682" s="37" t="s">
        <v>211</v>
      </c>
      <c r="C682" s="56">
        <v>67996266684</v>
      </c>
      <c r="D682" s="59">
        <v>62955505157066</v>
      </c>
      <c r="E682" s="37" t="s">
        <v>433</v>
      </c>
      <c r="F682" s="37" t="s">
        <v>434</v>
      </c>
      <c r="G682" s="52">
        <v>45809</v>
      </c>
      <c r="H682" s="52" t="str">
        <f>Faturamento!$B580&amp;Faturamento!$G580</f>
        <v>10/252817-245748</v>
      </c>
      <c r="I682" s="37" t="s">
        <v>435</v>
      </c>
      <c r="J682" s="37">
        <v>62</v>
      </c>
      <c r="K682" s="53">
        <v>176.63133333333337</v>
      </c>
      <c r="L682" s="53">
        <v>161.8453317514344</v>
      </c>
      <c r="M682" s="5" t="str">
        <f>IF(Faturamento!$S580&lt;&gt;"","Não emitido",IF(Faturamento!$I580="NÃO","Pendente Fatura", IF(Faturamento!$R580&lt;&gt;"","Aprovado",IF(Faturamento!$O580&lt;&gt;0,"Pendente Emissão","Processo de Calculo"))))</f>
        <v>Aprovado</v>
      </c>
      <c r="N682" s="53">
        <v>62.321333333333321</v>
      </c>
      <c r="O682" s="53">
        <v>46.74</v>
      </c>
      <c r="P682" s="52">
        <v>45860</v>
      </c>
      <c r="Q682" s="52">
        <v>45871</v>
      </c>
      <c r="R682" s="53">
        <v>46.74</v>
      </c>
      <c r="S682" s="37"/>
      <c r="T682" s="51" t="s">
        <v>1119</v>
      </c>
      <c r="U682" s="51" t="s">
        <v>1120</v>
      </c>
      <c r="V682" s="37" t="s">
        <v>568</v>
      </c>
      <c r="W682" s="53">
        <v>46.74</v>
      </c>
      <c r="X682" s="123">
        <f>IF(Faturamento!$V308="Pago",IFERROR(W682-R682,0),0)</f>
        <v>0</v>
      </c>
      <c r="Y682" s="52" t="e">
        <f>VLOOKUP(Faturamento!$T580,[3]Sheet1!$F:$H,3,FALSE)</f>
        <v>#N/A</v>
      </c>
      <c r="Z682" s="52"/>
      <c r="AA682" s="5"/>
      <c r="AB682" s="5"/>
      <c r="AI682"/>
    </row>
    <row r="683" spans="1:35" hidden="1" x14ac:dyDescent="0.3">
      <c r="A683" s="5" t="str">
        <f>VLOOKUP(B683,base!A:M,11,FALSE)</f>
        <v>TRIFÁSICO</v>
      </c>
      <c r="B683" s="37" t="s">
        <v>146</v>
      </c>
      <c r="C683" s="56">
        <v>67991306665</v>
      </c>
      <c r="D683" s="59">
        <v>62955505379395</v>
      </c>
      <c r="E683" s="37" t="s">
        <v>433</v>
      </c>
      <c r="F683" s="37" t="s">
        <v>434</v>
      </c>
      <c r="G683" s="52">
        <v>45839</v>
      </c>
      <c r="H683" s="52" t="str">
        <f>Faturamento!$B656&amp;Faturamento!$G656</f>
        <v>10/466560-045809</v>
      </c>
      <c r="I683" s="37" t="s">
        <v>435</v>
      </c>
      <c r="J683" s="37">
        <v>60</v>
      </c>
      <c r="K683" s="53">
        <v>174.45333333333332</v>
      </c>
      <c r="L683" s="53">
        <v>160.60369066666664</v>
      </c>
      <c r="M683" s="5" t="str">
        <f>IF(Faturamento!$S656&lt;&gt;"","Não emitido",IF(Faturamento!$I656="NÃO","Pendente Fatura", IF(Faturamento!$R656&lt;&gt;"","Aprovado",IF(Faturamento!$O656&lt;&gt;0,"Pendente Emissão","Processo de Calculo"))))</f>
        <v>Aprovado</v>
      </c>
      <c r="N683" s="53">
        <v>60.473333333333343</v>
      </c>
      <c r="O683" s="53">
        <v>46.62</v>
      </c>
      <c r="P683" s="52">
        <v>45910</v>
      </c>
      <c r="Q683" s="52">
        <v>45920</v>
      </c>
      <c r="R683" s="53">
        <v>46.62</v>
      </c>
      <c r="S683" s="37"/>
      <c r="T683" s="51" t="s">
        <v>1225</v>
      </c>
      <c r="U683" s="51" t="s">
        <v>1226</v>
      </c>
      <c r="V683" s="37" t="s">
        <v>568</v>
      </c>
      <c r="W683" s="53">
        <v>46.62</v>
      </c>
      <c r="X683" s="123">
        <f>IF(Faturamento!$V307="Pago",IFERROR(W683-R683,0),0)</f>
        <v>0</v>
      </c>
      <c r="Y683" s="52"/>
      <c r="Z683" s="52"/>
      <c r="AA683" s="5"/>
      <c r="AB683" s="5"/>
      <c r="AI683"/>
    </row>
    <row r="684" spans="1:35" hidden="1" x14ac:dyDescent="0.3">
      <c r="A684" s="5" t="str">
        <f>VLOOKUP(B684,base!A:M,11,FALSE)</f>
        <v>MONOFÁSICO</v>
      </c>
      <c r="B684" t="s">
        <v>261</v>
      </c>
      <c r="C684" s="1">
        <v>67999159477</v>
      </c>
      <c r="D684" s="60">
        <v>62955505000167</v>
      </c>
      <c r="E684" s="63" t="s">
        <v>433</v>
      </c>
      <c r="F684" t="s">
        <v>434</v>
      </c>
      <c r="G684" s="4">
        <v>45658</v>
      </c>
      <c r="H684" s="4" t="str">
        <f>Faturamento!$B75&amp;Faturamento!$G75</f>
        <v>10/202838-945748</v>
      </c>
      <c r="I684" t="s">
        <v>435</v>
      </c>
      <c r="J684">
        <v>55</v>
      </c>
      <c r="K684" s="3">
        <v>95.63</v>
      </c>
      <c r="L684" s="3">
        <v>80.284999999999997</v>
      </c>
      <c r="M684" s="5" t="str">
        <f>IF(Faturamento!$S75&lt;&gt;"","Não emitido",IF(Faturamento!$I75="NÃO","Pendente Fatura", IF(Faturamento!$R75&lt;&gt;"","Aprovado",IF(Faturamento!$O75&lt;&gt;0,"Pendente Emissão","Processo de Calculo"))))</f>
        <v>Aprovado</v>
      </c>
      <c r="N684" s="3">
        <v>61.379999999999995</v>
      </c>
      <c r="O684" s="3">
        <v>46.04</v>
      </c>
      <c r="P684" s="4"/>
      <c r="Q684" s="4"/>
      <c r="R684" s="3">
        <v>46.04</v>
      </c>
      <c r="S684"/>
      <c r="T684" s="51" t="s">
        <v>634</v>
      </c>
      <c r="U684" s="51"/>
      <c r="V684" t="s">
        <v>568</v>
      </c>
      <c r="W684" s="3">
        <v>46.04</v>
      </c>
      <c r="X684" s="123">
        <f>IF(Faturamento!$V306="Pago",IFERROR(W684-R684,0),0)</f>
        <v>0</v>
      </c>
      <c r="Y684" s="4"/>
      <c r="Z684" s="4"/>
      <c r="AA684" s="5"/>
      <c r="AB684" s="5"/>
      <c r="AI684"/>
    </row>
    <row r="685" spans="1:35" hidden="1" x14ac:dyDescent="0.3">
      <c r="A685" s="5" t="str">
        <f>VLOOKUP(B685,base!A:M,11,FALSE)</f>
        <v>BIFÁSICO</v>
      </c>
      <c r="B685" t="s">
        <v>309</v>
      </c>
      <c r="C685" s="1">
        <v>67999516782</v>
      </c>
      <c r="D685" s="60">
        <v>62955505367117</v>
      </c>
      <c r="E685" s="63" t="s">
        <v>433</v>
      </c>
      <c r="F685" t="s">
        <v>434</v>
      </c>
      <c r="G685" s="4">
        <v>45717</v>
      </c>
      <c r="H685" s="4" t="str">
        <f>Faturamento!$B327&amp;Faturamento!$G327</f>
        <v>10/109074-545839</v>
      </c>
      <c r="I685" t="s">
        <v>435</v>
      </c>
      <c r="J685">
        <v>0</v>
      </c>
      <c r="M685" s="5" t="str">
        <f>IF(Faturamento!$S327&lt;&gt;"","Não emitido",IF(Faturamento!$I327="NÃO","Pendente Fatura", IF(Faturamento!$R327&lt;&gt;"","Aprovado",IF(Faturamento!$O327&lt;&gt;0,"Pendente Emissão","Processo de Calculo"))))</f>
        <v>Aprovado</v>
      </c>
      <c r="N685" s="3">
        <v>0</v>
      </c>
      <c r="O685" s="3">
        <v>46.03</v>
      </c>
      <c r="P685" s="4"/>
      <c r="Q685" s="4"/>
      <c r="S685" t="s">
        <v>708</v>
      </c>
      <c r="T685" s="51" t="s">
        <v>543</v>
      </c>
      <c r="U685" s="51"/>
      <c r="V685" t="s">
        <v>438</v>
      </c>
      <c r="W685" s="3">
        <v>0</v>
      </c>
      <c r="X685" s="123">
        <f>IF(Faturamento!$V144="Pago",IFERROR(W685-R685,0),0)</f>
        <v>0</v>
      </c>
      <c r="Y685" s="4"/>
      <c r="Z685" s="4"/>
      <c r="AA685" s="5"/>
      <c r="AB685" s="5"/>
      <c r="AI685"/>
    </row>
    <row r="686" spans="1:35" hidden="1" x14ac:dyDescent="0.3">
      <c r="A686" s="5" t="str">
        <f>VLOOKUP(B686,base!A:M,11,FALSE)</f>
        <v>BIFÁSICO</v>
      </c>
      <c r="B686" s="37" t="s">
        <v>309</v>
      </c>
      <c r="C686" s="56">
        <v>67999516782</v>
      </c>
      <c r="D686" s="59">
        <v>62955505367117</v>
      </c>
      <c r="E686" s="37" t="s">
        <v>433</v>
      </c>
      <c r="F686" s="37" t="s">
        <v>434</v>
      </c>
      <c r="G686" s="52">
        <v>45689</v>
      </c>
      <c r="H686" s="52" t="str">
        <f>Faturamento!$B230&amp;Faturamento!$G230</f>
        <v>10/3139326-745901</v>
      </c>
      <c r="I686" s="37" t="s">
        <v>435</v>
      </c>
      <c r="J686" s="37">
        <v>63</v>
      </c>
      <c r="K686" s="53">
        <v>220.91000000000003</v>
      </c>
      <c r="L686" s="53">
        <v>205.56750000000002</v>
      </c>
      <c r="M686" s="5" t="str">
        <f>IF(Faturamento!$S230&lt;&gt;"","Não emitido",IF(Faturamento!$I230="NÃO","Pendente Fatura", IF(Faturamento!$R230&lt;&gt;"","Aprovado",IF(Faturamento!$O230&lt;&gt;0,"Pendente Emissão","Processo de Calculo"))))</f>
        <v>Aprovado</v>
      </c>
      <c r="N686" s="53">
        <v>61.370000000000005</v>
      </c>
      <c r="O686" s="53">
        <v>46.03</v>
      </c>
      <c r="P686" s="52"/>
      <c r="Q686" s="52"/>
      <c r="R686" s="53">
        <v>46.03</v>
      </c>
      <c r="S686" s="37"/>
      <c r="T686" s="51" t="s">
        <v>774</v>
      </c>
      <c r="U686" s="51"/>
      <c r="V686" s="37" t="s">
        <v>568</v>
      </c>
      <c r="W686" s="53">
        <v>46.03</v>
      </c>
      <c r="X686" s="123">
        <f>IF(Faturamento!$V305="Pago",IFERROR(W686-R686,0),0)</f>
        <v>0</v>
      </c>
      <c r="Y686" s="52"/>
      <c r="Z686" s="52"/>
      <c r="AA686" s="5"/>
      <c r="AB686" s="5"/>
      <c r="AI686"/>
    </row>
    <row r="687" spans="1:35" hidden="1" x14ac:dyDescent="0.3">
      <c r="A687" s="5" t="str">
        <f>VLOOKUP(B687,base!A:M,11,FALSE)</f>
        <v>BIFÁSICO</v>
      </c>
      <c r="B687" t="s">
        <v>215</v>
      </c>
      <c r="C687" s="85">
        <v>67981311823</v>
      </c>
      <c r="D687" s="60">
        <v>62955505182176</v>
      </c>
      <c r="E687" s="63" t="s">
        <v>433</v>
      </c>
      <c r="F687" t="s">
        <v>434</v>
      </c>
      <c r="G687" s="4">
        <v>45778</v>
      </c>
      <c r="H687" s="4" t="str">
        <f>Faturamento!$B467&amp;Faturamento!$G467</f>
        <v>10/1288241-145870</v>
      </c>
      <c r="I687" t="s">
        <v>435</v>
      </c>
      <c r="J687">
        <v>54</v>
      </c>
      <c r="K687" s="3">
        <v>272.07826347305394</v>
      </c>
      <c r="L687" s="3">
        <v>256.81619760479049</v>
      </c>
      <c r="M687" s="5" t="str">
        <f>IF(Faturamento!$S467&lt;&gt;"","Não emitido",IF(Faturamento!$I467="NÃO","Pendente Fatura", IF(Faturamento!$R467&lt;&gt;"","Aprovado",IF(Faturamento!$O467&lt;&gt;0,"Pendente Emissão","Processo de Calculo"))))</f>
        <v>Aprovado</v>
      </c>
      <c r="N687" s="3">
        <v>61.048263473053893</v>
      </c>
      <c r="O687" s="3">
        <v>45.79</v>
      </c>
      <c r="P687" s="4"/>
      <c r="Q687" s="4"/>
      <c r="R687" s="3">
        <v>45.79</v>
      </c>
      <c r="S687"/>
      <c r="T687" s="51" t="s">
        <v>959</v>
      </c>
      <c r="U687" s="51"/>
      <c r="V687" t="s">
        <v>369</v>
      </c>
      <c r="W687" s="3">
        <v>0</v>
      </c>
      <c r="X687" s="123">
        <f>IF(Faturamento!$V183="Pago",IFERROR(W687-R687,0),0)</f>
        <v>-45.79</v>
      </c>
      <c r="Y687" s="4"/>
      <c r="Z687" s="196" t="s">
        <v>1795</v>
      </c>
      <c r="AA687" s="5"/>
      <c r="AB687" s="5"/>
      <c r="AI687"/>
    </row>
    <row r="688" spans="1:35" hidden="1" x14ac:dyDescent="0.3">
      <c r="A688" s="5" t="str">
        <f>VLOOKUP(B688,base!A:M,11,FALSE)</f>
        <v>TRIFÁSICO</v>
      </c>
      <c r="B688" t="s">
        <v>134</v>
      </c>
      <c r="C688" s="56">
        <v>67999516782</v>
      </c>
      <c r="D688">
        <v>62955505892114</v>
      </c>
      <c r="E688" s="37" t="s">
        <v>433</v>
      </c>
      <c r="F688" t="s">
        <v>108</v>
      </c>
      <c r="G688" s="4">
        <v>45931</v>
      </c>
      <c r="H688" s="52" t="str">
        <f>Faturamento!$B971&amp;Faturamento!$G971</f>
        <v>10/135237-645870</v>
      </c>
      <c r="I688" s="37" t="s">
        <v>435</v>
      </c>
      <c r="J688">
        <v>58</v>
      </c>
      <c r="K688" s="3">
        <v>230.40979999999996</v>
      </c>
      <c r="L688" s="3">
        <v>210.84629367341319</v>
      </c>
      <c r="M688" s="5" t="s">
        <v>1489</v>
      </c>
      <c r="N688" s="53">
        <v>69.94980000000001</v>
      </c>
      <c r="O688" s="53">
        <v>50.39</v>
      </c>
      <c r="P688" s="52">
        <v>45967</v>
      </c>
      <c r="Q688" s="52">
        <v>45974</v>
      </c>
      <c r="R688" s="53">
        <v>50.39</v>
      </c>
      <c r="S688" s="37"/>
      <c r="T688" s="3" t="str">
        <f>D688&amp;R688</f>
        <v>6295550589211450,39</v>
      </c>
      <c r="U688" s="3" t="s">
        <v>1783</v>
      </c>
      <c r="V688" s="37" t="s">
        <v>369</v>
      </c>
      <c r="X688" s="124">
        <f>IF(Faturamento!$V973="Pago",IFERROR(W688-R688,0),0)</f>
        <v>0</v>
      </c>
      <c r="Z688" s="196" t="s">
        <v>1795</v>
      </c>
    </row>
    <row r="689" spans="1:35" hidden="1" x14ac:dyDescent="0.3">
      <c r="A689" s="5" t="str">
        <f>VLOOKUP(B689,base!A:M,11,FALSE)</f>
        <v>TRIFÁSICO</v>
      </c>
      <c r="B689" t="s">
        <v>134</v>
      </c>
      <c r="C689" s="1">
        <v>67999516782</v>
      </c>
      <c r="D689" s="60">
        <v>62955505892114</v>
      </c>
      <c r="E689" s="63" t="s">
        <v>433</v>
      </c>
      <c r="F689" t="s">
        <v>434</v>
      </c>
      <c r="G689" s="4">
        <v>45778</v>
      </c>
      <c r="H689" s="4" t="str">
        <f>Faturamento!$B459&amp;Faturamento!$G459</f>
        <v>10/511753-645778</v>
      </c>
      <c r="I689" t="s">
        <v>435</v>
      </c>
      <c r="J689">
        <v>53</v>
      </c>
      <c r="K689" s="3">
        <v>257.7688</v>
      </c>
      <c r="L689" s="3">
        <v>242.64910000000003</v>
      </c>
      <c r="M689" s="5" t="str">
        <f>IF(Faturamento!$S459&lt;&gt;"","Não emitido",IF(Faturamento!$I459="NÃO","Pendente Fatura", IF(Faturamento!$R459&lt;&gt;"","Aprovado",IF(Faturamento!$O459&lt;&gt;0,"Pendente Emissão","Processo de Calculo"))))</f>
        <v>Aprovado</v>
      </c>
      <c r="N689" s="3">
        <v>60.478800000000007</v>
      </c>
      <c r="O689" s="3">
        <v>45.36</v>
      </c>
      <c r="P689" s="4"/>
      <c r="Q689" s="4"/>
      <c r="R689" s="3">
        <v>45.36</v>
      </c>
      <c r="S689"/>
      <c r="T689" s="51" t="s">
        <v>951</v>
      </c>
      <c r="U689" s="51"/>
      <c r="V689" t="s">
        <v>568</v>
      </c>
      <c r="W689" s="3">
        <v>45.36</v>
      </c>
      <c r="X689" s="123">
        <f>IF(Faturamento!$V303="Pago",IFERROR(W689-R689,0),0)</f>
        <v>0</v>
      </c>
      <c r="Y689" s="4">
        <v>45901</v>
      </c>
      <c r="Z689" s="4"/>
      <c r="AA689" s="5"/>
      <c r="AB689" s="5"/>
      <c r="AI689"/>
    </row>
    <row r="690" spans="1:35" hidden="1" x14ac:dyDescent="0.3">
      <c r="A690" s="5" t="str">
        <f>VLOOKUP(B690,base!A:M,11,FALSE)</f>
        <v>TRIFÁSICO</v>
      </c>
      <c r="B690" t="s">
        <v>287</v>
      </c>
      <c r="C690" s="56" t="s">
        <v>288</v>
      </c>
      <c r="D690">
        <v>62955505273058</v>
      </c>
      <c r="E690" s="37" t="s">
        <v>433</v>
      </c>
      <c r="F690" t="s">
        <v>108</v>
      </c>
      <c r="G690" s="4">
        <v>45931</v>
      </c>
      <c r="H690" s="52" t="str">
        <f>Faturamento!$B966&amp;Faturamento!$G966</f>
        <v>10/505854-045839</v>
      </c>
      <c r="I690" s="37" t="s">
        <v>435</v>
      </c>
      <c r="J690">
        <v>51</v>
      </c>
      <c r="K690" s="3">
        <v>186.82545454545456</v>
      </c>
      <c r="L690" s="3">
        <v>169.57051721437358</v>
      </c>
      <c r="M690" s="5" t="s">
        <v>1489</v>
      </c>
      <c r="N690" s="53">
        <v>61.69545454545456</v>
      </c>
      <c r="O690" s="53">
        <v>44.44</v>
      </c>
      <c r="P690" s="52">
        <v>45967</v>
      </c>
      <c r="Q690" s="52">
        <v>45974</v>
      </c>
      <c r="R690" s="53">
        <v>44.44</v>
      </c>
      <c r="S690" s="37"/>
      <c r="T690" s="3" t="str">
        <f>D690&amp;R690</f>
        <v>6295550527305844,44</v>
      </c>
      <c r="U690" s="3" t="s">
        <v>1778</v>
      </c>
      <c r="V690" s="37" t="s">
        <v>568</v>
      </c>
      <c r="W690">
        <v>61.7</v>
      </c>
      <c r="X690" s="124">
        <f>IF(Faturamento!$V968="Pago",IFERROR(W690-R690,0),0)</f>
        <v>0</v>
      </c>
      <c r="Y690" s="175">
        <v>45992</v>
      </c>
      <c r="Z690" s="175"/>
    </row>
    <row r="691" spans="1:35" hidden="1" x14ac:dyDescent="0.3">
      <c r="A691" s="5" t="str">
        <f>VLOOKUP(B691,base!A:M,11,FALSE)</f>
        <v>TRIFÁSICO</v>
      </c>
      <c r="B691" s="37" t="s">
        <v>206</v>
      </c>
      <c r="C691" s="56">
        <v>67992637973</v>
      </c>
      <c r="D691" s="59">
        <v>62955505017213</v>
      </c>
      <c r="E691" s="37" t="s">
        <v>433</v>
      </c>
      <c r="F691" s="37" t="s">
        <v>434</v>
      </c>
      <c r="G691" s="52">
        <v>45748</v>
      </c>
      <c r="H691" s="52" t="str">
        <f>Faturamento!$B358&amp;Faturamento!$G358</f>
        <v>10/257864-945717</v>
      </c>
      <c r="I691" s="37" t="s">
        <v>435</v>
      </c>
      <c r="J691" s="37">
        <v>55</v>
      </c>
      <c r="K691" s="53">
        <v>185.56</v>
      </c>
      <c r="L691" s="53">
        <v>171.01250000000002</v>
      </c>
      <c r="M691" s="5" t="str">
        <f>IF(Faturamento!$S358&lt;&gt;"","Não emitido",IF(Faturamento!$I358="NÃO","Pendente Fatura", IF(Faturamento!$R358&lt;&gt;"","Aprovado",IF(Faturamento!$O358&lt;&gt;0,"Pendente Emissão","Processo de Calculo"))))</f>
        <v>Aprovado</v>
      </c>
      <c r="N691" s="53">
        <v>58.190000000000005</v>
      </c>
      <c r="O691" s="53">
        <v>43.64</v>
      </c>
      <c r="P691" s="52"/>
      <c r="Q691" s="52"/>
      <c r="R691" s="53">
        <v>43.64</v>
      </c>
      <c r="S691" s="37"/>
      <c r="T691" s="51" t="s">
        <v>858</v>
      </c>
      <c r="U691" s="51"/>
      <c r="V691" s="37" t="s">
        <v>568</v>
      </c>
      <c r="W691" s="53">
        <v>43.64</v>
      </c>
      <c r="X691" s="123">
        <f>IF(Faturamento!$V301="Pago",IFERROR(W691-R691,0),0)</f>
        <v>0</v>
      </c>
      <c r="Y691" s="52"/>
      <c r="Z691" s="52"/>
      <c r="AA691" s="5"/>
      <c r="AB691" s="5"/>
      <c r="AI691"/>
    </row>
    <row r="692" spans="1:35" hidden="1" x14ac:dyDescent="0.3">
      <c r="A692" s="5" t="str">
        <f>VLOOKUP(B692,base!A:M,11,FALSE)</f>
        <v>TRIFÁSICO</v>
      </c>
      <c r="B692" s="37" t="s">
        <v>287</v>
      </c>
      <c r="C692" s="56" t="s">
        <v>288</v>
      </c>
      <c r="D692" s="59">
        <v>62955505273058</v>
      </c>
      <c r="E692" s="37" t="s">
        <v>433</v>
      </c>
      <c r="F692" s="37" t="s">
        <v>434</v>
      </c>
      <c r="G692" s="52">
        <v>45809</v>
      </c>
      <c r="H692" s="52" t="str">
        <f>Faturamento!$B550&amp;Faturamento!$G550</f>
        <v>10/1698130-045809</v>
      </c>
      <c r="I692" s="37" t="s">
        <v>435</v>
      </c>
      <c r="J692" s="37">
        <v>53</v>
      </c>
      <c r="K692" s="53">
        <v>175.9555670103093</v>
      </c>
      <c r="L692" s="53">
        <v>162.18163664426331</v>
      </c>
      <c r="M692" s="5" t="str">
        <f>IF(Faturamento!$S550&lt;&gt;"","Não emitido",IF(Faturamento!$I550="NÃO","Pendente Fatura", IF(Faturamento!$R550&lt;&gt;"","Aprovado",IF(Faturamento!$O550&lt;&gt;0,"Pendente Emissão","Processo de Calculo"))))</f>
        <v>Aprovado</v>
      </c>
      <c r="N692" s="53">
        <v>58.055567010309268</v>
      </c>
      <c r="O692" s="53">
        <v>43.54</v>
      </c>
      <c r="P692" s="52">
        <v>45860</v>
      </c>
      <c r="Q692" s="52">
        <v>45871</v>
      </c>
      <c r="R692" s="53">
        <v>43.54</v>
      </c>
      <c r="S692" s="37"/>
      <c r="T692" s="51" t="s">
        <v>1059</v>
      </c>
      <c r="U692" s="51" t="s">
        <v>1060</v>
      </c>
      <c r="V692" s="37" t="s">
        <v>568</v>
      </c>
      <c r="W692" s="53">
        <v>43.54</v>
      </c>
      <c r="X692" s="123">
        <f>IF(Faturamento!$V300="Pago",IFERROR(W692-R692,0),0)</f>
        <v>0</v>
      </c>
      <c r="Y692" s="52" t="s">
        <v>1015</v>
      </c>
      <c r="Z692" s="52"/>
      <c r="AA692" s="5"/>
      <c r="AB692" s="5"/>
      <c r="AI692"/>
    </row>
    <row r="693" spans="1:35" hidden="1" x14ac:dyDescent="0.3">
      <c r="A693" s="5" t="str">
        <f>VLOOKUP(B693,base!A:M,11,FALSE)</f>
        <v>BIFÁSICO</v>
      </c>
      <c r="B693" s="37" t="s">
        <v>215</v>
      </c>
      <c r="C693" s="85">
        <v>67981311823</v>
      </c>
      <c r="D693" s="59">
        <v>62955505182176</v>
      </c>
      <c r="E693" s="37" t="s">
        <v>433</v>
      </c>
      <c r="F693" s="37" t="s">
        <v>434</v>
      </c>
      <c r="G693" s="52">
        <v>45809</v>
      </c>
      <c r="H693" s="52" t="str">
        <f>Faturamento!$B554&amp;Faturamento!$G554</f>
        <v>10/384823-145689</v>
      </c>
      <c r="I693" s="37" t="s">
        <v>435</v>
      </c>
      <c r="J693" s="37">
        <v>49</v>
      </c>
      <c r="K693" s="53">
        <v>127.76460000000002</v>
      </c>
      <c r="L693" s="53">
        <v>114.25899637070827</v>
      </c>
      <c r="M693" s="5" t="str">
        <f>IF(Faturamento!$S554&lt;&gt;"","Não emitido",IF(Faturamento!$I554="NÃO","Pendente Fatura", IF(Faturamento!$R554&lt;&gt;"","Aprovado",IF(Faturamento!$O554&lt;&gt;0,"Pendente Emissão","Processo de Calculo"))))</f>
        <v>Aprovado</v>
      </c>
      <c r="N693" s="53">
        <v>56.924599999999998</v>
      </c>
      <c r="O693" s="53">
        <v>42.69</v>
      </c>
      <c r="P693" s="52">
        <v>45860</v>
      </c>
      <c r="Q693" s="52">
        <v>45871</v>
      </c>
      <c r="R693" s="53">
        <v>42.69</v>
      </c>
      <c r="S693" s="37"/>
      <c r="T693" s="51" t="s">
        <v>1067</v>
      </c>
      <c r="U693" s="51" t="s">
        <v>1068</v>
      </c>
      <c r="V693" s="37" t="s">
        <v>369</v>
      </c>
      <c r="W693" s="53">
        <v>0</v>
      </c>
      <c r="X693" s="123">
        <f>IF(Faturamento!$V203="Pago",IFERROR(W693-R693,0),0)</f>
        <v>-42.69</v>
      </c>
      <c r="Y693" s="52"/>
      <c r="Z693" s="196" t="s">
        <v>1795</v>
      </c>
      <c r="AA693" s="5"/>
      <c r="AB693" s="5"/>
      <c r="AI693"/>
    </row>
    <row r="694" spans="1:35" hidden="1" x14ac:dyDescent="0.3">
      <c r="A694" s="5" t="str">
        <f>VLOOKUP(B694,base!A:M,11,FALSE)</f>
        <v>BIFÁSICO</v>
      </c>
      <c r="B694" s="37" t="s">
        <v>192</v>
      </c>
      <c r="C694" s="56">
        <v>0</v>
      </c>
      <c r="D694" s="59">
        <v>62955505134449</v>
      </c>
      <c r="E694" s="37" t="s">
        <v>433</v>
      </c>
      <c r="F694" s="37" t="s">
        <v>434</v>
      </c>
      <c r="G694" s="52">
        <v>45870</v>
      </c>
      <c r="H694" s="52" t="str">
        <f>Faturamento!$B798&amp;Faturamento!$G798</f>
        <v>10/202838-945627</v>
      </c>
      <c r="I694" s="37" t="s">
        <v>435</v>
      </c>
      <c r="J694">
        <v>53</v>
      </c>
      <c r="K694" s="3">
        <v>130.60523809523809</v>
      </c>
      <c r="L694" s="3">
        <v>118.35244728161385</v>
      </c>
      <c r="M694" s="5" t="s">
        <v>1489</v>
      </c>
      <c r="N694" s="53">
        <v>54.225238095238083</v>
      </c>
      <c r="O694" s="53">
        <v>41.97</v>
      </c>
      <c r="P694" s="52">
        <v>45910</v>
      </c>
      <c r="Q694" s="52">
        <v>45920</v>
      </c>
      <c r="R694" s="53">
        <v>41.97</v>
      </c>
      <c r="S694" s="37"/>
      <c r="T694" s="51" t="s">
        <v>1484</v>
      </c>
      <c r="U694" s="51" t="s">
        <v>1485</v>
      </c>
      <c r="V694" s="37" t="s">
        <v>702</v>
      </c>
      <c r="W694" s="53">
        <v>0</v>
      </c>
      <c r="X694" s="123">
        <f>IF(Faturamento!$V237="Pago",IFERROR(W694-R694,0),0)</f>
        <v>-41.97</v>
      </c>
      <c r="Y694" s="52"/>
      <c r="Z694" s="52"/>
      <c r="AA694" s="5"/>
      <c r="AB694" s="5"/>
      <c r="AI694" t="s">
        <v>1486</v>
      </c>
    </row>
    <row r="695" spans="1:35" hidden="1" x14ac:dyDescent="0.3">
      <c r="A695" s="5" t="str">
        <f>VLOOKUP(B695,base!A:M,11,FALSE)</f>
        <v>TRIFÁSICO</v>
      </c>
      <c r="B695" t="s">
        <v>287</v>
      </c>
      <c r="C695" s="1" t="s">
        <v>288</v>
      </c>
      <c r="D695" s="60">
        <v>62955505273058</v>
      </c>
      <c r="E695" s="63" t="s">
        <v>433</v>
      </c>
      <c r="F695" t="s">
        <v>434</v>
      </c>
      <c r="G695" s="4">
        <v>45658</v>
      </c>
      <c r="H695" s="4" t="str">
        <f>Faturamento!$B77&amp;Faturamento!$G77</f>
        <v>10/2247256-745658</v>
      </c>
      <c r="I695" t="s">
        <v>435</v>
      </c>
      <c r="J695">
        <v>50</v>
      </c>
      <c r="K695" s="3">
        <v>169.8</v>
      </c>
      <c r="L695" s="3">
        <v>155.84750000000003</v>
      </c>
      <c r="M695" s="5" t="str">
        <f>IF(Faturamento!$S77&lt;&gt;"","Não emitido",IF(Faturamento!$I77="NÃO","Pendente Fatura", IF(Faturamento!$R77&lt;&gt;"","Aprovado",IF(Faturamento!$O77&lt;&gt;0,"Pendente Emissão","Processo de Calculo"))))</f>
        <v>Aprovado</v>
      </c>
      <c r="N695" s="3">
        <v>55.81</v>
      </c>
      <c r="O695" s="3">
        <v>41.86</v>
      </c>
      <c r="P695" s="4"/>
      <c r="Q695" s="4"/>
      <c r="R695" s="3">
        <v>41.86</v>
      </c>
      <c r="S695"/>
      <c r="T695" s="51" t="s">
        <v>636</v>
      </c>
      <c r="U695" s="51"/>
      <c r="V695" t="s">
        <v>568</v>
      </c>
      <c r="W695" s="3">
        <v>41.86</v>
      </c>
      <c r="X695" s="123">
        <f>IF(Faturamento!$V299="Pago",IFERROR(W695-R695,0),0)</f>
        <v>0</v>
      </c>
      <c r="Y695" s="4"/>
      <c r="Z695" s="4"/>
      <c r="AA695" s="5"/>
      <c r="AB695" s="5"/>
      <c r="AI695"/>
    </row>
    <row r="696" spans="1:35" hidden="1" x14ac:dyDescent="0.3">
      <c r="A696" s="5" t="str">
        <f>VLOOKUP(B696,base!A:M,11,FALSE)</f>
        <v>TRIFÁSICO</v>
      </c>
      <c r="B696" s="37" t="s">
        <v>350</v>
      </c>
      <c r="C696" s="56">
        <v>0</v>
      </c>
      <c r="D696" s="59">
        <v>62955505015512</v>
      </c>
      <c r="E696" s="37" t="s">
        <v>433</v>
      </c>
      <c r="F696" s="37" t="s">
        <v>434</v>
      </c>
      <c r="G696" s="52">
        <v>45901</v>
      </c>
      <c r="H696" s="52" t="str">
        <f>Faturamento!$B844&amp;Faturamento!$G844</f>
        <v>10/15297-545689</v>
      </c>
      <c r="I696" s="37" t="s">
        <v>435</v>
      </c>
      <c r="J696">
        <v>47</v>
      </c>
      <c r="K696" s="3">
        <v>230.01179999999999</v>
      </c>
      <c r="L696" s="3">
        <v>214.76675979059183</v>
      </c>
      <c r="M696" s="5" t="s">
        <v>1489</v>
      </c>
      <c r="N696" s="53">
        <v>56.761799999999994</v>
      </c>
      <c r="O696" s="53">
        <v>41.52</v>
      </c>
      <c r="P696" s="52">
        <v>45933</v>
      </c>
      <c r="Q696" s="52">
        <v>45943</v>
      </c>
      <c r="R696" s="53">
        <f>O696</f>
        <v>41.52</v>
      </c>
      <c r="S696" s="37"/>
      <c r="T696" s="51" t="s">
        <v>1568</v>
      </c>
      <c r="U696" s="51" t="s">
        <v>1569</v>
      </c>
      <c r="V696" s="37" t="s">
        <v>568</v>
      </c>
      <c r="W696" s="53">
        <v>56.76</v>
      </c>
      <c r="X696" s="123">
        <f>IF(Faturamento!$V322="Pago",IFERROR(W696-R696,0),0)</f>
        <v>15.239999999999995</v>
      </c>
      <c r="Y696" s="52">
        <v>45957</v>
      </c>
      <c r="Z696" s="52"/>
      <c r="AA696" s="5"/>
      <c r="AB696" s="5"/>
      <c r="AI696"/>
    </row>
    <row r="697" spans="1:35" hidden="1" x14ac:dyDescent="0.3">
      <c r="A697" s="5" t="str">
        <f>VLOOKUP(B697,base!A:M,11,FALSE)</f>
        <v>BIFÁSICO</v>
      </c>
      <c r="B697" t="s">
        <v>309</v>
      </c>
      <c r="C697" s="1">
        <v>67999516782</v>
      </c>
      <c r="D697" s="60">
        <v>62955505367117</v>
      </c>
      <c r="E697" s="63" t="s">
        <v>433</v>
      </c>
      <c r="F697" t="s">
        <v>434</v>
      </c>
      <c r="G697" s="4">
        <v>45778</v>
      </c>
      <c r="H697" s="4" t="str">
        <f>Faturamento!$B521&amp;Faturamento!$G521</f>
        <v>10/239312-245658</v>
      </c>
      <c r="I697" t="s">
        <v>435</v>
      </c>
      <c r="J697">
        <v>57</v>
      </c>
      <c r="K697" s="3">
        <v>136.012</v>
      </c>
      <c r="L697" s="3">
        <v>122.17900000000002</v>
      </c>
      <c r="M697" s="5" t="str">
        <f>IF(Faturamento!$S521&lt;&gt;"","Não emitido",IF(Faturamento!$I521="NÃO","Pendente Fatura", IF(Faturamento!$R521&lt;&gt;"","Aprovado",IF(Faturamento!$O521&lt;&gt;0,"Pendente Emissão","Processo de Calculo"))))</f>
        <v>Aprovado</v>
      </c>
      <c r="N697" s="3">
        <v>55.331999999999994</v>
      </c>
      <c r="O697" s="3">
        <v>41.5</v>
      </c>
      <c r="P697" s="4"/>
      <c r="Q697" s="4"/>
      <c r="R697" s="3">
        <v>41.5</v>
      </c>
      <c r="S697"/>
      <c r="T697" s="51" t="s">
        <v>1006</v>
      </c>
      <c r="U697" s="51"/>
      <c r="V697" t="s">
        <v>568</v>
      </c>
      <c r="W697" s="3">
        <v>41.5</v>
      </c>
      <c r="X697" s="123">
        <f>IF(Faturamento!$V298="Pago",IFERROR(W697-R697,0),0)</f>
        <v>0</v>
      </c>
      <c r="Y697" s="4">
        <v>45925</v>
      </c>
      <c r="Z697" s="4"/>
      <c r="AA697" s="5"/>
      <c r="AB697" s="5"/>
      <c r="AI697"/>
    </row>
    <row r="698" spans="1:35" hidden="1" x14ac:dyDescent="0.3">
      <c r="A698" s="5" t="str">
        <f>VLOOKUP(B698,base!A:M,11,FALSE)</f>
        <v>TRIFÁSICO</v>
      </c>
      <c r="B698" t="s">
        <v>294</v>
      </c>
      <c r="C698" s="1">
        <v>67992637973</v>
      </c>
      <c r="D698" s="60">
        <v>62955505367117</v>
      </c>
      <c r="E698" s="63" t="s">
        <v>433</v>
      </c>
      <c r="F698" t="s">
        <v>434</v>
      </c>
      <c r="G698" s="4">
        <v>45809</v>
      </c>
      <c r="H698" s="4" t="str">
        <f>Faturamento!$B535&amp;Faturamento!$G535</f>
        <v>10/3040565-845658</v>
      </c>
      <c r="I698" t="s">
        <v>435</v>
      </c>
      <c r="J698" s="37">
        <v>47</v>
      </c>
      <c r="K698" s="53">
        <v>442.86706093189963</v>
      </c>
      <c r="L698" s="53">
        <v>429.8519897462586</v>
      </c>
      <c r="M698" s="5" t="str">
        <f>IF(Faturamento!$S535&lt;&gt;"","Não emitido",IF(Faturamento!$I535="NÃO","Pendente Fatura", IF(Faturamento!$R535&lt;&gt;"","Aprovado",IF(Faturamento!$O535&lt;&gt;0,"Pendente Emissão","Processo de Calculo"))))</f>
        <v>Aprovado</v>
      </c>
      <c r="N698" s="3">
        <v>54.857060931899646</v>
      </c>
      <c r="O698" s="3">
        <v>41.14</v>
      </c>
      <c r="P698" s="4">
        <v>45860</v>
      </c>
      <c r="Q698" s="4">
        <v>45871</v>
      </c>
      <c r="R698" s="3">
        <v>41.14</v>
      </c>
      <c r="S698"/>
      <c r="T698" s="51" t="s">
        <v>1025</v>
      </c>
      <c r="U698" s="51" t="s">
        <v>1026</v>
      </c>
      <c r="V698" t="s">
        <v>568</v>
      </c>
      <c r="W698" s="3">
        <v>41.14</v>
      </c>
      <c r="X698" s="123">
        <f>IF(Faturamento!$V297="Pago",IFERROR(W698-R698,0),0)</f>
        <v>0</v>
      </c>
      <c r="Y698" s="4" t="e">
        <f>VLOOKUP(Faturamento!$T535,[3]Sheet1!$F:$H,3,FALSE)</f>
        <v>#N/A</v>
      </c>
      <c r="Z698" s="4"/>
      <c r="AA698" s="5"/>
      <c r="AB698" s="5"/>
      <c r="AI698"/>
    </row>
    <row r="699" spans="1:35" hidden="1" x14ac:dyDescent="0.3">
      <c r="A699" s="5" t="str">
        <f>VLOOKUP(B699,base!A:M,11,FALSE)</f>
        <v>BIFÁSICO</v>
      </c>
      <c r="B699" t="s">
        <v>204</v>
      </c>
      <c r="C699" s="1">
        <v>67992637973</v>
      </c>
      <c r="D699" s="60">
        <v>62955505040894</v>
      </c>
      <c r="E699" s="63" t="s">
        <v>433</v>
      </c>
      <c r="F699" t="s">
        <v>434</v>
      </c>
      <c r="G699" s="4">
        <v>45748</v>
      </c>
      <c r="H699" s="4" t="str">
        <f>Faturamento!$B365&amp;Faturamento!$G365</f>
        <v>10/142353-245809</v>
      </c>
      <c r="I699" t="s">
        <v>435</v>
      </c>
      <c r="J699" s="37">
        <v>52</v>
      </c>
      <c r="K699" s="53">
        <v>134.32999999999998</v>
      </c>
      <c r="L699" s="53">
        <v>120.80749999999999</v>
      </c>
      <c r="M699" s="5" t="str">
        <f>IF(Faturamento!$S365&lt;&gt;"","Não emitido",IF(Faturamento!$I365="NÃO","Pendente Fatura", IF(Faturamento!$R365&lt;&gt;"","Aprovado",IF(Faturamento!$O365&lt;&gt;0,"Pendente Emissão","Processo de Calculo"))))</f>
        <v>Aprovado</v>
      </c>
      <c r="N699" s="3">
        <v>54.090000000000011</v>
      </c>
      <c r="O699" s="3">
        <v>40.57</v>
      </c>
      <c r="P699" s="4"/>
      <c r="Q699" s="4"/>
      <c r="R699" s="3">
        <v>40.57</v>
      </c>
      <c r="S699"/>
      <c r="T699" s="51" t="s">
        <v>865</v>
      </c>
      <c r="U699" s="51"/>
      <c r="V699" t="s">
        <v>568</v>
      </c>
      <c r="W699" s="3">
        <v>40.57</v>
      </c>
      <c r="X699" s="123">
        <f>IF(Faturamento!$V296="Pago",IFERROR(W699-R699,0),0)</f>
        <v>0</v>
      </c>
      <c r="Y699" s="4"/>
      <c r="Z699" s="4"/>
      <c r="AA699" s="5"/>
      <c r="AB699" s="5"/>
      <c r="AI699"/>
    </row>
    <row r="700" spans="1:35" hidden="1" x14ac:dyDescent="0.3">
      <c r="A700" s="5" t="str">
        <f>VLOOKUP(B700,base!A:M,11,FALSE)</f>
        <v>TRIFÁSICO</v>
      </c>
      <c r="B700" s="37" t="s">
        <v>189</v>
      </c>
      <c r="C700" s="56">
        <v>67991767866</v>
      </c>
      <c r="D700" s="59">
        <v>62955505461210</v>
      </c>
      <c r="E700" s="37" t="s">
        <v>433</v>
      </c>
      <c r="F700" s="37" t="s">
        <v>434</v>
      </c>
      <c r="G700" s="52">
        <v>45809</v>
      </c>
      <c r="H700" s="52" t="str">
        <f>Faturamento!$B548&amp;Faturamento!$G548</f>
        <v>10/384823-145901</v>
      </c>
      <c r="I700" s="37" t="s">
        <v>435</v>
      </c>
      <c r="J700" s="37">
        <v>46</v>
      </c>
      <c r="K700" s="53">
        <v>788.56786618444846</v>
      </c>
      <c r="L700" s="53">
        <v>775.88713245037593</v>
      </c>
      <c r="M700" s="5" t="str">
        <f>IF(Faturamento!$S548&lt;&gt;"","Não emitido",IF(Faturamento!$I548="NÃO","Pendente Fatura", IF(Faturamento!$R548&lt;&gt;"","Aprovado",IF(Faturamento!$O548&lt;&gt;0,"Pendente Emissão","Processo de Calculo"))))</f>
        <v>Aprovado</v>
      </c>
      <c r="N700" s="53">
        <v>53.447866184448472</v>
      </c>
      <c r="O700" s="53">
        <v>40.090000000000003</v>
      </c>
      <c r="P700" s="52">
        <v>45860</v>
      </c>
      <c r="Q700" s="52">
        <v>45871</v>
      </c>
      <c r="R700" s="53">
        <v>40.090000000000003</v>
      </c>
      <c r="S700" s="37"/>
      <c r="T700" s="51" t="s">
        <v>1055</v>
      </c>
      <c r="U700" s="51" t="s">
        <v>1056</v>
      </c>
      <c r="V700" s="37" t="s">
        <v>568</v>
      </c>
      <c r="W700" s="53">
        <v>40.090000000000003</v>
      </c>
      <c r="X700" s="123">
        <f>IF(Faturamento!$V295="Pago",IFERROR(W700-R700,0),0)</f>
        <v>0</v>
      </c>
      <c r="Y700" s="52"/>
      <c r="Z700" s="52"/>
      <c r="AA700" s="5"/>
      <c r="AB700" s="5"/>
      <c r="AI700"/>
    </row>
    <row r="701" spans="1:35" hidden="1" x14ac:dyDescent="0.3">
      <c r="A701" s="5" t="str">
        <f>VLOOKUP(B701,base!A:M,11,FALSE)</f>
        <v>TRIFÁSICO</v>
      </c>
      <c r="B701" t="s">
        <v>232</v>
      </c>
      <c r="C701" s="56" t="s">
        <v>234</v>
      </c>
      <c r="D701">
        <v>62955505287601</v>
      </c>
      <c r="E701" s="37" t="s">
        <v>433</v>
      </c>
      <c r="F701" t="s">
        <v>108</v>
      </c>
      <c r="G701" s="4">
        <v>45931</v>
      </c>
      <c r="H701" s="52" t="str">
        <f>Faturamento!$B930&amp;Faturamento!$G930</f>
        <v>10/10731-845778</v>
      </c>
      <c r="I701" s="37" t="s">
        <v>435</v>
      </c>
      <c r="J701">
        <v>52</v>
      </c>
      <c r="K701" s="3">
        <v>198.8365217391304</v>
      </c>
      <c r="L701" s="3">
        <v>183.45793358133039</v>
      </c>
      <c r="M701" s="5" t="s">
        <v>1489</v>
      </c>
      <c r="N701" s="53">
        <v>54.986521739130417</v>
      </c>
      <c r="O701" s="53">
        <v>39.61</v>
      </c>
      <c r="P701" s="52">
        <v>45967</v>
      </c>
      <c r="Q701" s="52">
        <v>45974</v>
      </c>
      <c r="R701" s="53">
        <v>39.61</v>
      </c>
      <c r="S701" s="37"/>
      <c r="T701" s="3" t="str">
        <f>D701&amp;R701</f>
        <v>6295550528760139,61</v>
      </c>
      <c r="U701" s="3" t="s">
        <v>1742</v>
      </c>
      <c r="V701" s="37" t="s">
        <v>568</v>
      </c>
      <c r="W701" s="13">
        <f>R701</f>
        <v>39.61</v>
      </c>
      <c r="X701" s="124">
        <f>IF(Faturamento!$V932="Pago",IFERROR(W701-R701,0),0)</f>
        <v>0</v>
      </c>
    </row>
    <row r="702" spans="1:35" hidden="1" x14ac:dyDescent="0.3">
      <c r="A702" s="5" t="str">
        <f>VLOOKUP(B702,base!A:M,11,FALSE)</f>
        <v>BIFÁSICO</v>
      </c>
      <c r="B702" t="s">
        <v>137</v>
      </c>
      <c r="C702" s="1">
        <v>67992637973</v>
      </c>
      <c r="D702" s="60">
        <v>62955505040894</v>
      </c>
      <c r="E702" s="63" t="s">
        <v>433</v>
      </c>
      <c r="F702" t="s">
        <v>434</v>
      </c>
      <c r="G702" s="4">
        <v>45839</v>
      </c>
      <c r="H702" s="4" t="str">
        <f>Faturamento!$B671&amp;Faturamento!$G671</f>
        <v>10/1288241-145901</v>
      </c>
      <c r="I702" t="s">
        <v>435</v>
      </c>
      <c r="J702" s="37">
        <v>51</v>
      </c>
      <c r="K702" s="53">
        <v>108.17785714285716</v>
      </c>
      <c r="L702" s="53">
        <v>96.405540714285735</v>
      </c>
      <c r="M702" s="5" t="str">
        <f>IF(Faturamento!$S671&lt;&gt;"","Não emitido",IF(Faturamento!$I671="NÃO","Pendente Fatura", IF(Faturamento!$R671&lt;&gt;"","Aprovado",IF(Faturamento!$O671&lt;&gt;0,"Pendente Emissão","Processo de Calculo"))))</f>
        <v>Aprovado</v>
      </c>
      <c r="N702" s="3">
        <v>51.31785714285715</v>
      </c>
      <c r="O702" s="3">
        <v>39.549999999999997</v>
      </c>
      <c r="P702" s="4">
        <v>45910</v>
      </c>
      <c r="Q702" s="4">
        <v>45920</v>
      </c>
      <c r="R702" s="3">
        <v>39.549999999999997</v>
      </c>
      <c r="S702"/>
      <c r="T702" s="51" t="s">
        <v>1255</v>
      </c>
      <c r="U702" s="51" t="s">
        <v>1256</v>
      </c>
      <c r="V702" t="s">
        <v>568</v>
      </c>
      <c r="W702" s="3">
        <v>39.549999999999997</v>
      </c>
      <c r="X702" s="123">
        <f>IF(Faturamento!$V294="Pago",IFERROR(W702-R702,0),0)</f>
        <v>0</v>
      </c>
      <c r="Y702" s="4"/>
      <c r="Z702" s="4"/>
      <c r="AA702" s="5"/>
      <c r="AB702" s="5"/>
      <c r="AI702"/>
    </row>
    <row r="703" spans="1:35" hidden="1" x14ac:dyDescent="0.3">
      <c r="A703" s="5" t="str">
        <f>VLOOKUP(B703,base!A:M,11,FALSE)</f>
        <v>BIFÁSICO</v>
      </c>
      <c r="B703" s="37" t="s">
        <v>271</v>
      </c>
      <c r="C703" s="56" t="s">
        <v>126</v>
      </c>
      <c r="D703" s="59">
        <v>62955505269026</v>
      </c>
      <c r="E703" s="37" t="s">
        <v>433</v>
      </c>
      <c r="F703" s="37" t="s">
        <v>434</v>
      </c>
      <c r="G703" s="52">
        <v>45870</v>
      </c>
      <c r="H703" s="52" t="str">
        <f>Faturamento!$B778&amp;Faturamento!$G778</f>
        <v>10/530195-745839</v>
      </c>
      <c r="I703" s="37" t="s">
        <v>435</v>
      </c>
      <c r="J703">
        <v>51</v>
      </c>
      <c r="K703" s="3">
        <v>110.06214285714287</v>
      </c>
      <c r="L703" s="3">
        <v>98.544424803903212</v>
      </c>
      <c r="M703" s="5" t="s">
        <v>1489</v>
      </c>
      <c r="N703" s="53">
        <v>50.972142857142863</v>
      </c>
      <c r="O703" s="53">
        <v>39.450000000000003</v>
      </c>
      <c r="P703" s="52">
        <v>45910</v>
      </c>
      <c r="Q703" s="52">
        <v>45920</v>
      </c>
      <c r="R703" s="53">
        <v>39.450000000000003</v>
      </c>
      <c r="S703" s="37"/>
      <c r="T703" s="51" t="s">
        <v>1452</v>
      </c>
      <c r="U703" s="51" t="s">
        <v>1453</v>
      </c>
      <c r="V703" s="37" t="s">
        <v>568</v>
      </c>
      <c r="W703" s="53">
        <v>50.97</v>
      </c>
      <c r="X703" s="123">
        <f>IF(Faturamento!$V234="Pago",IFERROR(W703-R703,0),0)</f>
        <v>11.519999999999996</v>
      </c>
      <c r="Y703" s="52">
        <v>45979</v>
      </c>
      <c r="Z703" s="52"/>
      <c r="AA703" s="5"/>
      <c r="AB703" s="5"/>
      <c r="AI703"/>
    </row>
    <row r="704" spans="1:35" hidden="1" x14ac:dyDescent="0.3">
      <c r="A704" s="5" t="str">
        <f>VLOOKUP(B704,base!A:M,11,FALSE)</f>
        <v>TRIFÁSICO</v>
      </c>
      <c r="B704" t="s">
        <v>232</v>
      </c>
      <c r="C704" s="1">
        <v>0</v>
      </c>
      <c r="D704" s="60">
        <v>62955505287601</v>
      </c>
      <c r="E704" s="63" t="s">
        <v>433</v>
      </c>
      <c r="F704" t="s">
        <v>434</v>
      </c>
      <c r="G704" s="4">
        <v>45901</v>
      </c>
      <c r="H704" s="4" t="str">
        <f>Faturamento!$B891&amp;Faturamento!$G891</f>
        <v>10/399338-345717</v>
      </c>
      <c r="I704" t="s">
        <v>435</v>
      </c>
      <c r="J704">
        <v>51</v>
      </c>
      <c r="K704" s="3">
        <v>196.74228260869563</v>
      </c>
      <c r="L704" s="3">
        <v>182.34313733691567</v>
      </c>
      <c r="M704" s="5" t="s">
        <v>1489</v>
      </c>
      <c r="N704" s="3">
        <v>53.612282608695651</v>
      </c>
      <c r="O704" s="3">
        <v>39.21</v>
      </c>
      <c r="P704" s="4">
        <v>45933</v>
      </c>
      <c r="Q704" s="4">
        <v>45943</v>
      </c>
      <c r="R704" s="3">
        <f>O704</f>
        <v>39.21</v>
      </c>
      <c r="S704"/>
      <c r="T704" s="51" t="s">
        <v>1652</v>
      </c>
      <c r="U704" s="51" t="s">
        <v>1653</v>
      </c>
      <c r="V704" t="s">
        <v>568</v>
      </c>
      <c r="W704" s="3">
        <f>R704</f>
        <v>39.21</v>
      </c>
      <c r="X704" s="123">
        <f>IF(Faturamento!$V293="Pago",IFERROR(W704-R704,0),0)</f>
        <v>0</v>
      </c>
      <c r="Y704" s="4"/>
      <c r="Z704" s="4"/>
      <c r="AA704" s="5"/>
      <c r="AB704" s="5"/>
      <c r="AI704"/>
    </row>
    <row r="705" spans="1:35" hidden="1" x14ac:dyDescent="0.3">
      <c r="A705" s="5" t="str">
        <f>VLOOKUP(B705,base!A:M,11,FALSE)</f>
        <v>BIFÁSICO</v>
      </c>
      <c r="B705" s="37" t="s">
        <v>348</v>
      </c>
      <c r="C705" s="56">
        <v>67996150274</v>
      </c>
      <c r="D705" s="59">
        <v>62955505897930</v>
      </c>
      <c r="E705" s="37" t="s">
        <v>433</v>
      </c>
      <c r="F705" s="37" t="s">
        <v>434</v>
      </c>
      <c r="G705" s="52">
        <v>45658</v>
      </c>
      <c r="H705" s="52" t="str">
        <f>Faturamento!$B136&amp;Faturamento!$G136</f>
        <v>10/1939035-045689</v>
      </c>
      <c r="I705" s="37" t="s">
        <v>435</v>
      </c>
      <c r="J705">
        <v>52</v>
      </c>
      <c r="K705" s="3">
        <v>113.31</v>
      </c>
      <c r="L705" s="3">
        <v>100.37</v>
      </c>
      <c r="M705" s="5" t="str">
        <f>IF(Faturamento!$S136&lt;&gt;"","Não emitido",IF(Faturamento!$I136="NÃO","Pendente Fatura", IF(Faturamento!$R136&lt;&gt;"","Aprovado",IF(Faturamento!$O136&lt;&gt;0,"Pendente Emissão","Processo de Calculo"))))</f>
        <v>Aprovado</v>
      </c>
      <c r="N705" s="53">
        <v>51.76</v>
      </c>
      <c r="O705" s="53">
        <v>38.82</v>
      </c>
      <c r="P705" s="52"/>
      <c r="Q705" s="52"/>
      <c r="R705" s="53">
        <v>38.82</v>
      </c>
      <c r="S705" s="37"/>
      <c r="T705" s="51" t="s">
        <v>693</v>
      </c>
      <c r="U705" s="51"/>
      <c r="V705" s="37" t="s">
        <v>568</v>
      </c>
      <c r="W705" s="53">
        <v>38.82</v>
      </c>
      <c r="X705" s="123">
        <f>IF(Faturamento!$V292="Pago",IFERROR(W705-R705,0),0)</f>
        <v>0</v>
      </c>
      <c r="Y705" s="52"/>
      <c r="Z705" s="52"/>
      <c r="AA705" s="5"/>
      <c r="AB705" s="5"/>
      <c r="AI705"/>
    </row>
    <row r="706" spans="1:35" hidden="1" x14ac:dyDescent="0.3">
      <c r="A706" s="5" t="str">
        <f>VLOOKUP(B706,base!A:M,11,FALSE)</f>
        <v>TRIFÁSICO</v>
      </c>
      <c r="B706" t="s">
        <v>232</v>
      </c>
      <c r="C706" s="1" t="s">
        <v>234</v>
      </c>
      <c r="D706" s="60">
        <v>62955505287601</v>
      </c>
      <c r="E706" s="63" t="s">
        <v>433</v>
      </c>
      <c r="F706" t="s">
        <v>434</v>
      </c>
      <c r="G706" s="4">
        <v>45717</v>
      </c>
      <c r="H706" s="4" t="str">
        <f>Faturamento!$B311&amp;Faturamento!$G311</f>
        <v>10/52987-545931</v>
      </c>
      <c r="I706" t="s">
        <v>435</v>
      </c>
      <c r="J706">
        <v>53</v>
      </c>
      <c r="K706" s="3">
        <v>237.90999999999997</v>
      </c>
      <c r="L706" s="3">
        <v>225.00249999999997</v>
      </c>
      <c r="M706" s="5" t="str">
        <f>IF(Faturamento!$S311&lt;&gt;"","Não emitido",IF(Faturamento!$I311="NÃO","Pendente Fatura", IF(Faturamento!$R311&lt;&gt;"","Aprovado",IF(Faturamento!$O311&lt;&gt;0,"Pendente Emissão","Processo de Calculo"))))</f>
        <v>Aprovado</v>
      </c>
      <c r="N706" s="3">
        <v>121.75999999999999</v>
      </c>
      <c r="O706" s="3">
        <v>38.72</v>
      </c>
      <c r="P706" s="4"/>
      <c r="Q706" s="4"/>
      <c r="R706" s="3">
        <v>38.72</v>
      </c>
      <c r="S706"/>
      <c r="T706" s="51" t="s">
        <v>832</v>
      </c>
      <c r="U706" s="51"/>
      <c r="V706" t="s">
        <v>568</v>
      </c>
      <c r="W706" s="3">
        <v>38.72</v>
      </c>
      <c r="X706" s="123">
        <f>IF(Faturamento!$V291="Pago",IFERROR(W706-R706,0),0)</f>
        <v>0</v>
      </c>
      <c r="Y706" s="4"/>
      <c r="Z706" s="4"/>
      <c r="AA706" s="5"/>
      <c r="AB706" s="5"/>
      <c r="AI706"/>
    </row>
    <row r="707" spans="1:35" hidden="1" x14ac:dyDescent="0.3">
      <c r="A707" s="5" t="str">
        <f>VLOOKUP(B707,base!A:M,11,FALSE)</f>
        <v>TRIFÁSICO</v>
      </c>
      <c r="B707" s="37" t="s">
        <v>213</v>
      </c>
      <c r="C707" s="56">
        <v>67992637973</v>
      </c>
      <c r="D707" s="59">
        <v>62955505274020</v>
      </c>
      <c r="E707" s="37" t="s">
        <v>433</v>
      </c>
      <c r="F707" s="37" t="s">
        <v>434</v>
      </c>
      <c r="G707" s="52">
        <v>45809</v>
      </c>
      <c r="H707" s="52" t="str">
        <f>Faturamento!$B572&amp;Faturamento!$G572</f>
        <v>10/1672452-845870</v>
      </c>
      <c r="I707" s="37" t="s">
        <v>435</v>
      </c>
      <c r="J707" s="37">
        <v>51</v>
      </c>
      <c r="K707" s="53">
        <v>204.15463917525773</v>
      </c>
      <c r="L707" s="53">
        <v>191.91833652183948</v>
      </c>
      <c r="M707" s="5" t="str">
        <f>IF(Faturamento!$S572&lt;&gt;"","Não emitido",IF(Faturamento!$I572="NÃO","Pendente Fatura", IF(Faturamento!$R572&lt;&gt;"","Aprovado",IF(Faturamento!$O572&lt;&gt;0,"Pendente Emissão","Processo de Calculo"))))</f>
        <v>Aprovado</v>
      </c>
      <c r="N707" s="53">
        <v>51.574639175257737</v>
      </c>
      <c r="O707" s="53">
        <v>38.68</v>
      </c>
      <c r="P707" s="52">
        <v>45860</v>
      </c>
      <c r="Q707" s="52">
        <v>45871</v>
      </c>
      <c r="R707" s="53">
        <v>38.68</v>
      </c>
      <c r="S707" s="37"/>
      <c r="T707" s="51" t="s">
        <v>1103</v>
      </c>
      <c r="U707" s="51" t="s">
        <v>1104</v>
      </c>
      <c r="V707" s="37" t="s">
        <v>568</v>
      </c>
      <c r="W707" s="53">
        <v>38.68</v>
      </c>
      <c r="X707" s="123">
        <f>IF(Faturamento!$V290="Pago",IFERROR(W707-R707,0),0)</f>
        <v>0</v>
      </c>
      <c r="Y707" s="52" t="s">
        <v>1018</v>
      </c>
      <c r="Z707" s="52"/>
      <c r="AA707" s="5"/>
      <c r="AB707" s="5"/>
      <c r="AI707"/>
    </row>
    <row r="708" spans="1:35" hidden="1" x14ac:dyDescent="0.3">
      <c r="A708" s="5" t="str">
        <f>VLOOKUP(B708,base!A:M,11,FALSE)</f>
        <v>BIFÁSICO</v>
      </c>
      <c r="B708" t="s">
        <v>192</v>
      </c>
      <c r="C708" s="1">
        <v>67999516782</v>
      </c>
      <c r="D708" s="60">
        <v>62955505134449</v>
      </c>
      <c r="E708" s="63" t="s">
        <v>433</v>
      </c>
      <c r="F708" t="s">
        <v>434</v>
      </c>
      <c r="G708" s="4">
        <v>45778</v>
      </c>
      <c r="H708" s="4" t="str">
        <f>Faturamento!$B495&amp;Faturamento!$G495</f>
        <v>10/395471-645839</v>
      </c>
      <c r="I708" t="s">
        <v>435</v>
      </c>
      <c r="J708">
        <v>52</v>
      </c>
      <c r="K708" s="3">
        <v>127.35560975609756</v>
      </c>
      <c r="L708" s="3">
        <v>114.62920731707317</v>
      </c>
      <c r="M708" s="5" t="str">
        <f>IF(Faturamento!$S495&lt;&gt;"","Não emitido",IF(Faturamento!$I495="NÃO","Pendente Fatura", IF(Faturamento!$R495&lt;&gt;"","Aprovado",IF(Faturamento!$O495&lt;&gt;0,"Pendente Emissão","Processo de Calculo"))))</f>
        <v>Aprovado</v>
      </c>
      <c r="N708" s="3">
        <v>50.905609756097569</v>
      </c>
      <c r="O708" s="3">
        <v>38.18</v>
      </c>
      <c r="P708" s="4"/>
      <c r="Q708" s="4"/>
      <c r="R708" s="3">
        <v>38.18</v>
      </c>
      <c r="S708"/>
      <c r="T708" s="51" t="s">
        <v>983</v>
      </c>
      <c r="U708" s="51"/>
      <c r="V708" t="s">
        <v>568</v>
      </c>
      <c r="W708" s="3">
        <v>38.18</v>
      </c>
      <c r="X708" s="123">
        <f>IF(Faturamento!$V289="Pago",IFERROR(W708-R708,0),0)</f>
        <v>0</v>
      </c>
      <c r="Y708" s="4"/>
      <c r="Z708" s="4"/>
      <c r="AA708" s="5"/>
      <c r="AB708" s="5"/>
      <c r="AI708"/>
    </row>
    <row r="709" spans="1:35" hidden="1" x14ac:dyDescent="0.3">
      <c r="A709" s="5" t="str">
        <f>VLOOKUP(B709,base!A:M,11,FALSE)</f>
        <v>BIFÁSICO</v>
      </c>
      <c r="B709" t="s">
        <v>202</v>
      </c>
      <c r="C709" s="1">
        <v>0</v>
      </c>
      <c r="D709" s="60">
        <v>62955505017051</v>
      </c>
      <c r="E709" s="63" t="s">
        <v>433</v>
      </c>
      <c r="F709" t="s">
        <v>434</v>
      </c>
      <c r="G709" s="4">
        <v>45870</v>
      </c>
      <c r="H709" s="4" t="str">
        <f>Faturamento!$B745&amp;Faturamento!$G745</f>
        <v>10/15297-545809</v>
      </c>
      <c r="I709" t="s">
        <v>435</v>
      </c>
      <c r="J709">
        <v>45</v>
      </c>
      <c r="K709" s="3">
        <v>97.907173913043493</v>
      </c>
      <c r="L709" s="3">
        <v>86.937404347358665</v>
      </c>
      <c r="M709" s="5" t="str">
        <f>IF(Faturamento!$S745&lt;&gt;"","Não emitido",IF(Faturamento!$I745="NÃO","Pendente Fatura", IF(Faturamento!$R745&lt;&gt;"","Aprovado",IF(Faturamento!$O745&lt;&gt;0,"Pendente Emissão","Processo de Calculo"))))</f>
        <v>Aprovado</v>
      </c>
      <c r="N709" s="3">
        <v>48.54717391304348</v>
      </c>
      <c r="O709" s="3">
        <v>37.58</v>
      </c>
      <c r="P709" s="4">
        <v>45910</v>
      </c>
      <c r="Q709" s="4">
        <v>45920</v>
      </c>
      <c r="R709" s="3">
        <v>37.58</v>
      </c>
      <c r="S709"/>
      <c r="T709" s="51" t="s">
        <v>1389</v>
      </c>
      <c r="U709" s="51" t="s">
        <v>1390</v>
      </c>
      <c r="V709" t="s">
        <v>568</v>
      </c>
      <c r="W709" s="3">
        <v>37.58</v>
      </c>
      <c r="X709" s="123">
        <f>IF(Faturamento!$V288="Pago",IFERROR(W709-R709,0),0)</f>
        <v>0</v>
      </c>
      <c r="Y709" s="4"/>
      <c r="Z709" s="4"/>
      <c r="AA709" s="5"/>
      <c r="AB709" s="5"/>
      <c r="AI709"/>
    </row>
    <row r="710" spans="1:35" hidden="1" x14ac:dyDescent="0.3">
      <c r="A710" s="5" t="str">
        <f>VLOOKUP(B710,base!A:M,11,FALSE)</f>
        <v>TRIFÁSICO</v>
      </c>
      <c r="B710" t="s">
        <v>307</v>
      </c>
      <c r="C710" s="1">
        <v>67996983476</v>
      </c>
      <c r="D710" s="60">
        <v>62955505182257</v>
      </c>
      <c r="E710" s="63" t="s">
        <v>433</v>
      </c>
      <c r="F710" t="s">
        <v>434</v>
      </c>
      <c r="G710" s="4">
        <v>45839</v>
      </c>
      <c r="H710" s="4" t="str">
        <f>Faturamento!$B681&amp;Faturamento!$G681</f>
        <v>10/135237-645748</v>
      </c>
      <c r="I710" t="s">
        <v>435</v>
      </c>
      <c r="J710" s="37">
        <v>47</v>
      </c>
      <c r="K710" s="53">
        <v>192.61119565217393</v>
      </c>
      <c r="L710" s="53">
        <v>181.76259536956522</v>
      </c>
      <c r="M710" s="5" t="str">
        <f>IF(Faturamento!$S681&lt;&gt;"","Não emitido",IF(Faturamento!$I681="NÃO","Pendente Fatura", IF(Faturamento!$R681&lt;&gt;"","Aprovado",IF(Faturamento!$O681&lt;&gt;0,"Pendente Emissão","Processo de Calculo"))))</f>
        <v>Aprovado</v>
      </c>
      <c r="N710" s="3">
        <v>47.871195652173924</v>
      </c>
      <c r="O710" s="3">
        <v>37.020000000000003</v>
      </c>
      <c r="P710" s="4">
        <v>45910</v>
      </c>
      <c r="Q710" s="4">
        <v>45920</v>
      </c>
      <c r="R710" s="3">
        <v>37.020000000000003</v>
      </c>
      <c r="S710"/>
      <c r="T710" s="51" t="s">
        <v>1275</v>
      </c>
      <c r="U710" s="51" t="s">
        <v>1276</v>
      </c>
      <c r="V710" t="s">
        <v>568</v>
      </c>
      <c r="W710" s="3">
        <v>37.020000000000003</v>
      </c>
      <c r="X710" s="123">
        <f>IF(Faturamento!$V287="Pago",IFERROR(W710-R710,0),0)</f>
        <v>0</v>
      </c>
      <c r="Y710" s="4"/>
      <c r="Z710" s="4"/>
      <c r="AA710" s="5"/>
      <c r="AB710" s="5"/>
      <c r="AI710"/>
    </row>
    <row r="711" spans="1:35" hidden="1" x14ac:dyDescent="0.3">
      <c r="A711" s="5" t="str">
        <f>VLOOKUP(B711,base!A:M,11,FALSE)</f>
        <v>BIFÁSICO</v>
      </c>
      <c r="B711" t="s">
        <v>114</v>
      </c>
      <c r="C711" s="1" t="s">
        <v>116</v>
      </c>
      <c r="D711" s="60">
        <v>62955505393207</v>
      </c>
      <c r="E711" s="63" t="s">
        <v>433</v>
      </c>
      <c r="F711" t="s">
        <v>434</v>
      </c>
      <c r="G711" s="4">
        <v>45658</v>
      </c>
      <c r="H711" s="4" t="str">
        <f>Faturamento!$B45&amp;Faturamento!$G45</f>
        <v>10/3170252-545689</v>
      </c>
      <c r="I711" t="s">
        <v>435</v>
      </c>
      <c r="J711">
        <v>45</v>
      </c>
      <c r="K711" s="3">
        <v>120.97</v>
      </c>
      <c r="L711" s="3">
        <v>108.98250000000002</v>
      </c>
      <c r="M711" s="5" t="str">
        <f>IF(Faturamento!$S45&lt;&gt;"","Não emitido",IF(Faturamento!$I45="NÃO","Pendente Fatura", IF(Faturamento!$R45&lt;&gt;"","Aprovado",IF(Faturamento!$O45&lt;&gt;0,"Pendente Emissão","Processo de Calculo"))))</f>
        <v>Aprovado</v>
      </c>
      <c r="N711" s="3">
        <v>47.949999999999989</v>
      </c>
      <c r="O711" s="3">
        <v>35.96</v>
      </c>
      <c r="P711" s="4"/>
      <c r="Q711" s="4"/>
      <c r="R711" s="3">
        <v>35.96</v>
      </c>
      <c r="S711"/>
      <c r="T711" s="51" t="s">
        <v>567</v>
      </c>
      <c r="U711" s="51"/>
      <c r="V711" t="s">
        <v>568</v>
      </c>
      <c r="W711" s="3">
        <v>35.96</v>
      </c>
      <c r="X711" s="123">
        <f>IF(Faturamento!$V286="Pago",IFERROR(W711-R711,0),0)</f>
        <v>0</v>
      </c>
      <c r="Y711" s="4"/>
      <c r="Z711" s="4"/>
      <c r="AA711" s="5">
        <v>283032</v>
      </c>
      <c r="AB711" s="5">
        <v>502</v>
      </c>
      <c r="AC711" s="5" t="s">
        <v>434</v>
      </c>
      <c r="AD711" s="5" t="s">
        <v>569</v>
      </c>
      <c r="AE711" s="5">
        <v>72.260000000000005</v>
      </c>
      <c r="AG711" s="5" t="s">
        <v>570</v>
      </c>
      <c r="AH711" s="5" t="s">
        <v>441</v>
      </c>
      <c r="AI711"/>
    </row>
    <row r="712" spans="1:35" hidden="1" x14ac:dyDescent="0.3">
      <c r="A712" s="5" t="str">
        <f>VLOOKUP(B712,base!A:M,11,FALSE)</f>
        <v>TRIFÁSICO</v>
      </c>
      <c r="B712" s="37" t="s">
        <v>211</v>
      </c>
      <c r="C712" s="56">
        <v>67996266684</v>
      </c>
      <c r="D712" s="59">
        <v>62955505157066</v>
      </c>
      <c r="E712" s="37" t="s">
        <v>433</v>
      </c>
      <c r="F712" s="37" t="s">
        <v>434</v>
      </c>
      <c r="G712" s="52">
        <v>45839</v>
      </c>
      <c r="H712" s="52" t="str">
        <f>Faturamento!$B680&amp;Faturamento!$G680</f>
        <v>10/283183-245778</v>
      </c>
      <c r="I712" s="37" t="s">
        <v>435</v>
      </c>
      <c r="J712" s="37">
        <v>45</v>
      </c>
      <c r="K712" s="53">
        <v>160.50064516129032</v>
      </c>
      <c r="L712" s="53">
        <v>150.11555916129032</v>
      </c>
      <c r="M712" s="5" t="str">
        <f>IF(Faturamento!$S680&lt;&gt;"","Não emitido",IF(Faturamento!$I680="NÃO","Pendente Fatura", IF(Faturamento!$R680&lt;&gt;"","Aprovado",IF(Faturamento!$O680&lt;&gt;0,"Pendente Emissão","Processo de Calculo"))))</f>
        <v>Aprovado</v>
      </c>
      <c r="N712" s="53">
        <v>46.070645161290315</v>
      </c>
      <c r="O712" s="53">
        <v>35.69</v>
      </c>
      <c r="P712" s="52">
        <v>45910</v>
      </c>
      <c r="Q712" s="52">
        <v>45920</v>
      </c>
      <c r="R712" s="53">
        <v>35.69</v>
      </c>
      <c r="S712" s="37"/>
      <c r="T712" s="51" t="s">
        <v>1273</v>
      </c>
      <c r="U712" s="51" t="s">
        <v>1274</v>
      </c>
      <c r="V712" s="37" t="s">
        <v>568</v>
      </c>
      <c r="W712" s="53">
        <v>35.69</v>
      </c>
      <c r="X712" s="123">
        <f>IF(Faturamento!$V285="Pago",IFERROR(W712-R712,0),0)</f>
        <v>0</v>
      </c>
      <c r="Y712" s="52"/>
      <c r="Z712" s="52"/>
      <c r="AA712" s="5"/>
      <c r="AB712" s="5"/>
      <c r="AI712"/>
    </row>
    <row r="713" spans="1:35" hidden="1" x14ac:dyDescent="0.3">
      <c r="A713" s="5" t="str">
        <f>VLOOKUP(B713,base!A:M,11,FALSE)</f>
        <v>TRIFÁSICO</v>
      </c>
      <c r="B713" t="s">
        <v>350</v>
      </c>
      <c r="C713" s="56">
        <v>67993496482</v>
      </c>
      <c r="D713">
        <v>62955505015512</v>
      </c>
      <c r="E713" s="37" t="s">
        <v>433</v>
      </c>
      <c r="F713" t="s">
        <v>108</v>
      </c>
      <c r="G713" s="4">
        <v>45931</v>
      </c>
      <c r="H713" s="52" t="str">
        <f>Faturamento!$B975&amp;Faturamento!$G975</f>
        <v>10/925970-645870</v>
      </c>
      <c r="I713" s="37" t="s">
        <v>435</v>
      </c>
      <c r="J713">
        <v>40</v>
      </c>
      <c r="K713" s="3">
        <v>225.56399999999999</v>
      </c>
      <c r="L713" s="3">
        <v>211.74113364891355</v>
      </c>
      <c r="M713" s="5" t="s">
        <v>1489</v>
      </c>
      <c r="N713" s="53">
        <v>49.423999999999999</v>
      </c>
      <c r="O713" s="53">
        <v>35.6</v>
      </c>
      <c r="P713" s="52">
        <v>45967</v>
      </c>
      <c r="Q713" s="52">
        <v>45974</v>
      </c>
      <c r="R713" s="53">
        <v>35.6</v>
      </c>
      <c r="S713" s="37"/>
      <c r="T713" s="3" t="str">
        <f>D713&amp;R713</f>
        <v>6295550501551235,6</v>
      </c>
      <c r="U713" s="3" t="s">
        <v>1787</v>
      </c>
      <c r="V713" s="37" t="s">
        <v>568</v>
      </c>
      <c r="W713">
        <v>49.42</v>
      </c>
      <c r="X713" s="124">
        <f>IF(Faturamento!$V977="Pago",IFERROR(W713-R713,0),0)</f>
        <v>0</v>
      </c>
      <c r="Y713" s="175">
        <v>45995</v>
      </c>
      <c r="Z713" s="196" t="s">
        <v>1795</v>
      </c>
    </row>
    <row r="714" spans="1:35" hidden="1" x14ac:dyDescent="0.3">
      <c r="A714" s="5" t="str">
        <f>VLOOKUP(B714,base!A:M,11,FALSE)</f>
        <v>BIFÁSICO</v>
      </c>
      <c r="B714" s="37" t="s">
        <v>202</v>
      </c>
      <c r="C714" s="56">
        <v>67999031330</v>
      </c>
      <c r="D714" s="59">
        <v>62955505017051</v>
      </c>
      <c r="E714" s="37" t="s">
        <v>433</v>
      </c>
      <c r="F714" s="37" t="s">
        <v>434</v>
      </c>
      <c r="G714" s="52">
        <v>45809</v>
      </c>
      <c r="H714" s="52" t="str">
        <f>Faturamento!$B552&amp;Faturamento!$G552</f>
        <v>10/1130988-745870</v>
      </c>
      <c r="I714" s="37" t="s">
        <v>435</v>
      </c>
      <c r="J714" s="37">
        <v>44</v>
      </c>
      <c r="K714" s="53">
        <v>103.93304347826088</v>
      </c>
      <c r="L714" s="53">
        <v>92.733920510095714</v>
      </c>
      <c r="M714" s="5" t="str">
        <f>IF(Faturamento!$S552&lt;&gt;"","Não emitido",IF(Faturamento!$I552="NÃO","Pendente Fatura", IF(Faturamento!$R552&lt;&gt;"","Aprovado",IF(Faturamento!$O552&lt;&gt;0,"Pendente Emissão","Processo de Calculo"))))</f>
        <v>Aprovado</v>
      </c>
      <c r="N714" s="53">
        <v>47.203043478260867</v>
      </c>
      <c r="O714" s="53">
        <v>35.4</v>
      </c>
      <c r="P714" s="52">
        <v>45860</v>
      </c>
      <c r="Q714" s="52">
        <v>45871</v>
      </c>
      <c r="R714" s="53">
        <v>35.4</v>
      </c>
      <c r="S714" s="37"/>
      <c r="T714" s="51" t="s">
        <v>1063</v>
      </c>
      <c r="U714" s="51" t="s">
        <v>1064</v>
      </c>
      <c r="V714" s="37" t="s">
        <v>568</v>
      </c>
      <c r="W714" s="53">
        <v>35.4</v>
      </c>
      <c r="X714" s="123">
        <f>IF(Faturamento!$V284="Pago",IFERROR(W714-R714,0),0)</f>
        <v>0</v>
      </c>
      <c r="Y714" s="52" t="s">
        <v>1043</v>
      </c>
      <c r="Z714" s="52"/>
      <c r="AA714" s="5"/>
      <c r="AB714" s="5"/>
      <c r="AI714"/>
    </row>
    <row r="715" spans="1:35" hidden="1" x14ac:dyDescent="0.3">
      <c r="A715" s="5" t="str">
        <f>VLOOKUP(B715,base!A:M,11,FALSE)</f>
        <v>TRIFÁSICO</v>
      </c>
      <c r="B715" s="37" t="s">
        <v>322</v>
      </c>
      <c r="C715" s="56">
        <v>67998363594</v>
      </c>
      <c r="D715" s="59">
        <v>62955505182257</v>
      </c>
      <c r="E715" s="37" t="s">
        <v>433</v>
      </c>
      <c r="F715" s="37" t="s">
        <v>434</v>
      </c>
      <c r="G715" s="52">
        <v>45839</v>
      </c>
      <c r="H715" s="52" t="str">
        <f>Faturamento!$B694&amp;Faturamento!$G694</f>
        <v>10/175073-645870</v>
      </c>
      <c r="I715" s="37" t="s">
        <v>435</v>
      </c>
      <c r="J715" s="37">
        <v>43</v>
      </c>
      <c r="K715" s="53">
        <v>188.09279569892476</v>
      </c>
      <c r="L715" s="53">
        <v>178.16601636559142</v>
      </c>
      <c r="M715" s="5" t="str">
        <f>IF(Faturamento!$S694&lt;&gt;"","Não emitido",IF(Faturamento!$I694="NÃO","Pendente Fatura", IF(Faturamento!$R694&lt;&gt;"","Aprovado",IF(Faturamento!$O694&lt;&gt;0,"Pendente Emissão","Processo de Calculo"))))</f>
        <v>Aprovado</v>
      </c>
      <c r="N715" s="53">
        <v>44.85279569892473</v>
      </c>
      <c r="O715" s="53">
        <v>34.93</v>
      </c>
      <c r="P715" s="52">
        <v>45910</v>
      </c>
      <c r="Q715" s="52">
        <v>45920</v>
      </c>
      <c r="R715" s="53">
        <v>34.93</v>
      </c>
      <c r="S715" s="37"/>
      <c r="T715" s="51" t="s">
        <v>1295</v>
      </c>
      <c r="U715" s="51" t="s">
        <v>1296</v>
      </c>
      <c r="V715" s="37" t="s">
        <v>568</v>
      </c>
      <c r="W715" s="53">
        <v>44.85</v>
      </c>
      <c r="X715" s="123">
        <f>IF(Faturamento!$V302="Pago",IFERROR(W715-R715,0),0)</f>
        <v>9.9200000000000017</v>
      </c>
      <c r="Y715" s="52">
        <v>45919</v>
      </c>
      <c r="Z715" s="52"/>
      <c r="AA715" s="5"/>
      <c r="AB715" s="5"/>
      <c r="AI715"/>
    </row>
    <row r="716" spans="1:35" hidden="1" x14ac:dyDescent="0.3">
      <c r="A716" s="5" t="str">
        <f>VLOOKUP(B716,base!A:M,11,FALSE)</f>
        <v>TRIFÁSICO</v>
      </c>
      <c r="B716" t="s">
        <v>343</v>
      </c>
      <c r="C716" s="56">
        <v>67992637973</v>
      </c>
      <c r="D716">
        <v>62955505358630</v>
      </c>
      <c r="E716" s="37" t="s">
        <v>433</v>
      </c>
      <c r="F716" t="s">
        <v>108</v>
      </c>
      <c r="G716" s="4">
        <v>45931</v>
      </c>
      <c r="H716" s="52" t="str">
        <f>Faturamento!$B928&amp;Faturamento!$G928</f>
        <v>10/2247256-745778</v>
      </c>
      <c r="I716" s="37" t="s">
        <v>435</v>
      </c>
      <c r="J716">
        <v>45</v>
      </c>
      <c r="K716" s="3">
        <v>193.9983870967742</v>
      </c>
      <c r="L716" s="3">
        <v>180.67212279838594</v>
      </c>
      <c r="M716" s="5" t="s">
        <v>1489</v>
      </c>
      <c r="N716" s="53">
        <v>47.648387096774194</v>
      </c>
      <c r="O716" s="53">
        <v>34.32</v>
      </c>
      <c r="P716" s="52">
        <v>45967</v>
      </c>
      <c r="Q716" s="52">
        <v>45974</v>
      </c>
      <c r="R716" s="53">
        <v>34.32</v>
      </c>
      <c r="S716" s="37"/>
      <c r="T716" s="3" t="str">
        <f>D716&amp;R716</f>
        <v>6295550535863034,32</v>
      </c>
      <c r="U716" s="3" t="s">
        <v>1740</v>
      </c>
      <c r="V716" s="37" t="s">
        <v>568</v>
      </c>
      <c r="W716" s="13">
        <f>R716</f>
        <v>34.32</v>
      </c>
      <c r="X716" s="124">
        <f>IF(Faturamento!$V930="Pago",IFERROR(W716-R716,0),0)</f>
        <v>0</v>
      </c>
    </row>
    <row r="717" spans="1:35" hidden="1" x14ac:dyDescent="0.3">
      <c r="A717" s="5" t="str">
        <f>VLOOKUP(B717,base!A:M,11,FALSE)</f>
        <v>TRIFÁSICO</v>
      </c>
      <c r="B717" t="s">
        <v>307</v>
      </c>
      <c r="C717" s="1">
        <v>67996983476</v>
      </c>
      <c r="D717" s="60">
        <v>62955505182257</v>
      </c>
      <c r="E717" s="63" t="s">
        <v>433</v>
      </c>
      <c r="F717" t="s">
        <v>434</v>
      </c>
      <c r="G717" s="4">
        <v>45809</v>
      </c>
      <c r="H717" s="4" t="str">
        <f>Faturamento!$B585&amp;Faturamento!$G585</f>
        <v>10/283183-245658</v>
      </c>
      <c r="I717" t="s">
        <v>435</v>
      </c>
      <c r="J717" s="37">
        <v>45</v>
      </c>
      <c r="K717" s="53">
        <v>256.31</v>
      </c>
      <c r="L717" s="53">
        <v>245.49120591983601</v>
      </c>
      <c r="M717" s="5" t="str">
        <f>IF(Faturamento!$S585&lt;&gt;"","Não emitido",IF(Faturamento!$I585="NÃO","Pendente Fatura", IF(Faturamento!$R585&lt;&gt;"","Aprovado",IF(Faturamento!$O585&lt;&gt;0,"Pendente Emissão","Processo de Calculo"))))</f>
        <v>Aprovado</v>
      </c>
      <c r="N717" s="3">
        <v>45.6</v>
      </c>
      <c r="O717" s="3">
        <v>34.200000000000003</v>
      </c>
      <c r="P717" s="4">
        <v>45860</v>
      </c>
      <c r="Q717" s="4">
        <v>45871</v>
      </c>
      <c r="R717" s="3">
        <v>34.200000000000003</v>
      </c>
      <c r="S717"/>
      <c r="T717" s="51" t="s">
        <v>1129</v>
      </c>
      <c r="U717" s="51" t="s">
        <v>1130</v>
      </c>
      <c r="V717" t="s">
        <v>568</v>
      </c>
      <c r="W717" s="3">
        <v>45.6</v>
      </c>
      <c r="X717" s="123">
        <f>IF(Faturamento!$V304="Pago",IFERROR(W717-R717,0),0)</f>
        <v>11.399999999999999</v>
      </c>
      <c r="Y717" s="4">
        <v>45919</v>
      </c>
      <c r="Z717" s="4"/>
      <c r="AA717" s="5"/>
      <c r="AB717" s="5"/>
      <c r="AI717"/>
    </row>
    <row r="718" spans="1:35" hidden="1" x14ac:dyDescent="0.3">
      <c r="A718" s="5" t="str">
        <f>VLOOKUP(B718,base!A:M,11,FALSE)</f>
        <v>TRIFÁSICO</v>
      </c>
      <c r="B718" t="s">
        <v>206</v>
      </c>
      <c r="C718" s="56">
        <v>67992637973</v>
      </c>
      <c r="D718">
        <v>62955505017213</v>
      </c>
      <c r="E718" s="37" t="s">
        <v>433</v>
      </c>
      <c r="F718" t="s">
        <v>108</v>
      </c>
      <c r="G718" s="4">
        <v>45931</v>
      </c>
      <c r="H718" s="52" t="str">
        <f>Faturamento!$B967&amp;Faturamento!$G967</f>
        <v>10/237441-145839</v>
      </c>
      <c r="I718" s="37" t="s">
        <v>435</v>
      </c>
      <c r="J718">
        <v>39</v>
      </c>
      <c r="K718" s="3">
        <v>178.06960000000001</v>
      </c>
      <c r="L718" s="3">
        <v>164.82410345498315</v>
      </c>
      <c r="M718" s="5" t="s">
        <v>1489</v>
      </c>
      <c r="N718" s="53">
        <v>47.359599999899999</v>
      </c>
      <c r="O718" s="53">
        <v>34.11</v>
      </c>
      <c r="P718" s="52">
        <v>45967</v>
      </c>
      <c r="Q718" s="52">
        <v>45974</v>
      </c>
      <c r="R718" s="53">
        <v>34.11</v>
      </c>
      <c r="S718" s="37"/>
      <c r="T718" s="3" t="str">
        <f>D718&amp;R718</f>
        <v>6295550501721334,11</v>
      </c>
      <c r="U718" s="3" t="s">
        <v>1779</v>
      </c>
      <c r="V718" s="37" t="s">
        <v>568</v>
      </c>
      <c r="W718" s="13">
        <f>R718</f>
        <v>34.11</v>
      </c>
      <c r="X718" s="124">
        <f>IF(Faturamento!$V969="Pago",IFERROR(W718-R718,0),0)</f>
        <v>0</v>
      </c>
    </row>
    <row r="719" spans="1:35" hidden="1" x14ac:dyDescent="0.3">
      <c r="A719" s="5" t="str">
        <f>VLOOKUP(B719,base!A:M,11,FALSE)</f>
        <v>BIFÁSICO</v>
      </c>
      <c r="B719" s="37" t="s">
        <v>202</v>
      </c>
      <c r="C719" s="56">
        <v>0</v>
      </c>
      <c r="D719" s="59">
        <v>62955505017051</v>
      </c>
      <c r="E719" s="37" t="s">
        <v>433</v>
      </c>
      <c r="F719" s="37" t="s">
        <v>434</v>
      </c>
      <c r="G719" s="52">
        <v>45901</v>
      </c>
      <c r="H719" s="52" t="str">
        <f>Faturamento!$B832&amp;Faturamento!$G832</f>
        <v>10/505854-045658</v>
      </c>
      <c r="I719" s="37" t="s">
        <v>435</v>
      </c>
      <c r="J719">
        <v>41</v>
      </c>
      <c r="K719" s="3">
        <v>106.34127659574469</v>
      </c>
      <c r="L719" s="3">
        <v>93.962117284287331</v>
      </c>
      <c r="M719" s="5" t="s">
        <v>1489</v>
      </c>
      <c r="N719" s="53">
        <v>46.091276595744681</v>
      </c>
      <c r="O719" s="53">
        <v>33.71</v>
      </c>
      <c r="P719" s="52">
        <v>45933</v>
      </c>
      <c r="Q719" s="52">
        <v>45943</v>
      </c>
      <c r="R719" s="53">
        <f>O719</f>
        <v>33.71</v>
      </c>
      <c r="S719" s="37"/>
      <c r="T719" s="51" t="s">
        <v>1548</v>
      </c>
      <c r="U719" s="51" t="s">
        <v>1549</v>
      </c>
      <c r="V719" s="37" t="s">
        <v>568</v>
      </c>
      <c r="W719" s="53">
        <f>O719</f>
        <v>33.71</v>
      </c>
      <c r="X719" s="123">
        <f>IF(Faturamento!$V283="Pago",IFERROR(W719-R719,0),0)</f>
        <v>0</v>
      </c>
      <c r="Y719" s="52"/>
      <c r="Z719" s="52"/>
      <c r="AA719" s="5"/>
      <c r="AB719" s="5"/>
      <c r="AI719"/>
    </row>
    <row r="720" spans="1:35" hidden="1" x14ac:dyDescent="0.3">
      <c r="A720" s="5" t="str">
        <f>VLOOKUP(B720,base!A:M,11,FALSE)</f>
        <v>TRIFÁSICO</v>
      </c>
      <c r="B720" t="s">
        <v>292</v>
      </c>
      <c r="C720" s="1">
        <v>67996446178</v>
      </c>
      <c r="D720" s="60">
        <v>62955505887382</v>
      </c>
      <c r="E720" s="63" t="s">
        <v>433</v>
      </c>
      <c r="F720" t="s">
        <v>434</v>
      </c>
      <c r="G720" s="4">
        <v>45689</v>
      </c>
      <c r="H720" s="4" t="str">
        <f>Faturamento!$B211&amp;Faturamento!$G211</f>
        <v>10/2794432-145870</v>
      </c>
      <c r="I720" t="s">
        <v>435</v>
      </c>
      <c r="J720" s="37">
        <v>46</v>
      </c>
      <c r="K720" s="53"/>
      <c r="L720" s="53"/>
      <c r="M720" s="5" t="str">
        <f>IF(Faturamento!$S211&lt;&gt;"","Não emitido",IF(Faturamento!$I211="NÃO","Pendente Fatura", IF(Faturamento!$R211&lt;&gt;"","Aprovado",IF(Faturamento!$O211&lt;&gt;0,"Pendente Emissão","Processo de Calculo"))))</f>
        <v>Aprovado</v>
      </c>
      <c r="N720" s="3">
        <v>44.800000000000004</v>
      </c>
      <c r="O720" s="3">
        <v>33.6</v>
      </c>
      <c r="P720" s="4"/>
      <c r="Q720" s="4"/>
      <c r="S720" t="s">
        <v>708</v>
      </c>
      <c r="T720" s="51" t="s">
        <v>681</v>
      </c>
      <c r="U720" s="51"/>
      <c r="V720" t="s">
        <v>438</v>
      </c>
      <c r="W720" s="3">
        <v>0</v>
      </c>
      <c r="X720" s="123">
        <f>IF(Faturamento!$V88="Pago",IFERROR(W720-R720,0),0)</f>
        <v>0</v>
      </c>
      <c r="Y720" s="4"/>
      <c r="Z720" s="4"/>
      <c r="AA720" s="5"/>
      <c r="AB720" s="5"/>
      <c r="AI720"/>
    </row>
    <row r="721" spans="1:35" hidden="1" x14ac:dyDescent="0.3">
      <c r="A721" s="5" t="str">
        <f>VLOOKUP(B721,base!A:M,11,FALSE)</f>
        <v>TRIFÁSICO</v>
      </c>
      <c r="B721" s="37" t="s">
        <v>134</v>
      </c>
      <c r="C721" s="56">
        <v>0</v>
      </c>
      <c r="D721" s="59">
        <v>62955505892114</v>
      </c>
      <c r="E721" s="37" t="s">
        <v>433</v>
      </c>
      <c r="F721" s="37" t="s">
        <v>434</v>
      </c>
      <c r="G721" s="52">
        <v>45901</v>
      </c>
      <c r="H721" s="52" t="str">
        <f>Faturamento!$B840&amp;Faturamento!$G840</f>
        <v>10/10731-845689</v>
      </c>
      <c r="I721" s="37" t="s">
        <v>435</v>
      </c>
      <c r="J721">
        <v>38</v>
      </c>
      <c r="K721" s="3">
        <v>188.13099999999997</v>
      </c>
      <c r="L721" s="3">
        <v>175.80294502901521</v>
      </c>
      <c r="M721" s="5" t="s">
        <v>1489</v>
      </c>
      <c r="N721" s="53">
        <v>45.900999999999996</v>
      </c>
      <c r="O721" s="53">
        <v>33.57</v>
      </c>
      <c r="P721" s="52">
        <v>45933</v>
      </c>
      <c r="Q721" s="52">
        <v>45943</v>
      </c>
      <c r="R721" s="53">
        <f>O721</f>
        <v>33.57</v>
      </c>
      <c r="S721" s="37"/>
      <c r="T721" s="51" t="s">
        <v>1562</v>
      </c>
      <c r="U721" s="51" t="s">
        <v>1563</v>
      </c>
      <c r="V721" s="37" t="s">
        <v>568</v>
      </c>
      <c r="W721" s="53">
        <f>R721</f>
        <v>33.57</v>
      </c>
      <c r="X721" s="123">
        <f>IF(Faturamento!$V282="Pago",IFERROR(W721-R721,0),0)</f>
        <v>0</v>
      </c>
      <c r="Y721" s="52"/>
      <c r="Z721" s="52"/>
      <c r="AA721" s="5"/>
      <c r="AB721" s="5"/>
      <c r="AI721"/>
    </row>
    <row r="722" spans="1:35" hidden="1" x14ac:dyDescent="0.3">
      <c r="A722" s="5" t="str">
        <f>VLOOKUP(B722,base!A:M,11,FALSE)</f>
        <v>BIFÁSICO</v>
      </c>
      <c r="B722" s="37" t="s">
        <v>276</v>
      </c>
      <c r="C722" s="56">
        <v>0</v>
      </c>
      <c r="D722" s="59">
        <v>62955505000167</v>
      </c>
      <c r="E722" s="37" t="s">
        <v>433</v>
      </c>
      <c r="F722" s="37" t="s">
        <v>434</v>
      </c>
      <c r="G722" s="52">
        <v>45870</v>
      </c>
      <c r="H722" s="52" t="str">
        <f>Faturamento!$B738&amp;Faturamento!$G738</f>
        <v>10/1288241-145689</v>
      </c>
      <c r="I722" s="37" t="s">
        <v>435</v>
      </c>
      <c r="J722">
        <v>36</v>
      </c>
      <c r="K722" s="3">
        <v>102.30000000000001</v>
      </c>
      <c r="L722" s="3">
        <v>92.624348567766575</v>
      </c>
      <c r="M722" s="5" t="str">
        <f>IF(Faturamento!$S738&lt;&gt;"","Não emitido",IF(Faturamento!$I738="NÃO","Pendente Fatura", IF(Faturamento!$R738&lt;&gt;"","Aprovado",IF(Faturamento!$O738&lt;&gt;0,"Pendente Emissão","Processo de Calculo"))))</f>
        <v>Aprovado</v>
      </c>
      <c r="N722" s="53">
        <v>42.82</v>
      </c>
      <c r="O722" s="53">
        <v>33.14</v>
      </c>
      <c r="P722" s="52">
        <v>45910</v>
      </c>
      <c r="Q722" s="52">
        <v>45920</v>
      </c>
      <c r="R722" s="53">
        <v>33.14</v>
      </c>
      <c r="S722" s="37"/>
      <c r="T722" s="51" t="s">
        <v>1377</v>
      </c>
      <c r="U722" s="51" t="s">
        <v>1378</v>
      </c>
      <c r="V722" s="37" t="s">
        <v>568</v>
      </c>
      <c r="W722" s="53">
        <v>33.14</v>
      </c>
      <c r="X722" s="123">
        <f>IF(Faturamento!$V281="Pago",IFERROR(W722-R722,0),0)</f>
        <v>0</v>
      </c>
      <c r="Y722" s="52"/>
      <c r="Z722" s="52"/>
      <c r="AA722" s="5"/>
      <c r="AB722" s="5"/>
      <c r="AI722"/>
    </row>
    <row r="723" spans="1:35" hidden="1" x14ac:dyDescent="0.3">
      <c r="A723" s="5" t="str">
        <f>VLOOKUP(B723,base!A:M,11,FALSE)</f>
        <v>BIFÁSICO</v>
      </c>
      <c r="B723" s="37" t="s">
        <v>253</v>
      </c>
      <c r="C723" s="56">
        <v>67996266684</v>
      </c>
      <c r="D723" s="59">
        <v>62955505016080</v>
      </c>
      <c r="E723" s="37" t="s">
        <v>433</v>
      </c>
      <c r="F723" s="37" t="s">
        <v>434</v>
      </c>
      <c r="G723" s="52">
        <v>45717</v>
      </c>
      <c r="H723" s="52" t="str">
        <f>Faturamento!$B332&amp;Faturamento!$G332</f>
        <v>10/78338-145778</v>
      </c>
      <c r="I723" s="37" t="s">
        <v>435</v>
      </c>
      <c r="J723">
        <v>0</v>
      </c>
      <c r="M723" s="5" t="str">
        <f>IF(Faturamento!$S332&lt;&gt;"","Não emitido",IF(Faturamento!$I332="NÃO","Pendente Fatura", IF(Faturamento!$R332&lt;&gt;"","Aprovado",IF(Faturamento!$O332&lt;&gt;0,"Pendente Emissão","Processo de Calculo"))))</f>
        <v>Aprovado</v>
      </c>
      <c r="N723" s="53">
        <v>0</v>
      </c>
      <c r="O723" s="53">
        <v>32.15</v>
      </c>
      <c r="P723" s="52"/>
      <c r="Q723" s="52"/>
      <c r="R723" s="53"/>
      <c r="S723" s="37" t="s">
        <v>708</v>
      </c>
      <c r="T723" s="51" t="s">
        <v>483</v>
      </c>
      <c r="U723" s="51"/>
      <c r="V723" s="37" t="s">
        <v>438</v>
      </c>
      <c r="W723" s="53">
        <v>0</v>
      </c>
      <c r="X723" s="123">
        <f>IF(Faturamento!$V148="Pago",IFERROR(W723-R723,0),0)</f>
        <v>0</v>
      </c>
      <c r="Y723" s="52"/>
      <c r="Z723" s="52"/>
      <c r="AA723" s="5"/>
      <c r="AB723" s="5"/>
      <c r="AI723"/>
    </row>
    <row r="724" spans="1:35" hidden="1" x14ac:dyDescent="0.3">
      <c r="A724" s="5" t="str">
        <f>VLOOKUP(B724,base!A:M,11,FALSE)</f>
        <v>BIFÁSICO</v>
      </c>
      <c r="B724" t="s">
        <v>253</v>
      </c>
      <c r="C724" s="1">
        <v>67996266684</v>
      </c>
      <c r="D724" s="60">
        <v>62955505016080</v>
      </c>
      <c r="E724" s="63" t="s">
        <v>433</v>
      </c>
      <c r="F724" t="s">
        <v>434</v>
      </c>
      <c r="G724" s="4">
        <v>45689</v>
      </c>
      <c r="H724" s="4" t="str">
        <f>Faturamento!$B235&amp;Faturamento!$G235</f>
        <v>10/511753-645689</v>
      </c>
      <c r="I724" t="s">
        <v>435</v>
      </c>
      <c r="J724" s="37">
        <v>44</v>
      </c>
      <c r="K724" s="53">
        <v>255.73</v>
      </c>
      <c r="L724" s="53">
        <v>245.01499999999999</v>
      </c>
      <c r="M724" s="5" t="str">
        <f>IF(Faturamento!$S235&lt;&gt;"","Não emitido",IF(Faturamento!$I235="NÃO","Pendente Fatura", IF(Faturamento!$R235&lt;&gt;"","Aprovado",IF(Faturamento!$O235&lt;&gt;0,"Pendente Emissão","Processo de Calculo"))))</f>
        <v>Aprovado</v>
      </c>
      <c r="N724" s="3">
        <v>42.86</v>
      </c>
      <c r="O724" s="3">
        <v>32.15</v>
      </c>
      <c r="P724" s="4"/>
      <c r="Q724" s="4"/>
      <c r="R724" s="3">
        <v>32.15</v>
      </c>
      <c r="S724"/>
      <c r="T724" s="51" t="s">
        <v>776</v>
      </c>
      <c r="U724" s="51"/>
      <c r="V724" t="s">
        <v>568</v>
      </c>
      <c r="W724" s="3">
        <v>32.15</v>
      </c>
      <c r="X724" s="123">
        <f>IF(Faturamento!$V280="Pago",IFERROR(W724-R724,0),0)</f>
        <v>0</v>
      </c>
      <c r="Y724" s="4"/>
      <c r="Z724" s="4"/>
      <c r="AA724" s="5"/>
      <c r="AB724" s="5"/>
      <c r="AI724" t="str">
        <f>VLOOKUP(B724,'[2]Conciliação - 022025'!$A:$L,12,FALSE)</f>
        <v>DEPÓSITO ÚNICO ITAU 30/05/2025</v>
      </c>
    </row>
    <row r="725" spans="1:35" hidden="1" x14ac:dyDescent="0.3">
      <c r="A725" s="5" t="str">
        <f>VLOOKUP(B725,base!A:M,11,FALSE)</f>
        <v>BIFÁSICO</v>
      </c>
      <c r="B725" s="37" t="s">
        <v>297</v>
      </c>
      <c r="C725" s="56">
        <v>67996266684</v>
      </c>
      <c r="D725" s="59">
        <v>62955505016080</v>
      </c>
      <c r="E725" s="37" t="s">
        <v>433</v>
      </c>
      <c r="F725" s="37" t="s">
        <v>434</v>
      </c>
      <c r="G725" s="52">
        <v>45839</v>
      </c>
      <c r="H725" s="52" t="str">
        <f>Faturamento!$B646&amp;Faturamento!$G646</f>
        <v>10/1548741-645870</v>
      </c>
      <c r="I725" s="37" t="s">
        <v>435</v>
      </c>
      <c r="J725" s="37">
        <v>32</v>
      </c>
      <c r="K725" s="53">
        <v>120.03840000000001</v>
      </c>
      <c r="L725" s="53">
        <v>111.50279304</v>
      </c>
      <c r="M725" s="5" t="str">
        <f>IF(Faturamento!$S646&lt;&gt;"","Não emitido",IF(Faturamento!$I646="NÃO","Pendente Fatura", IF(Faturamento!$R646&lt;&gt;"","Aprovado",IF(Faturamento!$O646&lt;&gt;0,"Pendente Emissão","Processo de Calculo"))))</f>
        <v>Aprovado</v>
      </c>
      <c r="N725" s="53">
        <v>40.148399999999995</v>
      </c>
      <c r="O725" s="53">
        <v>31.61</v>
      </c>
      <c r="P725" s="52">
        <v>45910</v>
      </c>
      <c r="Q725" s="52">
        <v>45920</v>
      </c>
      <c r="R725" s="53">
        <v>31.61</v>
      </c>
      <c r="S725" s="37"/>
      <c r="T725" s="51" t="s">
        <v>1205</v>
      </c>
      <c r="U725" s="51" t="s">
        <v>1206</v>
      </c>
      <c r="V725" s="37" t="s">
        <v>568</v>
      </c>
      <c r="W725" s="53">
        <v>31.61</v>
      </c>
      <c r="X725" s="123">
        <f>IF(Faturamento!$V279="Pago",IFERROR(W725-R725,0),0)</f>
        <v>0</v>
      </c>
      <c r="Y725" s="52"/>
      <c r="Z725" s="52"/>
      <c r="AA725" s="5"/>
      <c r="AB725" s="5"/>
      <c r="AI725"/>
    </row>
    <row r="726" spans="1:35" hidden="1" x14ac:dyDescent="0.3">
      <c r="A726" s="5" t="str">
        <f>VLOOKUP(B726,base!A:M,11,FALSE)</f>
        <v>TRIFÁSICO</v>
      </c>
      <c r="B726" s="37" t="s">
        <v>350</v>
      </c>
      <c r="C726" s="56">
        <v>67993496482</v>
      </c>
      <c r="D726" s="59">
        <v>62955505015512</v>
      </c>
      <c r="E726" s="37" t="s">
        <v>433</v>
      </c>
      <c r="F726" s="37" t="s">
        <v>434</v>
      </c>
      <c r="G726" s="52">
        <v>45717</v>
      </c>
      <c r="H726" s="52" t="str">
        <f>Faturamento!$B272&amp;Faturamento!$G272</f>
        <v>10/1939035-045901</v>
      </c>
      <c r="I726" s="37" t="s">
        <v>435</v>
      </c>
      <c r="J726">
        <v>37</v>
      </c>
      <c r="K726" s="3">
        <v>204.92</v>
      </c>
      <c r="L726" s="3">
        <v>194.5975</v>
      </c>
      <c r="M726" s="5" t="str">
        <f>IF(Faturamento!$S272&lt;&gt;"","Não emitido",IF(Faturamento!$I272="NÃO","Pendente Fatura", IF(Faturamento!$R272&lt;&gt;"","Aprovado",IF(Faturamento!$O272&lt;&gt;0,"Pendente Emissão","Processo de Calculo"))))</f>
        <v>Aprovado</v>
      </c>
      <c r="N726" s="53">
        <v>41.29</v>
      </c>
      <c r="O726" s="53">
        <v>30.97</v>
      </c>
      <c r="P726" s="52"/>
      <c r="Q726" s="52"/>
      <c r="R726" s="53">
        <v>30.97</v>
      </c>
      <c r="S726" s="37"/>
      <c r="T726" s="51" t="s">
        <v>812</v>
      </c>
      <c r="U726" s="51"/>
      <c r="V726" s="37" t="s">
        <v>568</v>
      </c>
      <c r="W726" s="53">
        <v>30.97</v>
      </c>
      <c r="X726" s="123">
        <f>IF(Faturamento!$V278="Pago",IFERROR(W726-R726,0),0)</f>
        <v>0</v>
      </c>
      <c r="Y726" s="52"/>
      <c r="Z726" s="52"/>
      <c r="AA726" s="5"/>
      <c r="AB726" s="5"/>
      <c r="AI726"/>
    </row>
    <row r="727" spans="1:35" hidden="1" x14ac:dyDescent="0.3">
      <c r="A727" s="5" t="str">
        <f>VLOOKUP(B727,base!A:M,11,FALSE)</f>
        <v>BIFÁSICO</v>
      </c>
      <c r="B727" s="37" t="s">
        <v>250</v>
      </c>
      <c r="C727" s="56" t="s">
        <v>126</v>
      </c>
      <c r="D727" s="59">
        <v>62955505015512</v>
      </c>
      <c r="E727" s="37" t="s">
        <v>433</v>
      </c>
      <c r="F727" s="37" t="s">
        <v>434</v>
      </c>
      <c r="G727" s="52">
        <v>45901</v>
      </c>
      <c r="H727" s="52" t="str">
        <f>Faturamento!$B880&amp;Faturamento!$G880</f>
        <v>10/10731-845717</v>
      </c>
      <c r="I727" s="37" t="s">
        <v>435</v>
      </c>
      <c r="J727">
        <v>40</v>
      </c>
      <c r="K727" s="3">
        <v>297</v>
      </c>
      <c r="L727" s="3">
        <v>285.70624362149175</v>
      </c>
      <c r="M727" s="5" t="s">
        <v>1489</v>
      </c>
      <c r="N727" s="53">
        <v>42.05</v>
      </c>
      <c r="O727" s="53">
        <v>30.76</v>
      </c>
      <c r="P727" s="52">
        <v>45933</v>
      </c>
      <c r="Q727" s="52">
        <v>45943</v>
      </c>
      <c r="R727" s="53">
        <f>O727</f>
        <v>30.76</v>
      </c>
      <c r="S727" s="37"/>
      <c r="T727" s="51" t="s">
        <v>1637</v>
      </c>
      <c r="U727" s="51" t="s">
        <v>1638</v>
      </c>
      <c r="V727" s="37" t="s">
        <v>568</v>
      </c>
      <c r="W727" s="53">
        <f>R727</f>
        <v>30.76</v>
      </c>
      <c r="X727" s="123">
        <f>IF(Faturamento!$V277="Pago",IFERROR(W727-R727,0),0)</f>
        <v>0</v>
      </c>
      <c r="Y727" s="52"/>
      <c r="Z727" s="52"/>
      <c r="AA727" s="5"/>
      <c r="AB727" s="5"/>
      <c r="AI727"/>
    </row>
    <row r="728" spans="1:35" hidden="1" x14ac:dyDescent="0.3">
      <c r="A728" s="5" t="str">
        <f>VLOOKUP(B728,base!A:M,11,FALSE)</f>
        <v>BIFÁSICO</v>
      </c>
      <c r="B728" s="37" t="s">
        <v>192</v>
      </c>
      <c r="C728" s="56">
        <v>67999516782</v>
      </c>
      <c r="D728" s="59">
        <v>62955505134449</v>
      </c>
      <c r="E728" s="37" t="s">
        <v>433</v>
      </c>
      <c r="F728" s="37" t="s">
        <v>434</v>
      </c>
      <c r="G728" s="52">
        <v>45748</v>
      </c>
      <c r="H728" s="52" t="str">
        <f>Faturamento!$B398&amp;Faturamento!$G398</f>
        <v>10/239312-245778</v>
      </c>
      <c r="I728" s="37" t="s">
        <v>435</v>
      </c>
      <c r="J728" s="37">
        <v>40</v>
      </c>
      <c r="K728" s="53">
        <v>112.53000000000002</v>
      </c>
      <c r="L728" s="53">
        <v>102.80500000000001</v>
      </c>
      <c r="M728" s="5" t="str">
        <f>IF(Faturamento!$S398&lt;&gt;"","Não emitido",IF(Faturamento!$I398="NÃO","Pendente Fatura", IF(Faturamento!$R398&lt;&gt;"","Aprovado",IF(Faturamento!$O398&lt;&gt;0,"Pendente Emissão","Processo de Calculo"))))</f>
        <v>Aprovado</v>
      </c>
      <c r="N728" s="53">
        <v>38.900000000000006</v>
      </c>
      <c r="O728" s="53">
        <v>29.18</v>
      </c>
      <c r="P728" s="52"/>
      <c r="Q728" s="52"/>
      <c r="R728" s="53">
        <v>29.18</v>
      </c>
      <c r="S728" s="37"/>
      <c r="T728" s="51" t="s">
        <v>896</v>
      </c>
      <c r="U728" s="51"/>
      <c r="V728" s="37" t="s">
        <v>568</v>
      </c>
      <c r="W728" s="53">
        <v>29.18</v>
      </c>
      <c r="X728" s="123">
        <f>IF(Faturamento!$V275="Pago",IFERROR(W728-R728,0),0)</f>
        <v>0</v>
      </c>
      <c r="Y728" s="52"/>
      <c r="Z728" s="52"/>
      <c r="AA728" s="5"/>
      <c r="AB728" s="5"/>
      <c r="AI728"/>
    </row>
    <row r="729" spans="1:35" hidden="1" x14ac:dyDescent="0.3">
      <c r="A729" s="5" t="str">
        <f>VLOOKUP(B729,base!A:M,11,FALSE)</f>
        <v>BIFÁSICO</v>
      </c>
      <c r="B729" s="37" t="s">
        <v>114</v>
      </c>
      <c r="C729" s="56">
        <v>0</v>
      </c>
      <c r="D729" s="59">
        <v>62955505393207</v>
      </c>
      <c r="E729" s="37" t="s">
        <v>433</v>
      </c>
      <c r="F729" s="37" t="s">
        <v>434</v>
      </c>
      <c r="G729" s="52">
        <v>45870</v>
      </c>
      <c r="H729" s="52" t="str">
        <f>Faturamento!$B740&amp;Faturamento!$G740</f>
        <v>10/283183-245748</v>
      </c>
      <c r="I729" s="37" t="s">
        <v>435</v>
      </c>
      <c r="J729">
        <v>31</v>
      </c>
      <c r="K729" s="3">
        <v>113.4804</v>
      </c>
      <c r="L729" s="3">
        <v>105.16042438123755</v>
      </c>
      <c r="M729" s="5" t="str">
        <f>IF(Faturamento!$S740&lt;&gt;"","Não emitido",IF(Faturamento!$I740="NÃO","Pendente Fatura", IF(Faturamento!$R740&lt;&gt;"","Aprovado",IF(Faturamento!$O740&lt;&gt;0,"Pendente Emissão","Processo de Calculo"))))</f>
        <v>Aprovado</v>
      </c>
      <c r="N729" s="53">
        <v>36.820399999999999</v>
      </c>
      <c r="O729" s="53">
        <v>28.5</v>
      </c>
      <c r="P729" s="52">
        <v>45910</v>
      </c>
      <c r="Q729" s="52">
        <v>45920</v>
      </c>
      <c r="R729" s="53">
        <v>28.5</v>
      </c>
      <c r="S729" s="37"/>
      <c r="T729" s="51" t="s">
        <v>1381</v>
      </c>
      <c r="U729" s="51" t="s">
        <v>1382</v>
      </c>
      <c r="V729" s="37" t="s">
        <v>568</v>
      </c>
      <c r="W729" s="53">
        <v>28.5</v>
      </c>
      <c r="X729" s="123">
        <f>IF(Faturamento!$V274="Pago",IFERROR(W729-R729,0),0)</f>
        <v>0</v>
      </c>
      <c r="Y729" s="52"/>
      <c r="Z729" s="52"/>
      <c r="AA729" s="5"/>
      <c r="AB729" s="5"/>
      <c r="AI729"/>
    </row>
    <row r="730" spans="1:35" hidden="1" x14ac:dyDescent="0.3">
      <c r="A730" s="5" t="str">
        <f>VLOOKUP(B730,base!A:M,11,FALSE)</f>
        <v>BIFÁSICO</v>
      </c>
      <c r="B730" t="s">
        <v>280</v>
      </c>
      <c r="C730" s="1">
        <v>67998302932</v>
      </c>
      <c r="D730" s="60">
        <v>62955505015512</v>
      </c>
      <c r="E730" s="63" t="s">
        <v>433</v>
      </c>
      <c r="F730" t="s">
        <v>434</v>
      </c>
      <c r="G730" s="4">
        <v>45717</v>
      </c>
      <c r="H730" s="4" t="str">
        <f>Faturamento!$B333&amp;Faturamento!$G333</f>
        <v>10/40190-145748</v>
      </c>
      <c r="I730" t="s">
        <v>435</v>
      </c>
      <c r="J730">
        <v>0</v>
      </c>
      <c r="M730" s="5" t="str">
        <f>IF(Faturamento!$S333&lt;&gt;"","Não emitido",IF(Faturamento!$I333="NÃO","Pendente Fatura", IF(Faturamento!$R333&lt;&gt;"","Aprovado",IF(Faturamento!$O333&lt;&gt;0,"Pendente Emissão","Processo de Calculo"))))</f>
        <v>Aprovado</v>
      </c>
      <c r="N730" s="3">
        <v>0</v>
      </c>
      <c r="O730" s="3">
        <v>28.49</v>
      </c>
      <c r="P730" s="4"/>
      <c r="Q730" s="4"/>
      <c r="S730" t="s">
        <v>708</v>
      </c>
      <c r="T730" s="51" t="s">
        <v>560</v>
      </c>
      <c r="U730" s="51"/>
      <c r="V730" t="s">
        <v>438</v>
      </c>
      <c r="W730" s="3">
        <v>0</v>
      </c>
      <c r="X730" s="123">
        <f>IF(Faturamento!$V149="Pago",IFERROR(W730-R730,0),0)</f>
        <v>0</v>
      </c>
      <c r="Y730" s="4"/>
      <c r="Z730" s="4"/>
      <c r="AA730" s="5"/>
      <c r="AB730" s="5"/>
      <c r="AI730"/>
    </row>
    <row r="731" spans="1:35" hidden="1" x14ac:dyDescent="0.3">
      <c r="A731" s="5" t="str">
        <f>VLOOKUP(B731,base!A:M,11,FALSE)</f>
        <v>BIFÁSICO</v>
      </c>
      <c r="B731" s="37" t="s">
        <v>280</v>
      </c>
      <c r="C731" s="56">
        <v>67998302932</v>
      </c>
      <c r="D731" s="59">
        <v>62955505015512</v>
      </c>
      <c r="E731" s="37" t="s">
        <v>433</v>
      </c>
      <c r="F731" s="37" t="s">
        <v>434</v>
      </c>
      <c r="G731" s="52">
        <v>45689</v>
      </c>
      <c r="H731" s="52" t="str">
        <f>Faturamento!$B236&amp;Faturamento!$G236</f>
        <v>10/489076-045658</v>
      </c>
      <c r="I731" s="37" t="s">
        <v>435</v>
      </c>
      <c r="J731" s="37">
        <v>39</v>
      </c>
      <c r="K731" s="53">
        <v>245.91</v>
      </c>
      <c r="L731" s="53">
        <v>236.41249999999999</v>
      </c>
      <c r="M731" s="5" t="str">
        <f>IF(Faturamento!$S236&lt;&gt;"","Não emitido",IF(Faturamento!$I236="NÃO","Pendente Fatura", IF(Faturamento!$R236&lt;&gt;"","Aprovado",IF(Faturamento!$O236&lt;&gt;0,"Pendente Emissão","Processo de Calculo"))))</f>
        <v>Aprovado</v>
      </c>
      <c r="N731" s="53">
        <v>37.99</v>
      </c>
      <c r="O731" s="53">
        <v>28.49</v>
      </c>
      <c r="P731" s="52"/>
      <c r="Q731" s="52"/>
      <c r="R731" s="53">
        <v>28.49</v>
      </c>
      <c r="S731" s="37"/>
      <c r="T731" s="51" t="s">
        <v>777</v>
      </c>
      <c r="U731" s="51"/>
      <c r="V731" s="37" t="s">
        <v>568</v>
      </c>
      <c r="W731" s="53">
        <v>28.49</v>
      </c>
      <c r="X731" s="123">
        <f>IF(Faturamento!$V273="Pago",IFERROR(W731-R731,0),0)</f>
        <v>0</v>
      </c>
      <c r="Y731" s="52"/>
      <c r="Z731" s="52"/>
      <c r="AA731" s="5"/>
      <c r="AB731" s="5"/>
      <c r="AI731"/>
    </row>
    <row r="732" spans="1:35" hidden="1" x14ac:dyDescent="0.3">
      <c r="A732" s="5" t="str">
        <f>VLOOKUP(B732,base!A:M,11,FALSE)</f>
        <v>BIFÁSICO</v>
      </c>
      <c r="B732" s="37" t="s">
        <v>192</v>
      </c>
      <c r="C732" s="56">
        <v>67999516782</v>
      </c>
      <c r="D732" s="59">
        <v>62955505134449</v>
      </c>
      <c r="E732" s="37" t="s">
        <v>433</v>
      </c>
      <c r="F732" s="37" t="s">
        <v>434</v>
      </c>
      <c r="G732" s="52">
        <v>45689</v>
      </c>
      <c r="H732" s="52" t="str">
        <f>Faturamento!$B204&amp;Faturamento!$G204</f>
        <v>10/29964-445901</v>
      </c>
      <c r="I732" s="37" t="s">
        <v>435</v>
      </c>
      <c r="J732" s="37">
        <v>38</v>
      </c>
      <c r="K732" s="53">
        <v>109.91</v>
      </c>
      <c r="L732" s="53">
        <v>100.6575</v>
      </c>
      <c r="M732" s="5" t="str">
        <f>IF(Faturamento!$S204&lt;&gt;"","Não emitido",IF(Faturamento!$I204="NÃO","Pendente Fatura", IF(Faturamento!$R204&lt;&gt;"","Aprovado",IF(Faturamento!$O204&lt;&gt;0,"Pendente Emissão","Processo de Calculo"))))</f>
        <v>Aprovado</v>
      </c>
      <c r="N732" s="53">
        <v>37.009999999999991</v>
      </c>
      <c r="O732" s="53">
        <v>27.76</v>
      </c>
      <c r="P732" s="52"/>
      <c r="Q732" s="52"/>
      <c r="R732" s="53">
        <v>27.76</v>
      </c>
      <c r="S732" s="37"/>
      <c r="T732" s="51" t="s">
        <v>756</v>
      </c>
      <c r="U732" s="51"/>
      <c r="V732" s="37" t="s">
        <v>568</v>
      </c>
      <c r="W732" s="53">
        <v>27.76</v>
      </c>
      <c r="X732" s="123">
        <f>IF(Faturamento!$V272="Pago",IFERROR(W732-R732,0),0)</f>
        <v>0</v>
      </c>
      <c r="Y732" s="52"/>
      <c r="Z732" s="52"/>
      <c r="AA732" s="5"/>
      <c r="AB732" s="5"/>
      <c r="AI732"/>
    </row>
    <row r="733" spans="1:35" hidden="1" x14ac:dyDescent="0.3">
      <c r="A733" s="5" t="str">
        <f>VLOOKUP(B733,base!A:M,11,FALSE)</f>
        <v>BIFÁSICO</v>
      </c>
      <c r="B733" t="s">
        <v>192</v>
      </c>
      <c r="C733" s="1">
        <v>67999516782</v>
      </c>
      <c r="D733" s="60">
        <v>62955505134449</v>
      </c>
      <c r="E733" s="63" t="s">
        <v>433</v>
      </c>
      <c r="F733" t="s">
        <v>434</v>
      </c>
      <c r="G733" s="4">
        <v>45839</v>
      </c>
      <c r="H733" s="4" t="str">
        <f>Faturamento!$B709&amp;Faturamento!$G709</f>
        <v>10/218777-145870</v>
      </c>
      <c r="I733" t="s">
        <v>435</v>
      </c>
      <c r="J733" s="37">
        <v>33</v>
      </c>
      <c r="K733" s="53">
        <v>106.17533333333333</v>
      </c>
      <c r="L733" s="53">
        <v>98.558029866666658</v>
      </c>
      <c r="M733" s="5" t="str">
        <f>IF(Faturamento!$S709&lt;&gt;"","Não emitido",IF(Faturamento!$I709="NÃO","Pendente Fatura", IF(Faturamento!$R709&lt;&gt;"","Aprovado",IF(Faturamento!$O709&lt;&gt;0,"Pendente Emissão","Processo de Calculo"))))</f>
        <v>Aprovado</v>
      </c>
      <c r="N733" s="3">
        <v>34.435333333333318</v>
      </c>
      <c r="O733" s="3">
        <v>26.82</v>
      </c>
      <c r="P733" s="4">
        <v>45910</v>
      </c>
      <c r="Q733" s="4">
        <v>45920</v>
      </c>
      <c r="R733" s="3">
        <v>26.82</v>
      </c>
      <c r="S733"/>
      <c r="T733" s="51" t="s">
        <v>1322</v>
      </c>
      <c r="U733" s="51" t="s">
        <v>1323</v>
      </c>
      <c r="V733" t="s">
        <v>568</v>
      </c>
      <c r="W733" s="3">
        <v>26.82</v>
      </c>
      <c r="X733" s="123">
        <f>IF(Faturamento!$V271="Pago",IFERROR(W733-R733,0),0)</f>
        <v>0</v>
      </c>
      <c r="Y733" s="4"/>
      <c r="Z733" s="4"/>
      <c r="AA733" s="5"/>
      <c r="AB733" s="5"/>
      <c r="AI733"/>
    </row>
    <row r="734" spans="1:35" hidden="1" x14ac:dyDescent="0.3">
      <c r="A734" s="5" t="str">
        <f>VLOOKUP(B734,base!A:M,11,FALSE)</f>
        <v>BIFÁSICO</v>
      </c>
      <c r="B734" t="s">
        <v>202</v>
      </c>
      <c r="C734" s="1">
        <v>67999031330</v>
      </c>
      <c r="D734" s="60">
        <v>62955505017051</v>
      </c>
      <c r="E734" s="63" t="s">
        <v>433</v>
      </c>
      <c r="F734" t="s">
        <v>434</v>
      </c>
      <c r="G734" s="4">
        <v>45839</v>
      </c>
      <c r="H734" s="4" t="str">
        <f>Faturamento!$B703&amp;Faturamento!$G703</f>
        <v>10/41548-945870</v>
      </c>
      <c r="I734" t="s">
        <v>435</v>
      </c>
      <c r="J734" s="37">
        <v>30</v>
      </c>
      <c r="K734" s="53">
        <v>90.717499999999987</v>
      </c>
      <c r="L734" s="53">
        <v>83.292395499999984</v>
      </c>
      <c r="M734" s="5" t="str">
        <f>IF(Faturamento!$S703&lt;&gt;"","Não emitido",IF(Faturamento!$I703="NÃO","Pendente Fatura", IF(Faturamento!$R703&lt;&gt;"","Aprovado",IF(Faturamento!$O703&lt;&gt;0,"Pendente Emissão","Processo de Calculo"))))</f>
        <v>Aprovado</v>
      </c>
      <c r="N734" s="3">
        <v>32.967499999999994</v>
      </c>
      <c r="O734" s="3">
        <v>25.54</v>
      </c>
      <c r="P734" s="4">
        <v>45910</v>
      </c>
      <c r="Q734" s="4">
        <v>45920</v>
      </c>
      <c r="R734" s="3">
        <v>25.54</v>
      </c>
      <c r="S734"/>
      <c r="T734" s="51" t="s">
        <v>1310</v>
      </c>
      <c r="U734" s="51" t="s">
        <v>1311</v>
      </c>
      <c r="V734" t="s">
        <v>568</v>
      </c>
      <c r="W734" s="3">
        <v>25.54</v>
      </c>
      <c r="X734" s="123">
        <f>IF(Faturamento!$V270="Pago",IFERROR(W734-R734,0),0)</f>
        <v>0</v>
      </c>
      <c r="Y734" s="4"/>
      <c r="Z734" s="4"/>
      <c r="AA734" s="5"/>
      <c r="AB734" s="5"/>
      <c r="AI734"/>
    </row>
    <row r="735" spans="1:35" hidden="1" x14ac:dyDescent="0.3">
      <c r="A735" s="5" t="str">
        <f>VLOOKUP(B735,base!A:M,11,FALSE)</f>
        <v>BIFÁSICO</v>
      </c>
      <c r="B735" t="s">
        <v>114</v>
      </c>
      <c r="C735" s="1" t="s">
        <v>116</v>
      </c>
      <c r="D735" s="60">
        <v>62955505393207</v>
      </c>
      <c r="E735" s="63" t="s">
        <v>433</v>
      </c>
      <c r="F735" t="s">
        <v>434</v>
      </c>
      <c r="G735" s="4">
        <v>45809</v>
      </c>
      <c r="H735" s="4" t="str">
        <f>Faturamento!$B555&amp;Faturamento!$G555</f>
        <v>10/1433087-245931</v>
      </c>
      <c r="I735" t="s">
        <v>435</v>
      </c>
      <c r="J735" s="37">
        <v>28</v>
      </c>
      <c r="K735" s="53">
        <v>91.931600000000003</v>
      </c>
      <c r="L735" s="53">
        <v>84.104202483001345</v>
      </c>
      <c r="M735" s="5" t="str">
        <f>IF(Faturamento!$S555&lt;&gt;"","Não emitido",IF(Faturamento!$I555="NÃO","Pendente Fatura", IF(Faturamento!$R555&lt;&gt;"","Aprovado",IF(Faturamento!$O555&lt;&gt;0,"Pendente Emissão","Processo de Calculo"))))</f>
        <v>Aprovado</v>
      </c>
      <c r="N735" s="3">
        <v>32.991600000000005</v>
      </c>
      <c r="O735" s="3">
        <v>24.74</v>
      </c>
      <c r="P735" s="4">
        <v>45860</v>
      </c>
      <c r="Q735" s="4">
        <v>45871</v>
      </c>
      <c r="R735" s="3">
        <v>24.74</v>
      </c>
      <c r="S735"/>
      <c r="T735" s="51" t="s">
        <v>1069</v>
      </c>
      <c r="U735" s="51" t="s">
        <v>1070</v>
      </c>
      <c r="V735" t="s">
        <v>568</v>
      </c>
      <c r="W735" s="3">
        <v>24.74</v>
      </c>
      <c r="X735" s="123">
        <f>IF(Faturamento!$V269="Pago",IFERROR(W735-R735,0),0)</f>
        <v>0</v>
      </c>
      <c r="Y735" s="4" t="s">
        <v>1018</v>
      </c>
      <c r="Z735" s="4"/>
      <c r="AA735" s="5"/>
      <c r="AB735" s="5"/>
      <c r="AI735"/>
    </row>
    <row r="736" spans="1:35" hidden="1" x14ac:dyDescent="0.3">
      <c r="A736" s="5" t="str">
        <f>VLOOKUP(B736,base!A:M,11,FALSE)</f>
        <v>BIFÁSICO</v>
      </c>
      <c r="B736" s="37" t="s">
        <v>204</v>
      </c>
      <c r="C736" s="56">
        <v>67992637973</v>
      </c>
      <c r="D736" s="59">
        <v>62955505040894</v>
      </c>
      <c r="E736" s="37" t="s">
        <v>433</v>
      </c>
      <c r="F736" s="37" t="s">
        <v>434</v>
      </c>
      <c r="G736" s="52">
        <v>45778</v>
      </c>
      <c r="H736" s="52" t="str">
        <f>Faturamento!$B462&amp;Faturamento!$G462</f>
        <v>10/1548741-645689</v>
      </c>
      <c r="I736" s="37" t="s">
        <v>435</v>
      </c>
      <c r="J736">
        <v>27</v>
      </c>
      <c r="K736" s="3">
        <v>87.330200000000005</v>
      </c>
      <c r="L736" s="3">
        <v>79.675150000000002</v>
      </c>
      <c r="M736" s="5" t="str">
        <f>IF(Faturamento!$S462&lt;&gt;"","Não emitido",IF(Faturamento!$I462="NÃO","Pendente Fatura", IF(Faturamento!$R462&lt;&gt;"","Aprovado",IF(Faturamento!$O462&lt;&gt;0,"Pendente Emissão","Processo de Calculo"))))</f>
        <v>Aprovado</v>
      </c>
      <c r="N736" s="53">
        <v>30.620200000000001</v>
      </c>
      <c r="O736" s="53">
        <v>22.97</v>
      </c>
      <c r="P736" s="52"/>
      <c r="Q736" s="52"/>
      <c r="R736" s="53">
        <v>22.97</v>
      </c>
      <c r="S736" s="37"/>
      <c r="T736" s="51" t="s">
        <v>954</v>
      </c>
      <c r="U736" s="51"/>
      <c r="V736" s="37" t="s">
        <v>568</v>
      </c>
      <c r="W736" s="53">
        <v>30.62</v>
      </c>
      <c r="X736" s="123">
        <f>IF(Faturamento!$V276="Pago",IFERROR(W736-R736,0),0)</f>
        <v>7.6500000000000021</v>
      </c>
      <c r="Y736" s="52">
        <v>45926</v>
      </c>
      <c r="Z736" s="52"/>
      <c r="AA736" s="5"/>
      <c r="AB736" s="5"/>
      <c r="AI736"/>
    </row>
    <row r="737" spans="1:35" hidden="1" x14ac:dyDescent="0.3">
      <c r="A737" s="5" t="str">
        <f>VLOOKUP(B737,base!A:M,11,FALSE)</f>
        <v>TRIFÁSICO</v>
      </c>
      <c r="B737" t="s">
        <v>151</v>
      </c>
      <c r="C737" s="1">
        <v>67991133770</v>
      </c>
      <c r="D737" s="60">
        <v>62955505335851</v>
      </c>
      <c r="E737" s="63" t="s">
        <v>433</v>
      </c>
      <c r="F737" t="s">
        <v>434</v>
      </c>
      <c r="G737" s="4">
        <v>45717</v>
      </c>
      <c r="H737" s="4" t="str">
        <f>Faturamento!$B321&amp;Faturamento!$G321</f>
        <v>10/63920-345839</v>
      </c>
      <c r="I737" t="s">
        <v>435</v>
      </c>
      <c r="J737">
        <v>0</v>
      </c>
      <c r="M737" s="5" t="str">
        <f>IF(Faturamento!$S321&lt;&gt;"","Não emitido",IF(Faturamento!$I321="NÃO","Pendente Fatura", IF(Faturamento!$R321&lt;&gt;"","Aprovado",IF(Faturamento!$O321&lt;&gt;0,"Pendente Emissão","Processo de Calculo"))))</f>
        <v>Aprovado</v>
      </c>
      <c r="N737" s="3">
        <v>0</v>
      </c>
      <c r="O737" s="3">
        <v>22.65</v>
      </c>
      <c r="P737" s="4"/>
      <c r="Q737" s="4"/>
      <c r="S737" t="s">
        <v>708</v>
      </c>
      <c r="T737" s="51" t="s">
        <v>835</v>
      </c>
      <c r="U737" s="51"/>
      <c r="V737" t="s">
        <v>438</v>
      </c>
      <c r="W737" s="3">
        <v>0</v>
      </c>
      <c r="X737" s="123">
        <f>IF(Faturamento!$V140="Pago",IFERROR(W737-R737,0),0)</f>
        <v>0</v>
      </c>
      <c r="Y737" s="4"/>
      <c r="Z737" s="4"/>
      <c r="AA737" s="5"/>
      <c r="AB737" s="5"/>
      <c r="AI737"/>
    </row>
    <row r="738" spans="1:35" hidden="1" x14ac:dyDescent="0.3">
      <c r="A738" s="5" t="str">
        <f>VLOOKUP(B738,base!A:M,11,FALSE)</f>
        <v>TRIFÁSICO</v>
      </c>
      <c r="B738" s="37" t="s">
        <v>151</v>
      </c>
      <c r="C738" s="56">
        <v>67991133770</v>
      </c>
      <c r="D738" s="59">
        <v>62955505335851</v>
      </c>
      <c r="E738" s="37" t="s">
        <v>433</v>
      </c>
      <c r="F738" s="37" t="s">
        <v>434</v>
      </c>
      <c r="G738" s="52">
        <v>45689</v>
      </c>
      <c r="H738" s="52" t="str">
        <f>Faturamento!$B224&amp;Faturamento!$G224</f>
        <v>10/532081-745658</v>
      </c>
      <c r="I738" s="37" t="s">
        <v>435</v>
      </c>
      <c r="J738" s="37">
        <v>31</v>
      </c>
      <c r="K738" s="53">
        <v>282.41000000000003</v>
      </c>
      <c r="L738" s="53">
        <v>274.86</v>
      </c>
      <c r="M738" s="5" t="str">
        <f>IF(Faturamento!$S224&lt;&gt;"","Não emitido",IF(Faturamento!$I224="NÃO","Pendente Fatura", IF(Faturamento!$R224&lt;&gt;"","Aprovado",IF(Faturamento!$O224&lt;&gt;0,"Pendente Emissão","Processo de Calculo"))))</f>
        <v>Aprovado</v>
      </c>
      <c r="N738" s="53">
        <v>30.200000000000003</v>
      </c>
      <c r="O738" s="53">
        <v>22.65</v>
      </c>
      <c r="P738" s="52"/>
      <c r="Q738" s="52"/>
      <c r="R738" s="53">
        <v>22.65</v>
      </c>
      <c r="S738" s="37"/>
      <c r="T738" s="51" t="s">
        <v>770</v>
      </c>
      <c r="U738" s="51"/>
      <c r="V738" s="37" t="s">
        <v>568</v>
      </c>
      <c r="W738" s="53">
        <v>22.65</v>
      </c>
      <c r="X738" s="123">
        <f>IF(Faturamento!$V268="Pago",IFERROR(W738-R738,0),0)</f>
        <v>0</v>
      </c>
      <c r="Y738" s="52"/>
      <c r="Z738" s="52"/>
      <c r="AA738" s="5"/>
      <c r="AB738" s="5"/>
      <c r="AI738"/>
    </row>
    <row r="739" spans="1:35" hidden="1" x14ac:dyDescent="0.3">
      <c r="A739" s="5" t="str">
        <f>VLOOKUP(B739,base!A:M,11,FALSE)</f>
        <v>TRIFÁSICO</v>
      </c>
      <c r="B739" s="37" t="s">
        <v>343</v>
      </c>
      <c r="C739" s="56">
        <v>67992637973</v>
      </c>
      <c r="D739" s="59">
        <v>62955505358630</v>
      </c>
      <c r="E739" s="37" t="s">
        <v>433</v>
      </c>
      <c r="F739" s="37" t="s">
        <v>434</v>
      </c>
      <c r="G739" s="52">
        <v>45748</v>
      </c>
      <c r="H739" s="52" t="str">
        <f>Faturamento!$B432&amp;Faturamento!$G432</f>
        <v>10/276283-945870</v>
      </c>
      <c r="I739" s="37" t="s">
        <v>435</v>
      </c>
      <c r="J739" s="37">
        <v>31</v>
      </c>
      <c r="K739" s="53">
        <v>167.21</v>
      </c>
      <c r="L739" s="53">
        <v>159.67000000000002</v>
      </c>
      <c r="M739" s="5" t="str">
        <f>IF(Faturamento!$S432&lt;&gt;"","Não emitido",IF(Faturamento!$I432="NÃO","Pendente Fatura", IF(Faturamento!$R432&lt;&gt;"","Aprovado",IF(Faturamento!$O432&lt;&gt;0,"Pendente Emissão","Processo de Calculo"))))</f>
        <v>Aprovado</v>
      </c>
      <c r="N739" s="53">
        <v>30.159999999999997</v>
      </c>
      <c r="O739" s="53">
        <v>22.62</v>
      </c>
      <c r="P739" s="52"/>
      <c r="Q739" s="52"/>
      <c r="R739" s="53">
        <v>22.62</v>
      </c>
      <c r="S739" s="37"/>
      <c r="T739" s="51" t="s">
        <v>927</v>
      </c>
      <c r="U739" s="51"/>
      <c r="V739" s="37" t="s">
        <v>568</v>
      </c>
      <c r="W739" s="53">
        <v>22.62</v>
      </c>
      <c r="X739" s="123">
        <f>IF(Faturamento!$V267="Pago",IFERROR(W739-R739,0),0)</f>
        <v>0</v>
      </c>
      <c r="Y739" s="52"/>
      <c r="Z739" s="52"/>
      <c r="AA739" s="5"/>
      <c r="AB739" s="5"/>
      <c r="AI739"/>
    </row>
    <row r="740" spans="1:35" hidden="1" x14ac:dyDescent="0.3">
      <c r="A740" s="5" t="str">
        <f>VLOOKUP(B740,base!A:M,11,FALSE)</f>
        <v>TRIFÁSICO</v>
      </c>
      <c r="B740" s="37" t="s">
        <v>232</v>
      </c>
      <c r="C740" s="56" t="s">
        <v>234</v>
      </c>
      <c r="D740" s="59">
        <v>62955505287601</v>
      </c>
      <c r="E740" s="37" t="s">
        <v>433</v>
      </c>
      <c r="F740" s="37" t="s">
        <v>434</v>
      </c>
      <c r="G740" s="52">
        <v>45748</v>
      </c>
      <c r="H740" s="52" t="str">
        <f>Faturamento!$B408&amp;Faturamento!$G408</f>
        <v>10/1433087-245689</v>
      </c>
      <c r="I740" s="37" t="s">
        <v>435</v>
      </c>
      <c r="J740" s="37">
        <v>31</v>
      </c>
      <c r="K740" s="53">
        <v>165.03</v>
      </c>
      <c r="L740" s="53">
        <v>157.49250000000001</v>
      </c>
      <c r="M740" s="5" t="str">
        <f>IF(Faturamento!$S408&lt;&gt;"","Não emitido",IF(Faturamento!$I408="NÃO","Pendente Fatura", IF(Faturamento!$R408&lt;&gt;"","Aprovado",IF(Faturamento!$O408&lt;&gt;0,"Pendente Emissão","Processo de Calculo"))))</f>
        <v>Aprovado</v>
      </c>
      <c r="N740" s="53">
        <v>30.150000000000002</v>
      </c>
      <c r="O740" s="53">
        <v>22.61</v>
      </c>
      <c r="P740" s="52"/>
      <c r="Q740" s="52"/>
      <c r="R740" s="53">
        <v>22.61</v>
      </c>
      <c r="S740" s="37"/>
      <c r="T740" s="51" t="s">
        <v>905</v>
      </c>
      <c r="U740" s="51"/>
      <c r="V740" s="37" t="s">
        <v>568</v>
      </c>
      <c r="W740" s="53">
        <v>22.61</v>
      </c>
      <c r="X740" s="123">
        <f>IF(Faturamento!$V266="Pago",IFERROR(W740-R740,0),0)</f>
        <v>0</v>
      </c>
      <c r="Y740" s="52"/>
      <c r="Z740" s="52"/>
      <c r="AA740" s="5"/>
      <c r="AB740" s="5"/>
      <c r="AI740"/>
    </row>
    <row r="741" spans="1:35" hidden="1" x14ac:dyDescent="0.3">
      <c r="A741" s="5" t="str">
        <f>VLOOKUP(B741,base!A:M,11,FALSE)</f>
        <v>TRIFÁSICO</v>
      </c>
      <c r="B741" t="s">
        <v>143</v>
      </c>
      <c r="C741" s="56" t="s">
        <v>144</v>
      </c>
      <c r="D741">
        <v>62955505149047</v>
      </c>
      <c r="E741" s="37" t="s">
        <v>433</v>
      </c>
      <c r="F741" t="s">
        <v>108</v>
      </c>
      <c r="G741" s="4">
        <v>45931</v>
      </c>
      <c r="H741" s="52" t="str">
        <f>Faturamento!$B960&amp;Faturamento!$G960</f>
        <v>10/1433087-245839</v>
      </c>
      <c r="I741" s="37" t="s">
        <v>435</v>
      </c>
      <c r="J741">
        <v>118</v>
      </c>
      <c r="K741" s="3">
        <v>444.05747368421055</v>
      </c>
      <c r="L741" s="3">
        <v>403.58300182026369</v>
      </c>
      <c r="M741" s="5" t="s">
        <v>1489</v>
      </c>
      <c r="N741" s="53">
        <v>62.507473684110522</v>
      </c>
      <c r="O741" s="53">
        <v>22.03</v>
      </c>
      <c r="P741" s="52">
        <v>45967</v>
      </c>
      <c r="Q741" s="52">
        <v>45974</v>
      </c>
      <c r="R741" s="53">
        <v>22.03</v>
      </c>
      <c r="S741" s="37"/>
      <c r="T741" s="3" t="str">
        <f>D741&amp;R741</f>
        <v>6295550514904722,03</v>
      </c>
      <c r="U741" s="3" t="s">
        <v>1772</v>
      </c>
      <c r="V741" s="37" t="s">
        <v>568</v>
      </c>
      <c r="W741" s="13">
        <f>R741</f>
        <v>22.03</v>
      </c>
      <c r="X741" s="124">
        <f>IF(Faturamento!$V962="Pago",IFERROR(W741-R741,0),0)</f>
        <v>0</v>
      </c>
    </row>
    <row r="742" spans="1:35" hidden="1" x14ac:dyDescent="0.3">
      <c r="A742" s="5" t="str">
        <f>VLOOKUP(B742,base!A:M,11,FALSE)</f>
        <v>TRIFÁSICO</v>
      </c>
      <c r="B742" s="37" t="s">
        <v>343</v>
      </c>
      <c r="C742" s="56">
        <v>0</v>
      </c>
      <c r="D742" s="59">
        <v>62955505358630</v>
      </c>
      <c r="E742" s="37" t="s">
        <v>433</v>
      </c>
      <c r="F742" s="37" t="s">
        <v>434</v>
      </c>
      <c r="G742" s="52">
        <v>45901</v>
      </c>
      <c r="H742" s="52" t="str">
        <f>Faturamento!$B892&amp;Faturamento!$G892</f>
        <v>10/252817-245717</v>
      </c>
      <c r="I742" s="37" t="s">
        <v>435</v>
      </c>
      <c r="J742">
        <v>27</v>
      </c>
      <c r="K742" s="3">
        <v>177.2759375</v>
      </c>
      <c r="L742" s="3">
        <v>169.65206442745389</v>
      </c>
      <c r="M742" s="5" t="s">
        <v>1489</v>
      </c>
      <c r="N742" s="53">
        <v>28.385937500000001</v>
      </c>
      <c r="O742" s="53">
        <v>20.76</v>
      </c>
      <c r="P742" s="52">
        <v>45933</v>
      </c>
      <c r="Q742" s="52">
        <v>45943</v>
      </c>
      <c r="R742" s="53">
        <f>O742</f>
        <v>20.76</v>
      </c>
      <c r="S742" s="37"/>
      <c r="T742" s="51" t="s">
        <v>1654</v>
      </c>
      <c r="U742" s="51" t="s">
        <v>1655</v>
      </c>
      <c r="V742" s="37" t="s">
        <v>568</v>
      </c>
      <c r="W742" s="53">
        <f>O742</f>
        <v>20.76</v>
      </c>
      <c r="X742" s="123">
        <f>IF(Faturamento!$V265="Pago",IFERROR(W742-R742,0),0)</f>
        <v>0</v>
      </c>
      <c r="Y742" s="52"/>
      <c r="Z742" s="52"/>
      <c r="AA742" s="5"/>
      <c r="AB742" s="5"/>
      <c r="AI742"/>
    </row>
    <row r="743" spans="1:35" hidden="1" x14ac:dyDescent="0.3">
      <c r="A743" s="5" t="str">
        <f>VLOOKUP(B743,base!A:M,11,FALSE)</f>
        <v>TRIFÁSICO</v>
      </c>
      <c r="B743" t="s">
        <v>242</v>
      </c>
      <c r="C743" s="1">
        <v>67996266684</v>
      </c>
      <c r="D743" s="60">
        <v>62955505312487</v>
      </c>
      <c r="E743" s="63" t="s">
        <v>433</v>
      </c>
      <c r="F743" t="s">
        <v>434</v>
      </c>
      <c r="G743" s="4">
        <v>45778</v>
      </c>
      <c r="H743" s="4" t="str">
        <f>Faturamento!$B517&amp;Faturamento!$G517</f>
        <v>10/113971-645658</v>
      </c>
      <c r="I743" t="s">
        <v>435</v>
      </c>
      <c r="J743">
        <v>27</v>
      </c>
      <c r="K743" s="3">
        <v>178.00218749999999</v>
      </c>
      <c r="L743" s="3">
        <v>171.47414062499999</v>
      </c>
      <c r="M743" s="5" t="str">
        <f>IF(Faturamento!$S517&lt;&gt;"","Não emitido",IF(Faturamento!$I517="NÃO","Pendente Fatura", IF(Faturamento!$R517&lt;&gt;"","Aprovado",IF(Faturamento!$O517&lt;&gt;0,"Pendente Emissão","Processo de Calculo"))))</f>
        <v>Aprovado</v>
      </c>
      <c r="N743" s="3">
        <v>26.112187499999997</v>
      </c>
      <c r="O743" s="3">
        <v>19.579999999999998</v>
      </c>
      <c r="P743" s="4"/>
      <c r="Q743" s="4"/>
      <c r="R743" s="3">
        <v>19.579999999999998</v>
      </c>
      <c r="S743"/>
      <c r="T743" s="51" t="s">
        <v>1002</v>
      </c>
      <c r="U743" s="51"/>
      <c r="V743" t="s">
        <v>568</v>
      </c>
      <c r="W743" s="3">
        <v>19.579999999999998</v>
      </c>
      <c r="X743" s="123">
        <f>IF(Faturamento!$V264="Pago",IFERROR(W743-R743,0),0)</f>
        <v>0</v>
      </c>
      <c r="Y743" s="4"/>
      <c r="Z743" s="4"/>
      <c r="AA743" s="5"/>
      <c r="AB743" s="5"/>
      <c r="AI743"/>
    </row>
    <row r="744" spans="1:35" hidden="1" x14ac:dyDescent="0.3">
      <c r="A744" s="5" t="str">
        <f>VLOOKUP(B744,base!A:M,11,FALSE)</f>
        <v>TRIFÁSICO</v>
      </c>
      <c r="B744" s="37" t="s">
        <v>134</v>
      </c>
      <c r="C744" s="56">
        <v>0</v>
      </c>
      <c r="D744" s="59">
        <v>62955505892114</v>
      </c>
      <c r="E744" s="37" t="s">
        <v>433</v>
      </c>
      <c r="F744" s="37" t="s">
        <v>434</v>
      </c>
      <c r="G744" s="52">
        <v>45870</v>
      </c>
      <c r="H744" s="52" t="str">
        <f>Faturamento!$B742&amp;Faturamento!$G742</f>
        <v>10/908866-745901</v>
      </c>
      <c r="I744" s="37" t="s">
        <v>435</v>
      </c>
      <c r="J744">
        <v>21</v>
      </c>
      <c r="K744" s="3">
        <v>165.29850000000002</v>
      </c>
      <c r="L744" s="3">
        <v>159.66111116868112</v>
      </c>
      <c r="M744" s="5" t="str">
        <f>IF(Faturamento!$S742&lt;&gt;"","Não emitido",IF(Faturamento!$I742="NÃO","Pendente Fatura", IF(Faturamento!$R742&lt;&gt;"","Aprovado",IF(Faturamento!$O742&lt;&gt;0,"Pendente Emissão","Processo de Calculo"))))</f>
        <v>Aprovado</v>
      </c>
      <c r="N744" s="53">
        <v>24.948500000000003</v>
      </c>
      <c r="O744" s="53">
        <v>19.309999999999999</v>
      </c>
      <c r="P744" s="52">
        <v>45910</v>
      </c>
      <c r="Q744" s="52">
        <v>45920</v>
      </c>
      <c r="R744" s="53">
        <v>19.309999999999999</v>
      </c>
      <c r="S744" s="37"/>
      <c r="T744" s="51" t="s">
        <v>1385</v>
      </c>
      <c r="U744" s="51" t="s">
        <v>1386</v>
      </c>
      <c r="V744" s="37" t="s">
        <v>568</v>
      </c>
      <c r="W744" s="53">
        <v>19.309999999999999</v>
      </c>
      <c r="X744" s="123">
        <f>IF(Faturamento!$V263="Pago",IFERROR(W744-R744,0),0)</f>
        <v>0</v>
      </c>
      <c r="Y744" s="52"/>
      <c r="Z744" s="52"/>
      <c r="AA744" s="5"/>
      <c r="AB744" s="5"/>
      <c r="AI744"/>
    </row>
    <row r="745" spans="1:35" hidden="1" x14ac:dyDescent="0.3">
      <c r="A745" s="5" t="str">
        <f>VLOOKUP(B745,base!A:M,11,FALSE)</f>
        <v>TRIFÁSICO</v>
      </c>
      <c r="B745" s="37" t="s">
        <v>171</v>
      </c>
      <c r="C745" s="56">
        <v>67996266684</v>
      </c>
      <c r="D745" s="59">
        <v>62955505312487</v>
      </c>
      <c r="E745" s="37" t="s">
        <v>433</v>
      </c>
      <c r="F745" s="37" t="s">
        <v>434</v>
      </c>
      <c r="G745" s="52">
        <v>45809</v>
      </c>
      <c r="H745" s="52" t="str">
        <f>Faturamento!$B566&amp;Faturamento!$G566</f>
        <v>10/191945-545748</v>
      </c>
      <c r="I745" s="37" t="s">
        <v>435</v>
      </c>
      <c r="J745" s="37">
        <v>24</v>
      </c>
      <c r="K745" s="53">
        <v>443.50685393258431</v>
      </c>
      <c r="L745" s="53">
        <v>437.75418463897807</v>
      </c>
      <c r="M745" s="5" t="str">
        <f>IF(Faturamento!$S566&lt;&gt;"","Não emitido",IF(Faturamento!$I566="NÃO","Pendente Fatura", IF(Faturamento!$R566&lt;&gt;"","Aprovado",IF(Faturamento!$O566&lt;&gt;0,"Pendente Emissão","Processo de Calculo"))))</f>
        <v>Aprovado</v>
      </c>
      <c r="N745" s="53">
        <v>24.246853932584273</v>
      </c>
      <c r="O745" s="53">
        <v>18.190000000000001</v>
      </c>
      <c r="P745" s="52">
        <v>45860</v>
      </c>
      <c r="Q745" s="52">
        <v>45871</v>
      </c>
      <c r="R745" s="53">
        <v>18.190000000000001</v>
      </c>
      <c r="S745" s="37"/>
      <c r="T745" s="51" t="s">
        <v>1091</v>
      </c>
      <c r="U745" s="51" t="s">
        <v>1092</v>
      </c>
      <c r="V745" s="37" t="s">
        <v>568</v>
      </c>
      <c r="W745" s="53">
        <v>18.190000000000001</v>
      </c>
      <c r="X745" s="123">
        <f>IF(Faturamento!$V262="Pago",IFERROR(W745-R745,0),0)</f>
        <v>0</v>
      </c>
      <c r="Y745" s="52" t="s">
        <v>1015</v>
      </c>
      <c r="Z745" s="52"/>
      <c r="AA745" s="5"/>
      <c r="AB745" s="5"/>
      <c r="AI745"/>
    </row>
    <row r="746" spans="1:35" hidden="1" x14ac:dyDescent="0.3">
      <c r="A746" s="5" t="str">
        <f>VLOOKUP(B746,base!A:M,11,FALSE)</f>
        <v>TRIFÁSICO</v>
      </c>
      <c r="B746" s="37" t="s">
        <v>350</v>
      </c>
      <c r="C746" s="56">
        <v>67993496482</v>
      </c>
      <c r="D746" s="59">
        <v>62955505015512</v>
      </c>
      <c r="E746" s="37" t="s">
        <v>433</v>
      </c>
      <c r="F746" s="37" t="s">
        <v>434</v>
      </c>
      <c r="G746" s="52">
        <v>45778</v>
      </c>
      <c r="H746" s="52" t="str">
        <f>Faturamento!$B466&amp;Faturamento!$G466</f>
        <v>10/532081-745901</v>
      </c>
      <c r="I746" s="37" t="s">
        <v>435</v>
      </c>
      <c r="J746">
        <v>21</v>
      </c>
      <c r="K746" s="3">
        <v>188.55560000000003</v>
      </c>
      <c r="L746" s="3">
        <v>182.65670000000003</v>
      </c>
      <c r="M746" s="5" t="str">
        <f>IF(Faturamento!$S466&lt;&gt;"","Não emitido",IF(Faturamento!$I466="NÃO","Pendente Fatura", IF(Faturamento!$R466&lt;&gt;"","Aprovado",IF(Faturamento!$O466&lt;&gt;0,"Pendente Emissão","Processo de Calculo"))))</f>
        <v>Aprovado</v>
      </c>
      <c r="N746" s="53">
        <v>23.595599999999997</v>
      </c>
      <c r="O746" s="53">
        <v>17.7</v>
      </c>
      <c r="P746" s="52"/>
      <c r="Q746" s="52"/>
      <c r="R746" s="53">
        <v>17.7</v>
      </c>
      <c r="S746" s="37"/>
      <c r="T746" s="51" t="s">
        <v>958</v>
      </c>
      <c r="U746" s="51"/>
      <c r="V746" s="37" t="s">
        <v>568</v>
      </c>
      <c r="W746" s="53">
        <v>17.7</v>
      </c>
      <c r="X746" s="123">
        <f>IF(Faturamento!$V261="Pago",IFERROR(W746-R746,0),0)</f>
        <v>0</v>
      </c>
      <c r="Y746" s="52"/>
      <c r="Z746" s="52"/>
      <c r="AA746" s="5"/>
      <c r="AB746" s="5"/>
      <c r="AI746"/>
    </row>
    <row r="747" spans="1:35" hidden="1" x14ac:dyDescent="0.3">
      <c r="A747" s="5" t="str">
        <f>VLOOKUP(B747,base!A:M,11,FALSE)</f>
        <v>TRIFÁSICO</v>
      </c>
      <c r="B747" t="s">
        <v>287</v>
      </c>
      <c r="C747" s="1">
        <v>0</v>
      </c>
      <c r="D747" s="60">
        <v>62955505273058</v>
      </c>
      <c r="E747" s="63" t="s">
        <v>433</v>
      </c>
      <c r="F747" t="s">
        <v>434</v>
      </c>
      <c r="G747" s="4">
        <v>45901</v>
      </c>
      <c r="H747" s="4" t="str">
        <f>Faturamento!$B835&amp;Faturamento!$G835</f>
        <v>10/2344751-945658</v>
      </c>
      <c r="I747" t="s">
        <v>435</v>
      </c>
      <c r="J747">
        <v>21</v>
      </c>
      <c r="K747" s="3">
        <v>144.96939393939394</v>
      </c>
      <c r="L747" s="3">
        <v>138.5370842945797</v>
      </c>
      <c r="M747" s="5" t="s">
        <v>1489</v>
      </c>
      <c r="N747" s="3">
        <v>23.949393939393943</v>
      </c>
      <c r="O747" s="3">
        <v>17.52</v>
      </c>
      <c r="P747" s="4">
        <v>45933</v>
      </c>
      <c r="Q747" s="4">
        <v>45943</v>
      </c>
      <c r="R747" s="3">
        <f>O747</f>
        <v>17.52</v>
      </c>
      <c r="S747"/>
      <c r="T747" s="51" t="s">
        <v>1554</v>
      </c>
      <c r="U747" s="51" t="s">
        <v>1555</v>
      </c>
      <c r="V747" t="s">
        <v>568</v>
      </c>
      <c r="W747" s="3">
        <f>R747</f>
        <v>17.52</v>
      </c>
      <c r="X747" s="123">
        <f>IF(Faturamento!$V260="Pago",IFERROR(W747-R747,0),0)</f>
        <v>0</v>
      </c>
      <c r="Y747" s="4"/>
      <c r="Z747" s="4"/>
      <c r="AA747" s="5"/>
      <c r="AB747" s="5"/>
      <c r="AI747"/>
    </row>
    <row r="748" spans="1:35" hidden="1" x14ac:dyDescent="0.3">
      <c r="A748" s="5" t="str">
        <f>VLOOKUP(B748,base!A:M,11,FALSE)</f>
        <v>BIFÁSICO</v>
      </c>
      <c r="B748" t="s">
        <v>192</v>
      </c>
      <c r="C748" s="1">
        <v>67999516782</v>
      </c>
      <c r="D748" s="60">
        <v>62955505134449</v>
      </c>
      <c r="E748" s="63" t="s">
        <v>433</v>
      </c>
      <c r="F748" t="s">
        <v>434</v>
      </c>
      <c r="G748" s="4">
        <v>45717</v>
      </c>
      <c r="H748" s="4" t="str">
        <f>Faturamento!$B301&amp;Faturamento!$G301</f>
        <v>10/162736-345658</v>
      </c>
      <c r="I748" t="s">
        <v>435</v>
      </c>
      <c r="J748">
        <v>23</v>
      </c>
      <c r="K748" s="3">
        <v>91.509999999999991</v>
      </c>
      <c r="L748" s="3">
        <v>85.91</v>
      </c>
      <c r="M748" s="5" t="str">
        <f>IF(Faturamento!$S301&lt;&gt;"","Não emitido",IF(Faturamento!$I301="NÃO","Pendente Fatura", IF(Faturamento!$R301&lt;&gt;"","Aprovado",IF(Faturamento!$O301&lt;&gt;0,"Pendente Emissão","Processo de Calculo"))))</f>
        <v>Aprovado</v>
      </c>
      <c r="N748" s="3">
        <v>22.400000000000002</v>
      </c>
      <c r="O748" s="3">
        <v>16.8</v>
      </c>
      <c r="P748" s="4"/>
      <c r="Q748" s="4"/>
      <c r="R748" s="3">
        <v>16.8</v>
      </c>
      <c r="S748"/>
      <c r="T748" s="51" t="s">
        <v>828</v>
      </c>
      <c r="U748" s="51"/>
      <c r="V748" t="s">
        <v>568</v>
      </c>
      <c r="W748" s="3">
        <v>16.8</v>
      </c>
      <c r="X748" s="123">
        <f>IF(Faturamento!$V258="Pago",IFERROR(W748-R748,0),0)</f>
        <v>0</v>
      </c>
      <c r="Y748" s="4"/>
      <c r="Z748" s="4"/>
      <c r="AA748" s="5"/>
      <c r="AB748" s="5"/>
      <c r="AI748"/>
    </row>
    <row r="749" spans="1:35" hidden="1" x14ac:dyDescent="0.3">
      <c r="A749" s="5" t="str">
        <f>VLOOKUP(B749,base!A:M,11,FALSE)</f>
        <v>TRIFÁSICO</v>
      </c>
      <c r="B749" s="37" t="s">
        <v>292</v>
      </c>
      <c r="C749" s="56">
        <v>67996446178</v>
      </c>
      <c r="D749" s="59">
        <v>62955505887382</v>
      </c>
      <c r="E749" s="37" t="s">
        <v>433</v>
      </c>
      <c r="F749" s="37" t="s">
        <v>434</v>
      </c>
      <c r="G749" s="52">
        <v>45717</v>
      </c>
      <c r="H749" s="52" t="str">
        <f>Faturamento!$B308&amp;Faturamento!$G308</f>
        <v>10/257864-945689</v>
      </c>
      <c r="I749" s="37" t="s">
        <v>435</v>
      </c>
      <c r="J749">
        <v>23</v>
      </c>
      <c r="K749" s="3">
        <v>136.1</v>
      </c>
      <c r="L749" s="3">
        <v>130.5</v>
      </c>
      <c r="M749" s="5" t="str">
        <f>IF(Faturamento!$S308&lt;&gt;"","Não emitido",IF(Faturamento!$I308="NÃO","Pendente Fatura", IF(Faturamento!$R308&lt;&gt;"","Aprovado",IF(Faturamento!$O308&lt;&gt;0,"Pendente Emissão","Processo de Calculo"))))</f>
        <v>Aprovado</v>
      </c>
      <c r="N749" s="53">
        <v>56</v>
      </c>
      <c r="O749" s="53">
        <v>16.8</v>
      </c>
      <c r="P749" s="52"/>
      <c r="Q749" s="52"/>
      <c r="R749" s="53">
        <v>16.8</v>
      </c>
      <c r="S749" s="37"/>
      <c r="T749" s="51" t="s">
        <v>831</v>
      </c>
      <c r="U749" s="51"/>
      <c r="V749" s="37" t="s">
        <v>568</v>
      </c>
      <c r="W749" s="53">
        <v>16.8</v>
      </c>
      <c r="X749" s="123">
        <f>IF(Faturamento!$V259="Pago",IFERROR(W749-R749,0),0)</f>
        <v>0</v>
      </c>
      <c r="Y749" s="52"/>
      <c r="Z749" s="52"/>
      <c r="AA749" s="5"/>
      <c r="AB749" s="5"/>
      <c r="AI749"/>
    </row>
    <row r="750" spans="1:35" hidden="1" x14ac:dyDescent="0.3">
      <c r="A750" s="5" t="str">
        <f>VLOOKUP(B750,base!A:M,11,FALSE)</f>
        <v>TRIFÁSICO</v>
      </c>
      <c r="B750" t="s">
        <v>232</v>
      </c>
      <c r="C750" s="1" t="s">
        <v>234</v>
      </c>
      <c r="D750" s="60">
        <v>62955505287601</v>
      </c>
      <c r="E750" s="63" t="s">
        <v>433</v>
      </c>
      <c r="F750" t="s">
        <v>434</v>
      </c>
      <c r="G750" s="4">
        <v>45809</v>
      </c>
      <c r="H750" s="4" t="str">
        <f>Faturamento!$B581&amp;Faturamento!$G581</f>
        <v>10/52987-545748</v>
      </c>
      <c r="I750" t="s">
        <v>435</v>
      </c>
      <c r="J750" s="37">
        <v>22</v>
      </c>
      <c r="K750" s="53">
        <v>163.26845360824743</v>
      </c>
      <c r="L750" s="53">
        <v>157.97805058426238</v>
      </c>
      <c r="M750" s="5" t="str">
        <f>IF(Faturamento!$S581&lt;&gt;"","Não emitido",IF(Faturamento!$I581="NÃO","Pendente Fatura", IF(Faturamento!$R581&lt;&gt;"","Aprovado",IF(Faturamento!$O581&lt;&gt;0,"Pendente Emissão","Processo de Calculo"))))</f>
        <v>Aprovado</v>
      </c>
      <c r="N750" s="3">
        <v>22.298453608247428</v>
      </c>
      <c r="O750" s="3">
        <v>16.72</v>
      </c>
      <c r="P750" s="4">
        <v>45860</v>
      </c>
      <c r="Q750" s="4">
        <v>45871</v>
      </c>
      <c r="R750" s="3">
        <v>16.72</v>
      </c>
      <c r="S750"/>
      <c r="T750" s="51" t="s">
        <v>1121</v>
      </c>
      <c r="U750" s="51" t="s">
        <v>1122</v>
      </c>
      <c r="V750" t="s">
        <v>568</v>
      </c>
      <c r="W750" s="3">
        <v>16.72</v>
      </c>
      <c r="X750" s="123">
        <f>IF(Faturamento!$V257="Pago",IFERROR(W750-R750,0),0)</f>
        <v>0</v>
      </c>
      <c r="Y750" s="4" t="s">
        <v>1015</v>
      </c>
      <c r="Z750" s="4"/>
      <c r="AA750" s="5"/>
      <c r="AB750" s="5"/>
      <c r="AI750"/>
    </row>
    <row r="751" spans="1:35" hidden="1" x14ac:dyDescent="0.3">
      <c r="A751" s="5" t="str">
        <f>VLOOKUP(B751,base!A:M,11,FALSE)</f>
        <v>BIFÁSICO</v>
      </c>
      <c r="B751" t="s">
        <v>215</v>
      </c>
      <c r="C751" s="85">
        <v>67981311823</v>
      </c>
      <c r="D751" s="60">
        <v>62955505182176</v>
      </c>
      <c r="E751" s="63" t="s">
        <v>433</v>
      </c>
      <c r="F751" t="s">
        <v>434</v>
      </c>
      <c r="G751" s="4">
        <v>45839</v>
      </c>
      <c r="H751" s="4" t="str">
        <f>Faturamento!$B697&amp;Faturamento!$G697</f>
        <v>10/530195-745778</v>
      </c>
      <c r="I751" t="s">
        <v>435</v>
      </c>
      <c r="J751" s="37">
        <v>17</v>
      </c>
      <c r="K751" s="53">
        <v>104.2654</v>
      </c>
      <c r="L751" s="53">
        <v>99.731217240000007</v>
      </c>
      <c r="M751" s="5" t="str">
        <f>IF(Faturamento!$S697&lt;&gt;"","Não emitido",IF(Faturamento!$I697="NÃO","Pendente Fatura", IF(Faturamento!$R697&lt;&gt;"","Aprovado",IF(Faturamento!$O697&lt;&gt;0,"Pendente Emissão","Processo de Calculo"))))</f>
        <v>Aprovado</v>
      </c>
      <c r="N751" s="3">
        <v>20.495400000000004</v>
      </c>
      <c r="O751" s="3">
        <v>15.96</v>
      </c>
      <c r="P751" s="4">
        <v>45910</v>
      </c>
      <c r="Q751" s="4">
        <v>45920</v>
      </c>
      <c r="R751" s="3">
        <v>15.96</v>
      </c>
      <c r="S751"/>
      <c r="T751" s="51" t="s">
        <v>1301</v>
      </c>
      <c r="U751" s="51" t="s">
        <v>1302</v>
      </c>
      <c r="V751" t="s">
        <v>369</v>
      </c>
      <c r="W751" s="3"/>
      <c r="X751" s="123">
        <f>IF(Faturamento!$V853="Pago",IFERROR(W751-R751,0),0)</f>
        <v>0</v>
      </c>
      <c r="Y751" s="4"/>
      <c r="Z751" s="196" t="s">
        <v>1795</v>
      </c>
      <c r="AA751" s="5"/>
      <c r="AB751" s="5"/>
      <c r="AI751"/>
    </row>
    <row r="752" spans="1:35" hidden="1" x14ac:dyDescent="0.3">
      <c r="A752" s="5" t="str">
        <f>VLOOKUP(B752,base!A:M,11,FALSE)</f>
        <v>TRIFÁSICO</v>
      </c>
      <c r="B752" t="s">
        <v>134</v>
      </c>
      <c r="C752" s="1">
        <v>67999516782</v>
      </c>
      <c r="D752" s="60">
        <v>62955505892114</v>
      </c>
      <c r="E752" s="63" t="s">
        <v>433</v>
      </c>
      <c r="F752" t="s">
        <v>434</v>
      </c>
      <c r="G752" s="4">
        <v>45809</v>
      </c>
      <c r="H752" s="4" t="str">
        <f>Faturamento!$B549&amp;Faturamento!$G549</f>
        <v>10/252817-245778</v>
      </c>
      <c r="I752" t="s">
        <v>435</v>
      </c>
      <c r="J752" s="37">
        <v>18</v>
      </c>
      <c r="K752" s="53">
        <v>161.14240000000001</v>
      </c>
      <c r="L752" s="53">
        <v>156.11204035953358</v>
      </c>
      <c r="M752" s="5" t="str">
        <f>IF(Faturamento!$S549&lt;&gt;"","Não emitido",IF(Faturamento!$I549="NÃO","Pendente Fatura", IF(Faturamento!$R549&lt;&gt;"","Aprovado",IF(Faturamento!$O549&lt;&gt;0,"Pendente Emissão","Processo de Calculo"))))</f>
        <v>Aprovado</v>
      </c>
      <c r="N752" s="3">
        <v>21.202400000000001</v>
      </c>
      <c r="O752" s="3">
        <v>15.9</v>
      </c>
      <c r="P752" s="4">
        <v>45860</v>
      </c>
      <c r="Q752" s="4">
        <v>45871</v>
      </c>
      <c r="R752" s="3">
        <v>15.9</v>
      </c>
      <c r="S752"/>
      <c r="T752" s="51" t="s">
        <v>1057</v>
      </c>
      <c r="U752" s="51" t="s">
        <v>1058</v>
      </c>
      <c r="V752" t="s">
        <v>568</v>
      </c>
      <c r="W752" s="3">
        <v>15.9</v>
      </c>
      <c r="X752" s="123">
        <f>IF(Faturamento!$V256="Pago",IFERROR(W752-R752,0),0)</f>
        <v>0</v>
      </c>
      <c r="Y752" s="4">
        <v>45901</v>
      </c>
      <c r="Z752" s="4"/>
      <c r="AA752" s="5"/>
      <c r="AB752" s="5"/>
      <c r="AI752"/>
    </row>
    <row r="753" spans="1:35" hidden="1" x14ac:dyDescent="0.3">
      <c r="A753" s="5" t="str">
        <f>VLOOKUP(B753,base!A:M,11,FALSE)</f>
        <v>TRIFÁSICO</v>
      </c>
      <c r="B753" t="s">
        <v>213</v>
      </c>
      <c r="C753" s="1">
        <v>0</v>
      </c>
      <c r="D753" s="60">
        <v>62955505274020</v>
      </c>
      <c r="E753" s="63" t="s">
        <v>433</v>
      </c>
      <c r="F753" t="s">
        <v>434</v>
      </c>
      <c r="G753" s="4">
        <v>45870</v>
      </c>
      <c r="H753" s="4" t="str">
        <f>Faturamento!$B773&amp;Faturamento!$G773</f>
        <v>10/257864-945870</v>
      </c>
      <c r="I753" t="s">
        <v>435</v>
      </c>
      <c r="J753">
        <v>20</v>
      </c>
      <c r="K753" s="3">
        <v>135.06701030927834</v>
      </c>
      <c r="L753" s="3">
        <v>130.45130195908646</v>
      </c>
      <c r="M753" s="5" t="str">
        <f>IF(Faturamento!$S773&lt;&gt;"","Não emitido",IF(Faturamento!$I773="NÃO","Pendente Fatura", IF(Faturamento!$R773&lt;&gt;"","Aprovado",IF(Faturamento!$O773&lt;&gt;0,"Pendente Emissão","Processo de Calculo"))))</f>
        <v>Aprovado</v>
      </c>
      <c r="N753" s="3">
        <v>21.087010309278348</v>
      </c>
      <c r="O753" s="3">
        <v>15.81</v>
      </c>
      <c r="P753" s="4">
        <v>45910</v>
      </c>
      <c r="Q753" s="4">
        <v>45920</v>
      </c>
      <c r="R753" s="3">
        <v>15.81</v>
      </c>
      <c r="S753"/>
      <c r="T753" s="51" t="s">
        <v>1442</v>
      </c>
      <c r="U753" s="51" t="s">
        <v>1443</v>
      </c>
      <c r="V753" t="s">
        <v>568</v>
      </c>
      <c r="W753" s="3">
        <v>15.81</v>
      </c>
      <c r="X753" s="123">
        <f>IF(Faturamento!$V255="Pago",IFERROR(W753-R753,0),0)</f>
        <v>0</v>
      </c>
      <c r="Y753" s="4"/>
      <c r="Z753" s="4"/>
      <c r="AA753" s="5"/>
      <c r="AB753" s="5"/>
      <c r="AI753"/>
    </row>
    <row r="754" spans="1:35" hidden="1" x14ac:dyDescent="0.3">
      <c r="A754" s="5" t="str">
        <f>VLOOKUP(B754,base!A:M,11,FALSE)</f>
        <v>BIFÁSICO</v>
      </c>
      <c r="B754" t="s">
        <v>114</v>
      </c>
      <c r="C754" s="1" t="s">
        <v>116</v>
      </c>
      <c r="D754" s="60">
        <v>62955505393207</v>
      </c>
      <c r="E754" s="63" t="s">
        <v>433</v>
      </c>
      <c r="F754" t="s">
        <v>434</v>
      </c>
      <c r="G754" s="4">
        <v>45839</v>
      </c>
      <c r="H754" s="4" t="str">
        <f>Faturamento!$B705&amp;Faturamento!$G705</f>
        <v>10/952579-145658</v>
      </c>
      <c r="I754" t="s">
        <v>435</v>
      </c>
      <c r="J754" s="37">
        <v>17</v>
      </c>
      <c r="K754" s="53">
        <v>77.915400000000005</v>
      </c>
      <c r="L754" s="53">
        <v>73.381217240000012</v>
      </c>
      <c r="M754" s="5" t="str">
        <f>IF(Faturamento!$S705&lt;&gt;"","Não emitido",IF(Faturamento!$I705="NÃO","Pendente Fatura", IF(Faturamento!$R705&lt;&gt;"","Aprovado",IF(Faturamento!$O705&lt;&gt;0,"Pendente Emissão","Processo de Calculo"))))</f>
        <v>Aprovado</v>
      </c>
      <c r="N754" s="3">
        <v>20.185400000000001</v>
      </c>
      <c r="O754" s="3">
        <v>15.65</v>
      </c>
      <c r="P754" s="4">
        <v>45910</v>
      </c>
      <c r="Q754" s="4">
        <v>45920</v>
      </c>
      <c r="R754" s="3">
        <v>15.65</v>
      </c>
      <c r="S754"/>
      <c r="T754" s="51" t="s">
        <v>1314</v>
      </c>
      <c r="U754" s="51" t="s">
        <v>1315</v>
      </c>
      <c r="V754" t="s">
        <v>568</v>
      </c>
      <c r="W754" s="3">
        <v>15.65</v>
      </c>
      <c r="X754" s="123">
        <f>IF(Faturamento!$V254="Pago",IFERROR(W754-R754,0),0)</f>
        <v>0</v>
      </c>
      <c r="Y754" s="4"/>
      <c r="Z754" s="4"/>
      <c r="AA754" s="5"/>
      <c r="AB754" s="5"/>
      <c r="AI754"/>
    </row>
    <row r="755" spans="1:35" hidden="1" x14ac:dyDescent="0.3">
      <c r="A755" s="5" t="str">
        <f>VLOOKUP(B755,base!A:M,11,FALSE)</f>
        <v>TRIFÁSICO</v>
      </c>
      <c r="B755" s="37" t="s">
        <v>232</v>
      </c>
      <c r="C755" s="56">
        <v>0</v>
      </c>
      <c r="D755" s="59">
        <v>62955505287601</v>
      </c>
      <c r="E755" s="37" t="s">
        <v>433</v>
      </c>
      <c r="F755" s="37" t="s">
        <v>434</v>
      </c>
      <c r="G755" s="52">
        <v>45870</v>
      </c>
      <c r="H755" s="52" t="str">
        <f>Faturamento!$B800&amp;Faturamento!$G800</f>
        <v>10/226667-445627</v>
      </c>
      <c r="I755" s="37" t="s">
        <v>435</v>
      </c>
      <c r="J755">
        <v>18</v>
      </c>
      <c r="K755" s="3">
        <v>162.23855670103094</v>
      </c>
      <c r="L755" s="3">
        <v>158.07442099252265</v>
      </c>
      <c r="M755" s="5" t="s">
        <v>1489</v>
      </c>
      <c r="N755" s="53">
        <v>20.268556701030928</v>
      </c>
      <c r="O755" s="53">
        <v>14.26</v>
      </c>
      <c r="P755" s="52">
        <v>45910</v>
      </c>
      <c r="Q755" s="52">
        <v>45920</v>
      </c>
      <c r="R755" s="53">
        <v>14.26</v>
      </c>
      <c r="S755" s="37"/>
      <c r="T755" s="51" t="s">
        <v>1487</v>
      </c>
      <c r="U755" s="51" t="s">
        <v>1488</v>
      </c>
      <c r="V755" s="37" t="s">
        <v>568</v>
      </c>
      <c r="W755" s="53">
        <v>14.26</v>
      </c>
      <c r="X755" s="123">
        <f>IF(Faturamento!$V253="Pago",IFERROR(W755-R755,0),0)</f>
        <v>0</v>
      </c>
      <c r="Y755" s="52"/>
      <c r="Z755" s="52"/>
      <c r="AA755" s="5"/>
      <c r="AB755" s="5"/>
      <c r="AI755"/>
    </row>
    <row r="756" spans="1:35" hidden="1" x14ac:dyDescent="0.3">
      <c r="A756" s="5" t="str">
        <f>VLOOKUP(B756,base!A:M,11,FALSE)</f>
        <v>TRIFÁSICO</v>
      </c>
      <c r="B756" t="s">
        <v>134</v>
      </c>
      <c r="C756" s="1">
        <v>67999516782</v>
      </c>
      <c r="D756" s="60">
        <v>62955505892114</v>
      </c>
      <c r="E756" s="63" t="s">
        <v>433</v>
      </c>
      <c r="F756" t="s">
        <v>434</v>
      </c>
      <c r="G756" s="4">
        <v>45839</v>
      </c>
      <c r="H756" s="4" t="str">
        <f>Faturamento!$B699&amp;Faturamento!$G699</f>
        <v>10/226667-445748</v>
      </c>
      <c r="I756" t="s">
        <v>435</v>
      </c>
      <c r="J756" s="37">
        <v>15</v>
      </c>
      <c r="K756" s="53">
        <v>156.45300000000003</v>
      </c>
      <c r="L756" s="53">
        <v>152.45157580000003</v>
      </c>
      <c r="M756" s="5" t="str">
        <f>IF(Faturamento!$S699&lt;&gt;"","Não emitido",IF(Faturamento!$I699="NÃO","Pendente Fatura", IF(Faturamento!$R699&lt;&gt;"","Aprovado",IF(Faturamento!$O699&lt;&gt;0,"Pendente Emissão","Processo de Calculo"))))</f>
        <v>Aprovado</v>
      </c>
      <c r="N756" s="3">
        <v>17.713000000000001</v>
      </c>
      <c r="O756" s="3">
        <v>13.71</v>
      </c>
      <c r="P756" s="4">
        <v>45910</v>
      </c>
      <c r="Q756" s="4">
        <v>45920</v>
      </c>
      <c r="R756" s="3">
        <v>13.71</v>
      </c>
      <c r="S756"/>
      <c r="T756" s="51" t="s">
        <v>1304</v>
      </c>
      <c r="U756" s="51" t="s">
        <v>1305</v>
      </c>
      <c r="V756" t="s">
        <v>568</v>
      </c>
      <c r="W756" s="3">
        <v>13.71</v>
      </c>
      <c r="X756" s="123">
        <f>IF(Faturamento!$V252="Pago",IFERROR(W756-R756,0),0)</f>
        <v>0</v>
      </c>
      <c r="Y756" s="4">
        <v>45901</v>
      </c>
      <c r="Z756" s="4"/>
      <c r="AA756" s="5"/>
      <c r="AB756" s="5"/>
      <c r="AI756"/>
    </row>
    <row r="757" spans="1:35" hidden="1" x14ac:dyDescent="0.3">
      <c r="A757" s="5" t="str">
        <f>VLOOKUP(B757,base!A:M,11,FALSE)</f>
        <v>BIFÁSICO</v>
      </c>
      <c r="B757" t="s">
        <v>276</v>
      </c>
      <c r="C757" s="1" t="s">
        <v>278</v>
      </c>
      <c r="D757" s="60">
        <v>62955505000167</v>
      </c>
      <c r="E757" s="63" t="s">
        <v>433</v>
      </c>
      <c r="F757" t="s">
        <v>434</v>
      </c>
      <c r="G757" s="4">
        <v>45839</v>
      </c>
      <c r="H757" s="4" t="str">
        <f>Faturamento!$B643&amp;Faturamento!$G643</f>
        <v>10/218777-145778</v>
      </c>
      <c r="I757" t="s">
        <v>435</v>
      </c>
      <c r="J757" s="37">
        <v>14</v>
      </c>
      <c r="K757" s="53">
        <v>166.31790697674418</v>
      </c>
      <c r="L757" s="53">
        <v>162.58375511627906</v>
      </c>
      <c r="M757" s="5" t="str">
        <f>IF(Faturamento!$S643&lt;&gt;"","Não emitido",IF(Faturamento!$I643="NÃO","Pendente Fatura", IF(Faturamento!$R643&lt;&gt;"","Aprovado",IF(Faturamento!$O643&lt;&gt;0,"Pendente Emissão","Processo de Calculo"))))</f>
        <v>Aprovado</v>
      </c>
      <c r="N757" s="3">
        <v>16.277906976744188</v>
      </c>
      <c r="O757" s="3">
        <v>12.54</v>
      </c>
      <c r="P757" s="4">
        <v>45910</v>
      </c>
      <c r="Q757" s="4">
        <v>45920</v>
      </c>
      <c r="R757" s="3">
        <v>12.54</v>
      </c>
      <c r="S757"/>
      <c r="T757" s="51" t="s">
        <v>1199</v>
      </c>
      <c r="U757" s="51" t="s">
        <v>1200</v>
      </c>
      <c r="V757" t="s">
        <v>568</v>
      </c>
      <c r="W757" s="3">
        <v>12.54</v>
      </c>
      <c r="X757" s="123">
        <f>IF(Faturamento!$V251="Pago",IFERROR(W757-R757,0),0)</f>
        <v>0</v>
      </c>
      <c r="Y757" s="4"/>
      <c r="Z757" s="4"/>
      <c r="AA757" s="5"/>
      <c r="AB757" s="5"/>
      <c r="AI757"/>
    </row>
    <row r="758" spans="1:35" hidden="1" x14ac:dyDescent="0.3">
      <c r="A758" s="5" t="str">
        <f>VLOOKUP(B758,base!A:M,11,FALSE)</f>
        <v>TRIFÁSICO</v>
      </c>
      <c r="B758" s="37" t="s">
        <v>324</v>
      </c>
      <c r="C758" s="56">
        <v>67996071169</v>
      </c>
      <c r="D758" s="59">
        <v>62955505136492</v>
      </c>
      <c r="E758" s="37" t="s">
        <v>433</v>
      </c>
      <c r="F758" s="37" t="s">
        <v>434</v>
      </c>
      <c r="G758" s="52">
        <v>45839</v>
      </c>
      <c r="H758" s="52" t="str">
        <f>Faturamento!$B676&amp;Faturamento!$G676</f>
        <v>10/156956-545839</v>
      </c>
      <c r="I758" s="37" t="s">
        <v>435</v>
      </c>
      <c r="J758" s="37">
        <v>14</v>
      </c>
      <c r="K758" s="53">
        <v>157.70857142857142</v>
      </c>
      <c r="L758" s="53">
        <v>154.47665314285715</v>
      </c>
      <c r="M758" s="5" t="str">
        <f>IF(Faturamento!$S676&lt;&gt;"","Não emitido",IF(Faturamento!$I676="NÃO","Pendente Fatura", IF(Faturamento!$R676&lt;&gt;"","Aprovado",IF(Faturamento!$O676&lt;&gt;0,"Pendente Emissão","Processo de Calculo"))))</f>
        <v>Aprovado</v>
      </c>
      <c r="N758" s="53">
        <v>15.368571428571432</v>
      </c>
      <c r="O758" s="53">
        <v>12.14</v>
      </c>
      <c r="P758" s="52">
        <v>45910</v>
      </c>
      <c r="Q758" s="52">
        <v>45920</v>
      </c>
      <c r="R758" s="53">
        <v>12.14</v>
      </c>
      <c r="S758" s="37"/>
      <c r="T758" s="51" t="s">
        <v>1265</v>
      </c>
      <c r="U758" s="51" t="s">
        <v>1266</v>
      </c>
      <c r="V758" s="37" t="s">
        <v>568</v>
      </c>
      <c r="W758" s="53">
        <v>12.14</v>
      </c>
      <c r="X758" s="123">
        <f>IF(Faturamento!$V250="Pago",IFERROR(W758-R758,0),0)</f>
        <v>0</v>
      </c>
      <c r="Y758" s="52"/>
      <c r="Z758" s="52"/>
      <c r="AA758" s="5"/>
      <c r="AB758" s="5"/>
      <c r="AI758"/>
    </row>
    <row r="759" spans="1:35" hidden="1" x14ac:dyDescent="0.3">
      <c r="A759" s="5" t="str">
        <f>VLOOKUP(B759,base!A:M,11,FALSE)</f>
        <v>BIFÁSICO</v>
      </c>
      <c r="B759" t="s">
        <v>309</v>
      </c>
      <c r="C759" s="1">
        <v>0</v>
      </c>
      <c r="D759" s="60">
        <v>62955505367117</v>
      </c>
      <c r="E759" s="63" t="s">
        <v>433</v>
      </c>
      <c r="F759" t="s">
        <v>434</v>
      </c>
      <c r="G759" s="4">
        <v>45901</v>
      </c>
      <c r="H759" s="4" t="str">
        <f>Faturamento!$B887&amp;Faturamento!$G887</f>
        <v>10/504844-245717</v>
      </c>
      <c r="I759" t="s">
        <v>435</v>
      </c>
      <c r="J759">
        <v>15</v>
      </c>
      <c r="K759" s="3">
        <v>93.410624999999996</v>
      </c>
      <c r="L759" s="3">
        <v>89.177648564256174</v>
      </c>
      <c r="M759" s="5" t="s">
        <v>1489</v>
      </c>
      <c r="N759" s="3">
        <v>16.590625000000003</v>
      </c>
      <c r="O759" s="3">
        <v>11.53</v>
      </c>
      <c r="P759" s="4">
        <v>45933</v>
      </c>
      <c r="Q759" s="4">
        <v>45943</v>
      </c>
      <c r="R759" s="3">
        <f>O759</f>
        <v>11.53</v>
      </c>
      <c r="S759"/>
      <c r="T759" s="51" t="s">
        <v>1649</v>
      </c>
      <c r="U759" s="51" t="s">
        <v>1650</v>
      </c>
      <c r="V759" t="s">
        <v>568</v>
      </c>
      <c r="W759" s="3">
        <f>R759</f>
        <v>11.53</v>
      </c>
      <c r="X759" s="123">
        <f>IF(Faturamento!$V249="Pago",IFERROR(W759-R759,0),0)</f>
        <v>0</v>
      </c>
      <c r="Y759" s="4"/>
      <c r="Z759" s="4"/>
      <c r="AA759" s="5"/>
      <c r="AB759" s="5"/>
      <c r="AI759"/>
    </row>
    <row r="760" spans="1:35" hidden="1" x14ac:dyDescent="0.3">
      <c r="A760" s="5" t="str">
        <f>VLOOKUP(B760,base!A:M,11,FALSE)</f>
        <v>BIFÁSICO</v>
      </c>
      <c r="B760" t="s">
        <v>204</v>
      </c>
      <c r="C760" s="1">
        <v>67992637973</v>
      </c>
      <c r="D760" s="60">
        <v>62955505040894</v>
      </c>
      <c r="E760" s="63" t="s">
        <v>433</v>
      </c>
      <c r="F760" t="s">
        <v>434</v>
      </c>
      <c r="G760" s="4">
        <v>45809</v>
      </c>
      <c r="H760" s="4" t="str">
        <f>Faturamento!$B551&amp;Faturamento!$G551</f>
        <v>10/1017804-445870</v>
      </c>
      <c r="I760" t="s">
        <v>435</v>
      </c>
      <c r="J760" s="37">
        <v>14</v>
      </c>
      <c r="K760" s="53">
        <v>73.59571428571428</v>
      </c>
      <c r="L760" s="53">
        <v>70.014191821895579</v>
      </c>
      <c r="M760" s="5" t="str">
        <f>IF(Faturamento!$S551&lt;&gt;"","Não emitido",IF(Faturamento!$I551="NÃO","Pendente Fatura", IF(Faturamento!$R551&lt;&gt;"","Aprovado",IF(Faturamento!$O551&lt;&gt;0,"Pendente Emissão","Processo de Calculo"))))</f>
        <v>Aprovado</v>
      </c>
      <c r="N760" s="3">
        <v>15.095714285714283</v>
      </c>
      <c r="O760" s="3">
        <v>11.32</v>
      </c>
      <c r="P760" s="4">
        <v>45860</v>
      </c>
      <c r="Q760" s="4">
        <v>45871</v>
      </c>
      <c r="R760" s="3">
        <v>11.32</v>
      </c>
      <c r="S760"/>
      <c r="T760" s="51" t="s">
        <v>1061</v>
      </c>
      <c r="U760" s="51" t="s">
        <v>1062</v>
      </c>
      <c r="V760" t="s">
        <v>568</v>
      </c>
      <c r="W760" s="3">
        <v>11.32</v>
      </c>
      <c r="X760" s="123">
        <f>IF(Faturamento!$V248="Pago",IFERROR(W760-R760,0),0)</f>
        <v>0</v>
      </c>
      <c r="Y760" s="4" t="s">
        <v>1018</v>
      </c>
      <c r="Z760" s="4"/>
      <c r="AA760" s="5"/>
      <c r="AB760" s="5"/>
      <c r="AI760"/>
    </row>
    <row r="761" spans="1:35" hidden="1" x14ac:dyDescent="0.3">
      <c r="A761" s="5" t="str">
        <f>VLOOKUP(B761,base!A:M,11,FALSE)</f>
        <v>BIFÁSICO</v>
      </c>
      <c r="B761" s="37" t="s">
        <v>204</v>
      </c>
      <c r="C761" s="56">
        <v>0</v>
      </c>
      <c r="D761" s="59">
        <v>62955505040894</v>
      </c>
      <c r="E761" s="37" t="s">
        <v>433</v>
      </c>
      <c r="F761" s="37" t="s">
        <v>434</v>
      </c>
      <c r="G761" s="52">
        <v>45870</v>
      </c>
      <c r="H761" s="52" t="str">
        <f>Faturamento!$B746&amp;Faturamento!$G746</f>
        <v>10/987178-145778</v>
      </c>
      <c r="I761" s="37" t="s">
        <v>435</v>
      </c>
      <c r="J761">
        <v>13</v>
      </c>
      <c r="K761" s="3">
        <v>73.003469387755104</v>
      </c>
      <c r="L761" s="3">
        <v>69.794038772988245</v>
      </c>
      <c r="M761" s="5" t="str">
        <f>IF(Faturamento!$S746&lt;&gt;"","Não emitido",IF(Faturamento!$I746="NÃO","Pendente Fatura", IF(Faturamento!$R746&lt;&gt;"","Aprovado",IF(Faturamento!$O746&lt;&gt;0,"Pendente Emissão","Processo de Calculo"))))</f>
        <v>Aprovado</v>
      </c>
      <c r="N761" s="53">
        <v>14.393469387755102</v>
      </c>
      <c r="O761" s="53">
        <v>10.99</v>
      </c>
      <c r="P761" s="52">
        <v>45910</v>
      </c>
      <c r="Q761" s="52">
        <v>45920</v>
      </c>
      <c r="R761" s="53">
        <v>10.99</v>
      </c>
      <c r="S761" s="37"/>
      <c r="T761" s="51" t="s">
        <v>1391</v>
      </c>
      <c r="U761" s="51" t="s">
        <v>1392</v>
      </c>
      <c r="V761" s="37" t="s">
        <v>568</v>
      </c>
      <c r="W761" s="53">
        <v>10.99</v>
      </c>
      <c r="X761" s="123">
        <f>IF(Faturamento!$V247="Pago",IFERROR(W761-R761,0),0)</f>
        <v>0</v>
      </c>
      <c r="Y761" s="52"/>
      <c r="Z761" s="52"/>
      <c r="AA761" s="5"/>
      <c r="AB761" s="5"/>
      <c r="AI761"/>
    </row>
    <row r="762" spans="1:35" hidden="1" x14ac:dyDescent="0.3">
      <c r="A762" s="5" t="str">
        <f>VLOOKUP(B762,base!A:M,11,FALSE)</f>
        <v>TRIFÁSICO</v>
      </c>
      <c r="B762" t="s">
        <v>350</v>
      </c>
      <c r="C762" s="1">
        <v>67993496482</v>
      </c>
      <c r="D762" s="60">
        <v>62955505015512</v>
      </c>
      <c r="E762" s="63" t="s">
        <v>433</v>
      </c>
      <c r="F762" t="s">
        <v>434</v>
      </c>
      <c r="G762" s="4">
        <v>45748</v>
      </c>
      <c r="H762" s="4" t="str">
        <f>Faturamento!$B369&amp;Faturamento!$G369</f>
        <v>10/532723-445931</v>
      </c>
      <c r="I762" t="s">
        <v>435</v>
      </c>
      <c r="J762" s="37">
        <v>13</v>
      </c>
      <c r="K762" s="53">
        <v>178.5</v>
      </c>
      <c r="L762" s="53">
        <v>174.8725</v>
      </c>
      <c r="M762" s="5" t="str">
        <f>IF(Faturamento!$S369&lt;&gt;"","Não emitido",IF(Faturamento!$I369="NÃO","Pendente Fatura", IF(Faturamento!$R369&lt;&gt;"","Aprovado",IF(Faturamento!$O369&lt;&gt;0,"Pendente Emissão","Processo de Calculo"))))</f>
        <v>Aprovado</v>
      </c>
      <c r="N762" s="3">
        <v>14.509999999999998</v>
      </c>
      <c r="O762" s="3">
        <v>10.88</v>
      </c>
      <c r="P762" s="4"/>
      <c r="Q762" s="4"/>
      <c r="R762" s="3">
        <v>10.88</v>
      </c>
      <c r="S762"/>
      <c r="T762" s="51" t="s">
        <v>869</v>
      </c>
      <c r="U762" s="51"/>
      <c r="V762" t="s">
        <v>568</v>
      </c>
      <c r="W762" s="3">
        <v>10.88</v>
      </c>
      <c r="X762" s="123">
        <f>IF(Faturamento!$V246="Pago",IFERROR(W762-R762,0),0)</f>
        <v>0</v>
      </c>
      <c r="Y762" s="4">
        <v>45895</v>
      </c>
      <c r="Z762" s="4"/>
      <c r="AA762" s="5"/>
      <c r="AB762" s="5"/>
      <c r="AI762"/>
    </row>
    <row r="763" spans="1:35" hidden="1" x14ac:dyDescent="0.3">
      <c r="A763" s="5" t="str">
        <f>VLOOKUP(B763,base!A:M,11,FALSE)</f>
        <v>TRIFÁSICO</v>
      </c>
      <c r="B763" t="s">
        <v>156</v>
      </c>
      <c r="C763" s="56">
        <v>67996446178</v>
      </c>
      <c r="D763">
        <v>62955505080098</v>
      </c>
      <c r="E763" s="37" t="s">
        <v>433</v>
      </c>
      <c r="F763" t="s">
        <v>108</v>
      </c>
      <c r="G763" s="4">
        <v>45931</v>
      </c>
      <c r="H763" s="52" t="str">
        <f>Faturamento!$B973&amp;Faturamento!$G973</f>
        <v>10/512142-145870</v>
      </c>
      <c r="I763" s="37" t="s">
        <v>435</v>
      </c>
      <c r="J763">
        <v>12</v>
      </c>
      <c r="K763" s="3">
        <v>147.54240000000001</v>
      </c>
      <c r="L763" s="3">
        <v>143.46400557061179</v>
      </c>
      <c r="M763" s="5" t="s">
        <v>1489</v>
      </c>
      <c r="N763" s="53">
        <v>14.582399999899998</v>
      </c>
      <c r="O763" s="53">
        <v>10.5</v>
      </c>
      <c r="P763" s="52">
        <v>45967</v>
      </c>
      <c r="Q763" s="52">
        <v>45974</v>
      </c>
      <c r="R763" s="53">
        <v>10.5</v>
      </c>
      <c r="S763" s="37"/>
      <c r="T763" s="3" t="str">
        <f>D763&amp;R763</f>
        <v>6295550508009810,5</v>
      </c>
      <c r="U763" s="3" t="s">
        <v>1785</v>
      </c>
      <c r="V763" s="37" t="s">
        <v>568</v>
      </c>
      <c r="W763" s="13">
        <f>R763</f>
        <v>10.5</v>
      </c>
      <c r="X763" s="124">
        <f>IF(Faturamento!$V975="Pago",IFERROR(W763-R763,0),0)</f>
        <v>0</v>
      </c>
    </row>
    <row r="764" spans="1:35" hidden="1" x14ac:dyDescent="0.3">
      <c r="A764" s="5" t="str">
        <f>VLOOKUP(B764,base!A:M,11,FALSE)</f>
        <v>TRIFÁSICO</v>
      </c>
      <c r="B764" t="s">
        <v>343</v>
      </c>
      <c r="C764" s="1">
        <v>67992637973</v>
      </c>
      <c r="D764" s="60">
        <v>62955505358630</v>
      </c>
      <c r="E764" s="63" t="s">
        <v>433</v>
      </c>
      <c r="F764" t="s">
        <v>434</v>
      </c>
      <c r="G764" s="4">
        <v>45778</v>
      </c>
      <c r="H764" s="4" t="str">
        <f>Faturamento!$B529&amp;Faturamento!$G529</f>
        <v>10/13786-945658</v>
      </c>
      <c r="I764" t="s">
        <v>435</v>
      </c>
      <c r="J764">
        <v>14</v>
      </c>
      <c r="K764" s="3">
        <v>153.23571428571429</v>
      </c>
      <c r="L764" s="3">
        <v>149.81428571428572</v>
      </c>
      <c r="M764" s="5" t="str">
        <f>IF(Faturamento!$S529&lt;&gt;"","Não emitido",IF(Faturamento!$I529="NÃO","Pendente Fatura", IF(Faturamento!$R529&lt;&gt;"","Aprovado",IF(Faturamento!$O529&lt;&gt;0,"Pendente Emissão","Processo de Calculo"))))</f>
        <v>Aprovado</v>
      </c>
      <c r="N764" s="3">
        <v>13.685714285714289</v>
      </c>
      <c r="O764" s="3">
        <v>10.26</v>
      </c>
      <c r="P764" s="4"/>
      <c r="Q764" s="4"/>
      <c r="R764" s="3">
        <v>10.26</v>
      </c>
      <c r="S764"/>
      <c r="T764" s="51" t="s">
        <v>1012</v>
      </c>
      <c r="U764" s="51"/>
      <c r="V764" t="s">
        <v>568</v>
      </c>
      <c r="W764" s="3">
        <v>10.26</v>
      </c>
      <c r="X764" s="123">
        <f>IF(Faturamento!$V245="Pago",IFERROR(W764-R764,0),0)</f>
        <v>0</v>
      </c>
      <c r="Y764" s="4"/>
      <c r="Z764" s="4"/>
      <c r="AA764" s="5"/>
      <c r="AB764" s="5"/>
      <c r="AI764"/>
    </row>
    <row r="765" spans="1:35" hidden="1" x14ac:dyDescent="0.3">
      <c r="A765" s="5" t="str">
        <f>VLOOKUP(B765,base!A:M,11,FALSE)</f>
        <v>TRIFÁSICO</v>
      </c>
      <c r="B765" t="s">
        <v>350</v>
      </c>
      <c r="C765" s="1">
        <v>67993496482</v>
      </c>
      <c r="D765" s="60">
        <v>62955505015512</v>
      </c>
      <c r="E765" s="63" t="s">
        <v>433</v>
      </c>
      <c r="F765" t="s">
        <v>434</v>
      </c>
      <c r="G765" s="4">
        <v>45658</v>
      </c>
      <c r="H765" s="4" t="str">
        <f>Faturamento!$B85&amp;Faturamento!$G85</f>
        <v>10/3005226-045931</v>
      </c>
      <c r="I765" t="s">
        <v>435</v>
      </c>
      <c r="J765">
        <v>12</v>
      </c>
      <c r="K765" s="3">
        <v>174.07</v>
      </c>
      <c r="L765" s="3">
        <v>170.7225</v>
      </c>
      <c r="M765" s="5" t="s">
        <v>1489</v>
      </c>
      <c r="N765" s="3">
        <v>13.39</v>
      </c>
      <c r="O765" s="3">
        <v>10.039999999999999</v>
      </c>
      <c r="P765" s="4"/>
      <c r="Q765" s="4"/>
      <c r="R765" s="3">
        <v>10.039999999999999</v>
      </c>
      <c r="S765"/>
      <c r="T765" s="51" t="s">
        <v>644</v>
      </c>
      <c r="U765" s="51"/>
      <c r="V765" t="s">
        <v>568</v>
      </c>
      <c r="W765" s="3">
        <v>10.039999999999999</v>
      </c>
      <c r="X765" s="123">
        <f>IF(Faturamento!$V244="Pago",IFERROR(W765-R765,0),0)</f>
        <v>0</v>
      </c>
      <c r="Y765" s="4"/>
      <c r="Z765" s="4"/>
      <c r="AA765" s="5"/>
      <c r="AB765" s="5"/>
      <c r="AI765"/>
    </row>
    <row r="766" spans="1:35" hidden="1" x14ac:dyDescent="0.3">
      <c r="A766" s="5" t="str">
        <f>VLOOKUP(B766,base!A:M,11,FALSE)</f>
        <v>TRIFÁSICO</v>
      </c>
      <c r="B766" t="s">
        <v>350</v>
      </c>
      <c r="C766" s="1">
        <v>67993496482</v>
      </c>
      <c r="D766" s="60">
        <v>62955505015512</v>
      </c>
      <c r="E766" s="63" t="s">
        <v>433</v>
      </c>
      <c r="F766" t="s">
        <v>434</v>
      </c>
      <c r="G766" s="4">
        <v>45689</v>
      </c>
      <c r="H766" s="4" t="str">
        <f>Faturamento!$B181&amp;Faturamento!$G181</f>
        <v>10/435964-245931</v>
      </c>
      <c r="I766" t="s">
        <v>435</v>
      </c>
      <c r="J766" s="37">
        <v>9</v>
      </c>
      <c r="K766" s="53">
        <v>171.82999999999998</v>
      </c>
      <c r="L766" s="53">
        <v>169.32000000000002</v>
      </c>
      <c r="M766" s="5" t="str">
        <f>IF(Faturamento!$S181&lt;&gt;"","Não emitido",IF(Faturamento!$I181="NÃO","Pendente Fatura", IF(Faturamento!$R181&lt;&gt;"","Aprovado",IF(Faturamento!$O181&lt;&gt;0,"Pendente Emissão","Processo de Calculo"))))</f>
        <v>Aprovado</v>
      </c>
      <c r="N766" s="3">
        <v>10.039999999999999</v>
      </c>
      <c r="O766" s="3">
        <v>7.53</v>
      </c>
      <c r="P766" s="4"/>
      <c r="Q766" s="4"/>
      <c r="R766" s="3">
        <v>7.53</v>
      </c>
      <c r="S766"/>
      <c r="T766" s="51" t="s">
        <v>741</v>
      </c>
      <c r="U766" s="51"/>
      <c r="V766" t="s">
        <v>568</v>
      </c>
      <c r="W766" s="3">
        <v>7.53</v>
      </c>
      <c r="X766" s="123">
        <f>IF(Faturamento!$V243="Pago",IFERROR(W766-R766,0),0)</f>
        <v>0</v>
      </c>
      <c r="Y766" s="4"/>
      <c r="Z766" s="4"/>
      <c r="AA766" s="5"/>
      <c r="AB766" s="5"/>
      <c r="AI766"/>
    </row>
    <row r="767" spans="1:35" hidden="1" x14ac:dyDescent="0.3">
      <c r="A767" s="5" t="str">
        <f>VLOOKUP(B767,base!A:M,11,FALSE)</f>
        <v>BIFÁSICO</v>
      </c>
      <c r="B767" t="s">
        <v>192</v>
      </c>
      <c r="C767" s="56">
        <v>67999516782</v>
      </c>
      <c r="D767">
        <v>62955505134449</v>
      </c>
      <c r="E767" s="37" t="s">
        <v>433</v>
      </c>
      <c r="F767" t="s">
        <v>108</v>
      </c>
      <c r="G767" s="4">
        <v>45931</v>
      </c>
      <c r="H767" s="52" t="str">
        <f>Faturamento!$B932&amp;Faturamento!$G932</f>
        <v>10/2338577-645778</v>
      </c>
      <c r="I767" s="37" t="s">
        <v>435</v>
      </c>
      <c r="J767">
        <v>60</v>
      </c>
      <c r="K767" s="3">
        <v>139.88499999999999</v>
      </c>
      <c r="L767" s="3">
        <v>122.14914151719518</v>
      </c>
      <c r="M767" s="5" t="s">
        <v>1489</v>
      </c>
      <c r="N767" s="53">
        <v>-57.36500000000099</v>
      </c>
      <c r="O767" s="53">
        <v>45.68</v>
      </c>
      <c r="P767" s="52">
        <v>45967</v>
      </c>
      <c r="Q767" s="52">
        <v>45974</v>
      </c>
      <c r="R767" s="53">
        <v>45.68</v>
      </c>
      <c r="S767" s="37"/>
      <c r="T767" s="3" t="str">
        <f>D767&amp;R767</f>
        <v>6295550513444945,68</v>
      </c>
      <c r="U767" s="3" t="s">
        <v>1744</v>
      </c>
      <c r="V767" s="37" t="s">
        <v>369</v>
      </c>
      <c r="X767" s="124">
        <f>IF(Faturamento!$V934="Pago",IFERROR(W767-R767,0),0)</f>
        <v>0</v>
      </c>
      <c r="Z767" s="196" t="s">
        <v>1795</v>
      </c>
    </row>
    <row r="768" spans="1:35" hidden="1" x14ac:dyDescent="0.3">
      <c r="A768" s="5" t="str">
        <f>VLOOKUP(B768,base!A:M,11,FALSE)</f>
        <v>BIFÁSICO</v>
      </c>
      <c r="B768" s="37" t="s">
        <v>192</v>
      </c>
      <c r="C768" s="56">
        <v>67999516782</v>
      </c>
      <c r="D768" s="59">
        <v>62955505134449</v>
      </c>
      <c r="E768" s="37" t="s">
        <v>433</v>
      </c>
      <c r="F768" s="37" t="s">
        <v>434</v>
      </c>
      <c r="G768" s="52">
        <v>45658</v>
      </c>
      <c r="H768" s="52" t="str">
        <f>Faturamento!$B100&amp;Faturamento!$G100</f>
        <v>10/61344-845748</v>
      </c>
      <c r="I768" s="37" t="s">
        <v>435</v>
      </c>
      <c r="J768">
        <v>8</v>
      </c>
      <c r="K768" s="3">
        <v>75.87</v>
      </c>
      <c r="L768" s="3">
        <v>73.877500000000012</v>
      </c>
      <c r="M768" s="5" t="str">
        <f>IF(Faturamento!$S100&lt;&gt;"","Não emitido",IF(Faturamento!$I100="NÃO","Pendente Fatura", IF(Faturamento!$R100&lt;&gt;"","Aprovado",IF(Faturamento!$O100&lt;&gt;0,"Pendente Emissão","Processo de Calculo"))))</f>
        <v>Aprovado</v>
      </c>
      <c r="N768" s="53">
        <v>7.97</v>
      </c>
      <c r="O768" s="53">
        <v>5.98</v>
      </c>
      <c r="P768" s="52"/>
      <c r="Q768" s="52"/>
      <c r="R768" s="53">
        <v>5.98</v>
      </c>
      <c r="S768" s="37"/>
      <c r="T768" s="51" t="s">
        <v>657</v>
      </c>
      <c r="U768" s="51"/>
      <c r="V768" s="37" t="s">
        <v>568</v>
      </c>
      <c r="W768" s="53">
        <v>5.98</v>
      </c>
      <c r="X768" s="123">
        <f>IF(Faturamento!$V242="Pago",IFERROR(W768-R768,0),0)</f>
        <v>0</v>
      </c>
      <c r="Y768" s="52"/>
      <c r="Z768" s="52"/>
      <c r="AA768" s="5"/>
      <c r="AB768" s="5"/>
      <c r="AI768"/>
    </row>
    <row r="769" spans="1:35" hidden="1" x14ac:dyDescent="0.3">
      <c r="A769" s="5" t="str">
        <f>VLOOKUP(B769,base!A:M,11,FALSE)</f>
        <v>TRIFÁSICO</v>
      </c>
      <c r="B769" t="s">
        <v>164</v>
      </c>
      <c r="C769" s="1" t="s">
        <v>126</v>
      </c>
      <c r="D769" s="60">
        <v>62955505419443</v>
      </c>
      <c r="E769" s="63" t="s">
        <v>433</v>
      </c>
      <c r="F769" t="s">
        <v>434</v>
      </c>
      <c r="G769" s="4">
        <v>45870</v>
      </c>
      <c r="H769" s="4" t="str">
        <f>Faturamento!$B739&amp;Faturamento!$G739</f>
        <v>10/908866-745748</v>
      </c>
      <c r="I769" t="s">
        <v>435</v>
      </c>
      <c r="J769">
        <v>6</v>
      </c>
      <c r="K769" s="3">
        <v>137.16920000000002</v>
      </c>
      <c r="L769" s="3">
        <v>135.57409587598266</v>
      </c>
      <c r="M769" s="5" t="str">
        <f>IF(Faturamento!$S739&lt;&gt;"","Não emitido",IF(Faturamento!$I739="NÃO","Pendente Fatura", IF(Faturamento!$R739&lt;&gt;"","Aprovado",IF(Faturamento!$O739&lt;&gt;0,"Pendente Emissão","Processo de Calculo"))))</f>
        <v>Aprovado</v>
      </c>
      <c r="N769" s="3">
        <v>7.0592000000000006</v>
      </c>
      <c r="O769" s="3">
        <v>5.46</v>
      </c>
      <c r="P769" s="4">
        <v>45910</v>
      </c>
      <c r="Q769" s="4">
        <v>45920</v>
      </c>
      <c r="R769" s="3">
        <v>5.46</v>
      </c>
      <c r="S769"/>
      <c r="T769" s="51" t="s">
        <v>1379</v>
      </c>
      <c r="U769" s="51" t="s">
        <v>1380</v>
      </c>
      <c r="V769" t="s">
        <v>568</v>
      </c>
      <c r="W769" s="3">
        <v>5.46</v>
      </c>
      <c r="X769" s="123">
        <f>IF(Faturamento!$V241="Pago",IFERROR(W769-R769,0),0)</f>
        <v>0</v>
      </c>
      <c r="Y769" s="4"/>
      <c r="Z769" s="4"/>
      <c r="AA769" s="5"/>
      <c r="AB769" s="5"/>
      <c r="AI769"/>
    </row>
    <row r="770" spans="1:35" hidden="1" x14ac:dyDescent="0.3">
      <c r="A770" s="5" t="str">
        <f>VLOOKUP(B770,base!A:M,11,FALSE)</f>
        <v>TRIFÁSICO</v>
      </c>
      <c r="B770" s="37" t="s">
        <v>146</v>
      </c>
      <c r="C770" s="56">
        <v>67991306665</v>
      </c>
      <c r="D770" s="59">
        <v>62955505379395</v>
      </c>
      <c r="E770" s="37" t="s">
        <v>433</v>
      </c>
      <c r="F770" s="37" t="s">
        <v>434</v>
      </c>
      <c r="G770" s="52">
        <v>45809</v>
      </c>
      <c r="H770" s="52" t="str">
        <f>Faturamento!$B578&amp;Faturamento!$G578</f>
        <v>10/31292-645748</v>
      </c>
      <c r="I770" s="37" t="s">
        <v>435</v>
      </c>
      <c r="J770" s="37">
        <v>7</v>
      </c>
      <c r="K770" s="53">
        <v>465.06596401028276</v>
      </c>
      <c r="L770" s="53">
        <v>463.37529871971458</v>
      </c>
      <c r="M770" s="5" t="str">
        <f>IF(Faturamento!$S578&lt;&gt;"","Não emitido",IF(Faturamento!$I578="NÃO","Pendente Fatura", IF(Faturamento!$R578&lt;&gt;"","Aprovado",IF(Faturamento!$O578&lt;&gt;0,"Pendente Emissão","Processo de Calculo"))))</f>
        <v>Aprovado</v>
      </c>
      <c r="N770" s="53">
        <v>7.125964010282777</v>
      </c>
      <c r="O770" s="53">
        <v>5.34</v>
      </c>
      <c r="P770" s="52">
        <v>45860</v>
      </c>
      <c r="Q770" s="52">
        <v>45871</v>
      </c>
      <c r="R770" s="53">
        <v>5.34</v>
      </c>
      <c r="S770" s="37"/>
      <c r="T770" s="51" t="s">
        <v>1115</v>
      </c>
      <c r="U770" s="51" t="s">
        <v>1116</v>
      </c>
      <c r="V770" s="37" t="s">
        <v>568</v>
      </c>
      <c r="W770" s="53">
        <v>5.34</v>
      </c>
      <c r="X770" s="123">
        <f>IF(Faturamento!$V240="Pago",IFERROR(W770-R770,0),0)</f>
        <v>0</v>
      </c>
      <c r="Y770" s="52" t="s">
        <v>1031</v>
      </c>
      <c r="Z770" s="52"/>
      <c r="AA770" s="5"/>
      <c r="AB770" s="5"/>
      <c r="AI770"/>
    </row>
    <row r="771" spans="1:35" hidden="1" x14ac:dyDescent="0.3">
      <c r="A771" s="5" t="str">
        <f>VLOOKUP(B771,base!A:M,11,FALSE)</f>
        <v>TRIFÁSICO</v>
      </c>
      <c r="B771" t="s">
        <v>156</v>
      </c>
      <c r="C771" s="1">
        <v>67996446178</v>
      </c>
      <c r="D771" s="60">
        <v>62955505080098</v>
      </c>
      <c r="E771" s="63" t="s">
        <v>433</v>
      </c>
      <c r="F771" t="s">
        <v>434</v>
      </c>
      <c r="G771" s="4">
        <v>45778</v>
      </c>
      <c r="H771" s="4" t="str">
        <f>Faturamento!$B463&amp;Faturamento!$G463</f>
        <v>10/2794432-145658</v>
      </c>
      <c r="I771" t="s">
        <v>435</v>
      </c>
      <c r="J771">
        <v>6</v>
      </c>
      <c r="K771" s="3">
        <v>131.58499999999998</v>
      </c>
      <c r="L771" s="3">
        <v>129.88624999999999</v>
      </c>
      <c r="M771" s="5" t="str">
        <f>IF(Faturamento!$S463&lt;&gt;"","Não emitido",IF(Faturamento!$I463="NÃO","Pendente Fatura", IF(Faturamento!$R463&lt;&gt;"","Aprovado",IF(Faturamento!$O463&lt;&gt;0,"Pendente Emissão","Processo de Calculo"))))</f>
        <v>Aprovado</v>
      </c>
      <c r="N771" s="3">
        <v>6.794999999999999</v>
      </c>
      <c r="O771" s="3">
        <v>5.0999999999999996</v>
      </c>
      <c r="P771" s="4"/>
      <c r="Q771" s="4"/>
      <c r="R771" s="3">
        <v>5.0999999999999996</v>
      </c>
      <c r="S771"/>
      <c r="T771" s="51" t="s">
        <v>955</v>
      </c>
      <c r="U771" s="51"/>
      <c r="V771" t="s">
        <v>568</v>
      </c>
      <c r="W771" s="3">
        <v>5.0999999999999996</v>
      </c>
      <c r="X771" s="123">
        <f>IF(Faturamento!$V239="Pago",IFERROR(W771-R771,0),0)</f>
        <v>0</v>
      </c>
      <c r="Y771" s="4"/>
      <c r="Z771" s="4"/>
      <c r="AA771" s="5"/>
      <c r="AB771" s="5"/>
      <c r="AI771"/>
    </row>
    <row r="772" spans="1:35" hidden="1" x14ac:dyDescent="0.3">
      <c r="A772" s="5" t="str">
        <f>VLOOKUP(B772,base!A:M,11,FALSE)</f>
        <v>BIFÁSICO</v>
      </c>
      <c r="B772" t="s">
        <v>215</v>
      </c>
      <c r="C772" s="56">
        <v>67981311823</v>
      </c>
      <c r="D772">
        <v>62955505182176</v>
      </c>
      <c r="E772" s="37" t="s">
        <v>433</v>
      </c>
      <c r="F772" t="s">
        <v>108</v>
      </c>
      <c r="G772" s="4">
        <v>45931</v>
      </c>
      <c r="H772" s="52" t="str">
        <f>Faturamento!$B965&amp;Faturamento!$G965</f>
        <v>10/908866-745839</v>
      </c>
      <c r="I772" s="37" t="s">
        <v>435</v>
      </c>
      <c r="J772">
        <v>5</v>
      </c>
      <c r="K772" s="3">
        <v>80.125</v>
      </c>
      <c r="L772" s="3">
        <v>78.411964705398105</v>
      </c>
      <c r="M772" s="5" t="s">
        <v>1489</v>
      </c>
      <c r="N772" s="53">
        <v>6.125</v>
      </c>
      <c r="O772" s="53">
        <v>4.41</v>
      </c>
      <c r="P772" s="52">
        <v>45967</v>
      </c>
      <c r="Q772" s="52">
        <v>45974</v>
      </c>
      <c r="R772" s="53">
        <v>4.41</v>
      </c>
      <c r="S772" s="37"/>
      <c r="T772" s="3" t="str">
        <f>D772&amp;R772</f>
        <v>629555051821764,41</v>
      </c>
      <c r="U772" s="3" t="s">
        <v>1777</v>
      </c>
      <c r="V772" s="37" t="s">
        <v>369</v>
      </c>
      <c r="X772" s="124">
        <f>IF(Faturamento!$V967="Pago",IFERROR(W772-R772,0),0)</f>
        <v>0</v>
      </c>
      <c r="Z772" s="196" t="s">
        <v>1795</v>
      </c>
    </row>
    <row r="773" spans="1:35" hidden="1" x14ac:dyDescent="0.3">
      <c r="A773" s="5" t="str">
        <f>VLOOKUP(B773,base!A:M,11,FALSE)</f>
        <v>BIFÁSICO</v>
      </c>
      <c r="B773" t="s">
        <v>215</v>
      </c>
      <c r="C773" s="85">
        <v>67981311823</v>
      </c>
      <c r="D773" s="60">
        <v>62955505182176</v>
      </c>
      <c r="E773" s="63" t="s">
        <v>433</v>
      </c>
      <c r="F773" t="s">
        <v>434</v>
      </c>
      <c r="G773" s="4">
        <v>45870</v>
      </c>
      <c r="H773" s="4" t="str">
        <f>Faturamento!$B737&amp;Faturamento!$G737</f>
        <v>10/1288241-145717</v>
      </c>
      <c r="I773" t="s">
        <v>435</v>
      </c>
      <c r="J773">
        <v>4</v>
      </c>
      <c r="K773" s="3">
        <v>75.975599999999986</v>
      </c>
      <c r="L773" s="3">
        <v>74.919096594195452</v>
      </c>
      <c r="M773" s="5" t="s">
        <v>1489</v>
      </c>
      <c r="N773" s="3">
        <v>4.6755999999999993</v>
      </c>
      <c r="O773" s="3">
        <v>3.62</v>
      </c>
      <c r="P773" s="4">
        <v>45910</v>
      </c>
      <c r="Q773" s="4">
        <v>45920</v>
      </c>
      <c r="R773" s="3">
        <v>3.62</v>
      </c>
      <c r="S773"/>
      <c r="T773" s="51" t="s">
        <v>1375</v>
      </c>
      <c r="U773" s="51" t="s">
        <v>1376</v>
      </c>
      <c r="V773" s="37" t="s">
        <v>369</v>
      </c>
      <c r="W773" s="3">
        <v>0</v>
      </c>
      <c r="X773" s="123">
        <f>IF(Faturamento!$V232="Pago",IFERROR(W773-R773,0),0)</f>
        <v>-3.62</v>
      </c>
      <c r="Y773" s="4"/>
      <c r="Z773" s="196" t="s">
        <v>1795</v>
      </c>
      <c r="AA773" s="5"/>
      <c r="AB773" s="5"/>
      <c r="AI773"/>
    </row>
    <row r="774" spans="1:35" hidden="1" x14ac:dyDescent="0.3">
      <c r="A774" s="5" t="str">
        <f>VLOOKUP(B774,base!A:M,11,FALSE)</f>
        <v>TRIFÁSICO</v>
      </c>
      <c r="B774" s="37" t="s">
        <v>238</v>
      </c>
      <c r="C774" s="56">
        <v>67996266684</v>
      </c>
      <c r="D774" s="59">
        <v>62955505016080</v>
      </c>
      <c r="E774" s="37" t="s">
        <v>433</v>
      </c>
      <c r="F774" s="37" t="s">
        <v>434</v>
      </c>
      <c r="G774" s="52">
        <v>45839</v>
      </c>
      <c r="H774" s="52" t="str">
        <f>Faturamento!$B630&amp;Faturamento!$G630</f>
        <v>10/1433087-245901</v>
      </c>
      <c r="I774" s="37" t="s">
        <v>435</v>
      </c>
      <c r="J774" s="37">
        <v>0</v>
      </c>
      <c r="K774" s="53">
        <v>437.91000000000008</v>
      </c>
      <c r="L774" s="53">
        <v>437.91000000000008</v>
      </c>
      <c r="M774" s="5" t="str">
        <f>IF(Faturamento!$S630&lt;&gt;"","Não emitido",IF(Faturamento!$I630="NÃO","Pendente Fatura", IF(Faturamento!$R630&lt;&gt;"","Aprovado",IF(Faturamento!$O630&lt;&gt;0,"Pendente Emissão","Processo de Calculo"))))</f>
        <v>Aprovado</v>
      </c>
      <c r="N774" s="53">
        <v>2.5900000000000034</v>
      </c>
      <c r="O774" s="53">
        <v>2.5900000000000034</v>
      </c>
      <c r="P774" s="52">
        <v>45910</v>
      </c>
      <c r="Q774" s="52">
        <v>45920</v>
      </c>
      <c r="R774" s="53">
        <v>2.59</v>
      </c>
      <c r="S774" s="37"/>
      <c r="T774" s="51" t="s">
        <v>1175</v>
      </c>
      <c r="U774" s="51" t="s">
        <v>1176</v>
      </c>
      <c r="V774" s="37" t="s">
        <v>568</v>
      </c>
      <c r="W774" s="53">
        <v>2.59</v>
      </c>
      <c r="X774" s="123">
        <f>IF(Faturamento!$V238="Pago",IFERROR(W774-R774,0),0)</f>
        <v>0</v>
      </c>
      <c r="Y774" s="52"/>
      <c r="Z774" s="52"/>
      <c r="AA774" s="5"/>
      <c r="AB774" s="5"/>
      <c r="AI774"/>
    </row>
    <row r="775" spans="1:35" hidden="1" x14ac:dyDescent="0.3">
      <c r="A775" s="5" t="str">
        <f>VLOOKUP(B775,base!A:M,11,FALSE)</f>
        <v>BIFÁSICO</v>
      </c>
      <c r="B775" s="37" t="s">
        <v>271</v>
      </c>
      <c r="C775" s="56">
        <v>67996687077</v>
      </c>
      <c r="D775" s="59">
        <v>62955505269026</v>
      </c>
      <c r="E775" s="37" t="s">
        <v>433</v>
      </c>
      <c r="F775" s="37" t="s">
        <v>434</v>
      </c>
      <c r="G775" s="52">
        <v>45839</v>
      </c>
      <c r="H775" s="52" t="str">
        <f>Faturamento!$B708&amp;Faturamento!$G708</f>
        <v>10/175073-645778</v>
      </c>
      <c r="I775" s="37" t="s">
        <v>435</v>
      </c>
      <c r="J775" s="37">
        <v>0</v>
      </c>
      <c r="K775" s="53">
        <v>111.08</v>
      </c>
      <c r="L775" s="53">
        <v>111.08</v>
      </c>
      <c r="M775" s="5" t="str">
        <f>IF(Faturamento!$S708&lt;&gt;"","Não emitido",IF(Faturamento!$I708="NÃO","Pendente Fatura", IF(Faturamento!$R708&lt;&gt;"","Aprovado",IF(Faturamento!$O708&lt;&gt;0,"Pendente Emissão","Processo de Calculo"))))</f>
        <v>Aprovado</v>
      </c>
      <c r="N775" s="53">
        <v>2</v>
      </c>
      <c r="O775" s="53">
        <v>2</v>
      </c>
      <c r="P775" s="52">
        <v>45910</v>
      </c>
      <c r="Q775" s="52">
        <v>45920</v>
      </c>
      <c r="R775" s="53">
        <v>2</v>
      </c>
      <c r="S775" s="37"/>
      <c r="T775" s="51" t="s">
        <v>1320</v>
      </c>
      <c r="U775" s="51" t="s">
        <v>1321</v>
      </c>
      <c r="V775" s="37" t="s">
        <v>568</v>
      </c>
      <c r="W775" s="53">
        <v>2</v>
      </c>
      <c r="X775" s="123">
        <f>IF(Faturamento!$V858="Pago",IFERROR(W775-R775,0),0)</f>
        <v>0</v>
      </c>
      <c r="Y775" s="52">
        <v>45973</v>
      </c>
      <c r="Z775" s="52"/>
      <c r="AA775" s="5"/>
      <c r="AB775" s="5"/>
      <c r="AI775"/>
    </row>
    <row r="776" spans="1:35" hidden="1" x14ac:dyDescent="0.3">
      <c r="A776" s="5" t="str">
        <f>VLOOKUP(B776,base!A:M,11,FALSE)</f>
        <v>TRIFÁSICO</v>
      </c>
      <c r="B776" s="37" t="s">
        <v>232</v>
      </c>
      <c r="C776" s="56" t="s">
        <v>234</v>
      </c>
      <c r="D776" s="59">
        <v>62955505287601</v>
      </c>
      <c r="E776" s="37" t="s">
        <v>433</v>
      </c>
      <c r="F776" s="37" t="s">
        <v>434</v>
      </c>
      <c r="G776" s="52">
        <v>45839</v>
      </c>
      <c r="H776" s="52" t="str">
        <f>Faturamento!$B692&amp;Faturamento!$G692</f>
        <v>10/501586-245809</v>
      </c>
      <c r="I776" s="37" t="s">
        <v>435</v>
      </c>
      <c r="J776" s="37">
        <v>2</v>
      </c>
      <c r="K776" s="53"/>
      <c r="L776" s="53"/>
      <c r="M776" s="5" t="str">
        <f>IF(Faturamento!$S692&lt;&gt;"","Não emitido",IF(Faturamento!$I692="NÃO","Pendente Fatura", IF(Faturamento!$R692&lt;&gt;"","Aprovado",IF(Faturamento!$O692&lt;&gt;0,"Pendente Emissão","Processo de Calculo"))))</f>
        <v>Aprovado</v>
      </c>
      <c r="N776" s="53">
        <v>2.3024000000000027</v>
      </c>
      <c r="O776" s="53">
        <v>1.84</v>
      </c>
      <c r="P776" s="52">
        <v>45910</v>
      </c>
      <c r="Q776" s="52">
        <v>45920</v>
      </c>
      <c r="R776" s="53">
        <v>0</v>
      </c>
      <c r="S776" s="37" t="s">
        <v>1257</v>
      </c>
      <c r="T776" s="51" t="s">
        <v>1292</v>
      </c>
      <c r="U776" s="51"/>
      <c r="V776" s="37" t="s">
        <v>438</v>
      </c>
      <c r="W776" s="53"/>
      <c r="X776" s="123">
        <f>IF(Faturamento!$V852="Pago",IFERROR(W776-R776,0),0)</f>
        <v>0</v>
      </c>
      <c r="Y776" s="52"/>
      <c r="Z776" s="52"/>
      <c r="AA776" s="5"/>
      <c r="AB776" s="5"/>
      <c r="AI776"/>
    </row>
    <row r="777" spans="1:35" hidden="1" x14ac:dyDescent="0.3">
      <c r="A777" s="5" t="str">
        <f>VLOOKUP(B777,base!A:M,11,FALSE)</f>
        <v>BIFÁSICO</v>
      </c>
      <c r="B777" t="s">
        <v>276</v>
      </c>
      <c r="C777" s="56" t="s">
        <v>278</v>
      </c>
      <c r="D777">
        <v>62955505000167</v>
      </c>
      <c r="E777" s="37" t="s">
        <v>433</v>
      </c>
      <c r="F777" t="s">
        <v>108</v>
      </c>
      <c r="G777" s="4">
        <v>45931</v>
      </c>
      <c r="H777" s="52" t="str">
        <f>Faturamento!$B957&amp;Faturamento!$G957</f>
        <v>10/260761-245809</v>
      </c>
      <c r="I777" s="37" t="s">
        <v>435</v>
      </c>
      <c r="J777">
        <v>55</v>
      </c>
      <c r="K777" s="3">
        <v>126.22</v>
      </c>
      <c r="L777" s="3">
        <v>107.73040598757032</v>
      </c>
      <c r="M777" s="5" t="s">
        <v>1489</v>
      </c>
      <c r="N777" s="53">
        <v>19.599999999900014</v>
      </c>
      <c r="O777" s="53">
        <v>1.1100000000000001</v>
      </c>
      <c r="P777" s="52">
        <v>45967</v>
      </c>
      <c r="Q777" s="52">
        <v>45974</v>
      </c>
      <c r="R777" s="53">
        <v>1.1100000000000001</v>
      </c>
      <c r="S777" s="37"/>
      <c r="T777" s="3" t="str">
        <f>D777&amp;R777</f>
        <v>629555050001671,11</v>
      </c>
      <c r="U777" s="3" t="s">
        <v>1769</v>
      </c>
      <c r="V777" s="37" t="s">
        <v>568</v>
      </c>
      <c r="W777">
        <v>19.600000000000001</v>
      </c>
      <c r="X777" s="124">
        <f>IF(Faturamento!$V959="Pago",IFERROR(W777-R777,0),0)</f>
        <v>0</v>
      </c>
      <c r="Y777" s="175">
        <v>45995</v>
      </c>
      <c r="Z777" s="196" t="s">
        <v>1795</v>
      </c>
    </row>
    <row r="778" spans="1:35" hidden="1" x14ac:dyDescent="0.3">
      <c r="A778" s="5" t="str">
        <f>VLOOKUP(B778,base!A:M,11,FALSE)</f>
        <v>BIFÁSICO</v>
      </c>
      <c r="B778" t="s">
        <v>309</v>
      </c>
      <c r="C778" s="1">
        <v>67999516782</v>
      </c>
      <c r="D778" s="60">
        <v>62955505367117</v>
      </c>
      <c r="E778" s="63" t="s">
        <v>433</v>
      </c>
      <c r="F778" t="s">
        <v>434</v>
      </c>
      <c r="G778" s="4">
        <v>45839</v>
      </c>
      <c r="H778" s="4" t="str">
        <f>Faturamento!$B689&amp;Faturamento!$G689</f>
        <v>10/1117293-945778</v>
      </c>
      <c r="I778" t="s">
        <v>435</v>
      </c>
      <c r="J778" s="37">
        <v>0</v>
      </c>
      <c r="K778" s="53"/>
      <c r="L778" s="53"/>
      <c r="M778" s="5" t="str">
        <f>IF(Faturamento!$S689&lt;&gt;"","Não emitido",IF(Faturamento!$I689="NÃO","Pendente Fatura", IF(Faturamento!$R689&lt;&gt;"","Aprovado",IF(Faturamento!$O689&lt;&gt;0,"Pendente Emissão","Processo de Calculo"))))</f>
        <v>Aprovado</v>
      </c>
      <c r="N778" s="3">
        <v>0.82999999999999829</v>
      </c>
      <c r="O778" s="3">
        <v>0.82999999999999829</v>
      </c>
      <c r="P778" s="4">
        <v>45910</v>
      </c>
      <c r="Q778" s="4">
        <v>45920</v>
      </c>
      <c r="R778" s="3">
        <v>0</v>
      </c>
      <c r="S778" t="s">
        <v>1257</v>
      </c>
      <c r="T778" s="51" t="s">
        <v>1289</v>
      </c>
      <c r="U778" s="51"/>
      <c r="V778" t="s">
        <v>438</v>
      </c>
      <c r="W778" s="3"/>
      <c r="X778" s="123">
        <f>IF(Faturamento!$V849="Pago",IFERROR(W778-R778,0),0)</f>
        <v>0</v>
      </c>
      <c r="Y778" s="4"/>
      <c r="Z778" s="4"/>
      <c r="AA778" s="5"/>
      <c r="AB778" s="5"/>
      <c r="AI778"/>
    </row>
    <row r="779" spans="1:35" hidden="1" x14ac:dyDescent="0.3">
      <c r="A779" s="5" t="str">
        <f>VLOOKUP(B779,base!A:M,11,FALSE)</f>
        <v>BIFÁSICO</v>
      </c>
      <c r="B779" t="s">
        <v>309</v>
      </c>
      <c r="C779" s="1">
        <v>0</v>
      </c>
      <c r="D779" s="60">
        <v>62955505367117</v>
      </c>
      <c r="E779" s="63" t="s">
        <v>433</v>
      </c>
      <c r="F779" t="s">
        <v>434</v>
      </c>
      <c r="G779" s="4">
        <v>45870</v>
      </c>
      <c r="H779" s="4" t="str">
        <f>Faturamento!$B791&amp;Faturamento!$G791</f>
        <v>10/162736-345627</v>
      </c>
      <c r="I779" t="s">
        <v>435</v>
      </c>
      <c r="J779">
        <v>0</v>
      </c>
      <c r="M779" s="5" t="str">
        <f>IF(Faturamento!$S791&lt;&gt;"","Não emitido",IF(Faturamento!$I791="NÃO","Pendente Fatura", IF(Faturamento!$R791&lt;&gt;"","Aprovado",IF(Faturamento!$O791&lt;&gt;0,"Pendente Emissão","Processo de Calculo"))))</f>
        <v>Não emitido</v>
      </c>
      <c r="N779" s="3">
        <v>0.82999999999999829</v>
      </c>
      <c r="O779" s="3">
        <v>0.82999999999999829</v>
      </c>
      <c r="P779" s="4"/>
      <c r="Q779" s="4"/>
      <c r="S779" t="s">
        <v>436</v>
      </c>
      <c r="T779" s="51" t="s">
        <v>1476</v>
      </c>
      <c r="U779" s="51" t="e">
        <v>#N/A</v>
      </c>
      <c r="V779" t="s">
        <v>438</v>
      </c>
      <c r="W779" s="3"/>
      <c r="X779" s="123">
        <f>IF(Faturamento!$V866="Pago",IFERROR(W779-R779,0),0)</f>
        <v>0</v>
      </c>
      <c r="Y779" s="4"/>
      <c r="Z779" s="4"/>
      <c r="AA779" s="5"/>
      <c r="AB779" s="5"/>
      <c r="AI779"/>
    </row>
    <row r="780" spans="1:35" hidden="1" x14ac:dyDescent="0.3">
      <c r="A780" s="5" t="str">
        <f>VLOOKUP(B780,base!A:M,11,FALSE)</f>
        <v>TRIFÁSICO</v>
      </c>
      <c r="B780" s="37" t="s">
        <v>213</v>
      </c>
      <c r="C780" s="56">
        <v>67992637973</v>
      </c>
      <c r="D780" s="59">
        <v>62955505274020</v>
      </c>
      <c r="E780" s="37" t="s">
        <v>433</v>
      </c>
      <c r="F780" s="37" t="s">
        <v>434</v>
      </c>
      <c r="G780" s="52">
        <v>45839</v>
      </c>
      <c r="H780" s="52" t="str">
        <f>Faturamento!$B672&amp;Faturamento!$G672</f>
        <v>10/466560-045901</v>
      </c>
      <c r="I780" s="37" t="s">
        <v>435</v>
      </c>
      <c r="J780" s="37">
        <v>0</v>
      </c>
      <c r="K780" s="53"/>
      <c r="L780" s="53"/>
      <c r="M780" s="5" t="str">
        <f>IF(Faturamento!$S672&lt;&gt;"","Não emitido",IF(Faturamento!$I672="NÃO","Pendente Fatura", IF(Faturamento!$R672&lt;&gt;"","Aprovado",IF(Faturamento!$O672&lt;&gt;0,"Pendente Emissão","Processo de Calculo"))))</f>
        <v>Aprovado</v>
      </c>
      <c r="N780" s="53">
        <v>0.66000000000000369</v>
      </c>
      <c r="O780" s="53">
        <v>0.66000000000000369</v>
      </c>
      <c r="P780" s="52">
        <v>45910</v>
      </c>
      <c r="Q780" s="52">
        <v>45920</v>
      </c>
      <c r="R780" s="53">
        <v>0</v>
      </c>
      <c r="S780" s="37" t="s">
        <v>1257</v>
      </c>
      <c r="T780" s="51" t="s">
        <v>1258</v>
      </c>
      <c r="U780" s="51"/>
      <c r="V780" s="37" t="s">
        <v>438</v>
      </c>
      <c r="W780" s="53"/>
      <c r="X780" s="123">
        <f>IF(Faturamento!$V845="Pago",IFERROR(W780-R780,0),0)</f>
        <v>0</v>
      </c>
      <c r="Y780" s="52"/>
      <c r="Z780" s="52"/>
      <c r="AA780" s="5"/>
      <c r="AB780" s="5"/>
      <c r="AI780"/>
    </row>
    <row r="781" spans="1:35" hidden="1" x14ac:dyDescent="0.3">
      <c r="A781" s="5" t="str">
        <f>VLOOKUP(B781,base!A:M,11,FALSE)</f>
        <v>BIFÁSICO</v>
      </c>
      <c r="B781" t="s">
        <v>204</v>
      </c>
      <c r="C781" s="1">
        <v>67992637973</v>
      </c>
      <c r="D781" s="60">
        <v>62955505040894</v>
      </c>
      <c r="E781" s="63" t="s">
        <v>433</v>
      </c>
      <c r="F781" t="s">
        <v>434</v>
      </c>
      <c r="G781" s="4">
        <v>45839</v>
      </c>
      <c r="H781" s="4" t="str">
        <f>Faturamento!$B701&amp;Faturamento!$G701</f>
        <v>10/283183-245931</v>
      </c>
      <c r="I781" t="s">
        <v>435</v>
      </c>
      <c r="J781" s="37">
        <v>0</v>
      </c>
      <c r="K781" s="53"/>
      <c r="L781" s="53"/>
      <c r="M781" s="5" t="str">
        <f>IF(Faturamento!$S701&lt;&gt;"","Não emitido",IF(Faturamento!$I701="NÃO","Pendente Fatura", IF(Faturamento!$R701&lt;&gt;"","Aprovado",IF(Faturamento!$O701&lt;&gt;0,"Pendente Emissão","Processo de Calculo"))))</f>
        <v>Aprovado</v>
      </c>
      <c r="N781" s="3">
        <v>0.1899999999999995</v>
      </c>
      <c r="O781" s="3">
        <v>0.1899999999999995</v>
      </c>
      <c r="P781" s="4">
        <v>45910</v>
      </c>
      <c r="Q781" s="4">
        <v>45920</v>
      </c>
      <c r="R781" s="3">
        <v>0</v>
      </c>
      <c r="S781" t="s">
        <v>1257</v>
      </c>
      <c r="T781" s="51" t="s">
        <v>1308</v>
      </c>
      <c r="U781" s="51"/>
      <c r="V781" t="s">
        <v>438</v>
      </c>
      <c r="W781" s="3"/>
      <c r="X781" s="123">
        <f>IF(Faturamento!$V855="Pago",IFERROR(W781-R781,0),0)</f>
        <v>0</v>
      </c>
      <c r="Y781" s="4"/>
      <c r="Z781" s="4"/>
      <c r="AA781" s="5"/>
      <c r="AB781" s="5"/>
      <c r="AI781"/>
    </row>
    <row r="782" spans="1:35" hidden="1" x14ac:dyDescent="0.3">
      <c r="A782" s="5" t="str">
        <f>VLOOKUP(B782,base!A:M,11,FALSE)</f>
        <v>BIFÁSICO</v>
      </c>
      <c r="B782" s="37" t="s">
        <v>114</v>
      </c>
      <c r="C782" s="56" t="s">
        <v>116</v>
      </c>
      <c r="D782" s="59">
        <v>62955505393207</v>
      </c>
      <c r="E782" s="37" t="s">
        <v>433</v>
      </c>
      <c r="F782" s="37" t="s">
        <v>434</v>
      </c>
      <c r="G782" s="52">
        <v>45627</v>
      </c>
      <c r="H782" s="52" t="str">
        <f>Faturamento!$B2&amp;Faturamento!$G2</f>
        <v>10/237441-145901</v>
      </c>
      <c r="I782" s="37" t="s">
        <v>435</v>
      </c>
      <c r="J782" s="37">
        <v>32</v>
      </c>
      <c r="K782" s="53"/>
      <c r="L782" s="53"/>
      <c r="M782" s="5" t="str">
        <f>IF(Faturamento!$S2&lt;&gt;"","Não emitido",IF(Faturamento!$I2="NÃO","Pendente Fatura", IF(Faturamento!$R2&lt;&gt;"","Aprovado",IF(Faturamento!$O2&lt;&gt;0,"Pendente Emissão","Processo de Calculo"))))</f>
        <v>Não emitido</v>
      </c>
      <c r="N782" s="195">
        <v>35.796799999999998</v>
      </c>
      <c r="O782" s="195">
        <v>0</v>
      </c>
      <c r="P782" s="52"/>
      <c r="Q782" s="52"/>
      <c r="R782" s="195"/>
      <c r="S782" s="37" t="s">
        <v>436</v>
      </c>
      <c r="T782" s="51" t="s">
        <v>437</v>
      </c>
      <c r="U782" s="51"/>
      <c r="V782" s="37" t="s">
        <v>438</v>
      </c>
      <c r="W782" s="195">
        <v>0</v>
      </c>
      <c r="X782" s="123">
        <f>IF(Faturamento!$V2="Pago",IFERROR(W782-R782,0),0)</f>
        <v>0</v>
      </c>
      <c r="Y782" s="52"/>
      <c r="Z782" s="52"/>
      <c r="AA782" s="5">
        <v>283032</v>
      </c>
      <c r="AB782" s="5">
        <v>502</v>
      </c>
      <c r="AC782" s="5" t="s">
        <v>434</v>
      </c>
      <c r="AD782" s="5" t="s">
        <v>439</v>
      </c>
      <c r="AE782" s="5">
        <v>2227.79</v>
      </c>
      <c r="AG782" s="5" t="s">
        <v>440</v>
      </c>
      <c r="AH782" s="5" t="s">
        <v>441</v>
      </c>
      <c r="AI782"/>
    </row>
    <row r="783" spans="1:35" hidden="1" x14ac:dyDescent="0.3">
      <c r="A783" s="5" t="str">
        <f>VLOOKUP(B783,base!A:M,11,FALSE)</f>
        <v>TRIFÁSICO</v>
      </c>
      <c r="B783" t="s">
        <v>118</v>
      </c>
      <c r="C783" s="1">
        <v>67996135721</v>
      </c>
      <c r="D783" s="60">
        <v>62955505182257</v>
      </c>
      <c r="E783" s="63" t="s">
        <v>433</v>
      </c>
      <c r="F783" t="s">
        <v>434</v>
      </c>
      <c r="G783" s="4">
        <v>45627</v>
      </c>
      <c r="H783" s="4" t="str">
        <f>Faturamento!$B3&amp;Faturamento!$G3</f>
        <v>10/135237-645901</v>
      </c>
      <c r="I783" t="s">
        <v>435</v>
      </c>
      <c r="J783" s="37">
        <v>246</v>
      </c>
      <c r="K783" s="53"/>
      <c r="L783" s="53"/>
      <c r="M783" s="5" t="str">
        <f>IF(Faturamento!$S3&lt;&gt;"","Não emitido",IF(Faturamento!$I3="NÃO","Pendente Fatura", IF(Faturamento!$R3&lt;&gt;"","Aprovado",IF(Faturamento!$O3&lt;&gt;0,"Pendente Emissão","Processo de Calculo"))))</f>
        <v>Não emitido</v>
      </c>
      <c r="N783" s="3">
        <v>275.48106382978727</v>
      </c>
      <c r="O783" s="3">
        <v>0</v>
      </c>
      <c r="P783" s="4"/>
      <c r="Q783" s="4"/>
      <c r="S783" t="s">
        <v>436</v>
      </c>
      <c r="T783" s="51" t="s">
        <v>442</v>
      </c>
      <c r="U783" s="51"/>
      <c r="V783" t="s">
        <v>438</v>
      </c>
      <c r="W783" s="3">
        <v>0</v>
      </c>
      <c r="X783" s="123">
        <f>IF(Faturamento!$V3="Pago",IFERROR(W783-R783,0),0)</f>
        <v>0</v>
      </c>
      <c r="Y783" s="4"/>
      <c r="Z783" s="4"/>
      <c r="AA783" s="5">
        <v>283032</v>
      </c>
      <c r="AB783" s="5">
        <v>502</v>
      </c>
      <c r="AC783" s="5" t="s">
        <v>434</v>
      </c>
      <c r="AD783" s="5" t="s">
        <v>443</v>
      </c>
      <c r="AE783" s="5">
        <v>676.11</v>
      </c>
      <c r="AG783" s="5" t="s">
        <v>444</v>
      </c>
      <c r="AH783" s="5" t="s">
        <v>441</v>
      </c>
      <c r="AI783"/>
    </row>
    <row r="784" spans="1:35" hidden="1" x14ac:dyDescent="0.3">
      <c r="A784" s="5" t="str">
        <f>VLOOKUP(B784,base!A:M,11,FALSE)</f>
        <v>TRIFÁSICO</v>
      </c>
      <c r="B784" s="37" t="s">
        <v>134</v>
      </c>
      <c r="C784" s="56">
        <v>67999516782</v>
      </c>
      <c r="D784" s="59">
        <v>62955505892114</v>
      </c>
      <c r="E784" s="37" t="s">
        <v>433</v>
      </c>
      <c r="F784" s="37" t="s">
        <v>434</v>
      </c>
      <c r="G784" s="52">
        <v>45627</v>
      </c>
      <c r="H784" s="52" t="str">
        <f>Faturamento!$B4&amp;Faturamento!$G4</f>
        <v>10/512142-145901</v>
      </c>
      <c r="I784" s="37" t="s">
        <v>435</v>
      </c>
      <c r="J784" s="37">
        <v>61</v>
      </c>
      <c r="K784" s="53"/>
      <c r="L784" s="53"/>
      <c r="M784" s="5" t="str">
        <f>IF(Faturamento!$S4&lt;&gt;"","Não emitido",IF(Faturamento!$I4="NÃO","Pendente Fatura", IF(Faturamento!$R4&lt;&gt;"","Aprovado",IF(Faturamento!$O4&lt;&gt;0,"Pendente Emissão","Processo de Calculo"))))</f>
        <v>Não emitido</v>
      </c>
      <c r="N784" s="53">
        <v>68.2547</v>
      </c>
      <c r="O784" s="53">
        <v>0</v>
      </c>
      <c r="P784" s="52"/>
      <c r="Q784" s="52"/>
      <c r="R784" s="53"/>
      <c r="S784" s="37" t="s">
        <v>436</v>
      </c>
      <c r="T784" s="51" t="s">
        <v>445</v>
      </c>
      <c r="U784" s="51"/>
      <c r="V784" s="37" t="s">
        <v>438</v>
      </c>
      <c r="W784" s="53">
        <v>0</v>
      </c>
      <c r="X784" s="123">
        <f>IF(Faturamento!$V4="Pago",IFERROR(W784-R784,0),0)</f>
        <v>0</v>
      </c>
      <c r="Y784" s="52"/>
      <c r="Z784" s="52"/>
      <c r="AA784" s="5">
        <v>283032</v>
      </c>
      <c r="AB784" s="5">
        <v>502</v>
      </c>
      <c r="AC784" s="5" t="s">
        <v>434</v>
      </c>
      <c r="AD784" s="5" t="s">
        <v>446</v>
      </c>
      <c r="AE784" s="5">
        <v>159.65</v>
      </c>
      <c r="AG784" s="5" t="s">
        <v>447</v>
      </c>
      <c r="AH784" s="5" t="s">
        <v>138</v>
      </c>
      <c r="AI784"/>
    </row>
    <row r="785" spans="1:35" hidden="1" x14ac:dyDescent="0.3">
      <c r="A785" s="5" t="str">
        <f>VLOOKUP(B785,base!A:M,11,FALSE)</f>
        <v>TRIFÁSICO</v>
      </c>
      <c r="B785" t="s">
        <v>140</v>
      </c>
      <c r="C785" s="1">
        <v>67996575782</v>
      </c>
      <c r="D785" s="60">
        <v>62955505015601</v>
      </c>
      <c r="E785" s="63" t="s">
        <v>433</v>
      </c>
      <c r="F785" t="s">
        <v>434</v>
      </c>
      <c r="G785" s="4">
        <v>45627</v>
      </c>
      <c r="H785" s="4" t="str">
        <f>Faturamento!$B5&amp;Faturamento!$G5</f>
        <v>10/31292-645901</v>
      </c>
      <c r="I785" t="s">
        <v>435</v>
      </c>
      <c r="J785" s="37">
        <v>145</v>
      </c>
      <c r="K785" s="53"/>
      <c r="L785" s="53"/>
      <c r="M785" s="5" t="str">
        <f>IF(Faturamento!$S5&lt;&gt;"","Não emitido",IF(Faturamento!$I5="NÃO","Pendente Fatura", IF(Faturamento!$R5&lt;&gt;"","Aprovado",IF(Faturamento!$O5&lt;&gt;0,"Pendente Emissão","Processo de Calculo"))))</f>
        <v>Não emitido</v>
      </c>
      <c r="N785" s="3">
        <v>164.37932330827067</v>
      </c>
      <c r="O785" s="3">
        <v>0</v>
      </c>
      <c r="P785" s="4"/>
      <c r="Q785" s="4"/>
      <c r="S785" t="s">
        <v>436</v>
      </c>
      <c r="T785" s="51" t="s">
        <v>448</v>
      </c>
      <c r="U785" s="51"/>
      <c r="V785" t="s">
        <v>438</v>
      </c>
      <c r="W785" s="3">
        <v>0</v>
      </c>
      <c r="X785" s="123">
        <f>IF(Faturamento!$V5="Pago",IFERROR(W785-R785,0),0)</f>
        <v>0</v>
      </c>
      <c r="Y785" s="4"/>
      <c r="Z785" s="4"/>
      <c r="AA785" s="5">
        <v>283032</v>
      </c>
      <c r="AB785" s="5">
        <v>502</v>
      </c>
      <c r="AC785" s="5" t="s">
        <v>434</v>
      </c>
      <c r="AD785" s="5" t="s">
        <v>449</v>
      </c>
      <c r="AE785" s="5">
        <v>251.23</v>
      </c>
      <c r="AG785" s="5" t="s">
        <v>450</v>
      </c>
      <c r="AH785" s="5" t="s">
        <v>451</v>
      </c>
      <c r="AI785"/>
    </row>
    <row r="786" spans="1:35" hidden="1" x14ac:dyDescent="0.3">
      <c r="A786" s="5" t="str">
        <f>VLOOKUP(B786,base!A:M,11,FALSE)</f>
        <v>TRIFÁSICO</v>
      </c>
      <c r="B786" s="37" t="s">
        <v>143</v>
      </c>
      <c r="C786" s="56" t="s">
        <v>144</v>
      </c>
      <c r="D786" s="59">
        <v>62955505149047</v>
      </c>
      <c r="E786" s="37" t="s">
        <v>433</v>
      </c>
      <c r="F786" s="37" t="s">
        <v>434</v>
      </c>
      <c r="G786" s="52">
        <v>45627</v>
      </c>
      <c r="H786" s="52" t="str">
        <f>Faturamento!$B6&amp;Faturamento!$G6</f>
        <v>10/3054052-045901</v>
      </c>
      <c r="I786" s="37" t="s">
        <v>435</v>
      </c>
      <c r="J786" s="37">
        <v>96</v>
      </c>
      <c r="K786" s="53"/>
      <c r="L786" s="53"/>
      <c r="M786" s="5" t="str">
        <f>IF(Faturamento!$S6&lt;&gt;"","Não emitido",IF(Faturamento!$I6="NÃO","Pendente Fatura", IF(Faturamento!$R6&lt;&gt;"","Aprovado",IF(Faturamento!$O6&lt;&gt;0,"Pendente Emissão","Processo de Calculo"))))</f>
        <v>Não emitido</v>
      </c>
      <c r="N786" s="53">
        <v>108.75319999999999</v>
      </c>
      <c r="O786" s="53">
        <v>0</v>
      </c>
      <c r="P786" s="52"/>
      <c r="Q786" s="52"/>
      <c r="R786" s="53"/>
      <c r="S786" s="37" t="s">
        <v>436</v>
      </c>
      <c r="T786" s="51" t="s">
        <v>452</v>
      </c>
      <c r="U786" s="51"/>
      <c r="V786" s="37" t="s">
        <v>438</v>
      </c>
      <c r="W786" s="53">
        <v>0</v>
      </c>
      <c r="X786" s="123">
        <f>IF(Faturamento!$V6="Pago",IFERROR(W786-R786,0),0)</f>
        <v>0</v>
      </c>
      <c r="Y786" s="52"/>
      <c r="Z786" s="52"/>
      <c r="AA786" s="5">
        <v>283032</v>
      </c>
      <c r="AB786" s="5">
        <v>502</v>
      </c>
      <c r="AC786" s="5" t="s">
        <v>434</v>
      </c>
      <c r="AD786" s="5" t="s">
        <v>453</v>
      </c>
      <c r="AE786" s="5">
        <v>291</v>
      </c>
      <c r="AG786" s="5" t="s">
        <v>454</v>
      </c>
      <c r="AH786" s="5" t="s">
        <v>455</v>
      </c>
      <c r="AI786"/>
    </row>
    <row r="787" spans="1:35" hidden="1" x14ac:dyDescent="0.3">
      <c r="A787" s="5" t="str">
        <f>VLOOKUP(B787,base!A:M,11,FALSE)</f>
        <v>TRIFÁSICO</v>
      </c>
      <c r="B787" t="s">
        <v>156</v>
      </c>
      <c r="C787" s="1">
        <v>67996446178</v>
      </c>
      <c r="D787" s="60">
        <v>62955505080098</v>
      </c>
      <c r="E787" s="63" t="s">
        <v>433</v>
      </c>
      <c r="F787" t="s">
        <v>434</v>
      </c>
      <c r="G787" s="4">
        <v>45627</v>
      </c>
      <c r="H787" s="4" t="str">
        <f>Faturamento!$B7&amp;Faturamento!$G7</f>
        <v>10/505854-045901</v>
      </c>
      <c r="I787" t="s">
        <v>435</v>
      </c>
      <c r="J787" s="37">
        <v>38</v>
      </c>
      <c r="K787" s="53"/>
      <c r="L787" s="53"/>
      <c r="M787" s="5" t="str">
        <f>IF(Faturamento!$S7&lt;&gt;"","Não emitido",IF(Faturamento!$I7="NÃO","Pendente Fatura", IF(Faturamento!$R7&lt;&gt;"","Aprovado",IF(Faturamento!$O7&lt;&gt;0,"Pendente Emissão","Processo de Calculo"))))</f>
        <v>Não emitido</v>
      </c>
      <c r="N787" s="3">
        <v>42.776199999999996</v>
      </c>
      <c r="O787" s="3">
        <v>0</v>
      </c>
      <c r="P787" s="4"/>
      <c r="Q787" s="4"/>
      <c r="S787" t="s">
        <v>436</v>
      </c>
      <c r="T787" s="51" t="s">
        <v>456</v>
      </c>
      <c r="U787" s="51"/>
      <c r="V787" t="s">
        <v>438</v>
      </c>
      <c r="W787" s="3">
        <v>0</v>
      </c>
      <c r="X787" s="123">
        <f>IF(Faturamento!$V7="Pago",IFERROR(W787-R787,0),0)</f>
        <v>0</v>
      </c>
      <c r="Y787" s="4"/>
      <c r="Z787" s="4"/>
      <c r="AA787" s="5">
        <v>283032</v>
      </c>
      <c r="AB787" s="5">
        <v>502</v>
      </c>
      <c r="AC787" s="5" t="s">
        <v>434</v>
      </c>
      <c r="AD787" s="5" t="s">
        <v>457</v>
      </c>
      <c r="AE787" s="5">
        <v>41.14</v>
      </c>
      <c r="AG787" s="5" t="s">
        <v>458</v>
      </c>
      <c r="AH787" s="5" t="s">
        <v>174</v>
      </c>
      <c r="AI787"/>
    </row>
    <row r="788" spans="1:35" hidden="1" x14ac:dyDescent="0.3">
      <c r="A788" s="5" t="str">
        <f>VLOOKUP(B788,base!A:M,11,FALSE)</f>
        <v>MONOFÁSICO</v>
      </c>
      <c r="B788" s="37" t="s">
        <v>173</v>
      </c>
      <c r="C788" s="56" t="s">
        <v>175</v>
      </c>
      <c r="D788" s="59">
        <v>62955505084751</v>
      </c>
      <c r="E788" s="37" t="s">
        <v>433</v>
      </c>
      <c r="F788" s="37" t="s">
        <v>434</v>
      </c>
      <c r="G788" s="52">
        <v>45627</v>
      </c>
      <c r="H788" s="52" t="str">
        <f>Faturamento!$B8&amp;Faturamento!$G8</f>
        <v>10/364440-845839</v>
      </c>
      <c r="I788" s="37" t="s">
        <v>435</v>
      </c>
      <c r="J788" s="37">
        <v>126</v>
      </c>
      <c r="K788" s="53"/>
      <c r="L788" s="53"/>
      <c r="M788" s="5" t="str">
        <f>IF(Faturamento!$S8&lt;&gt;"","Não emitido",IF(Faturamento!$I8="NÃO","Pendente Fatura", IF(Faturamento!$R8&lt;&gt;"","Aprovado",IF(Faturamento!$O8&lt;&gt;0,"Pendente Emissão","Processo de Calculo"))))</f>
        <v>Aprovado</v>
      </c>
      <c r="N788" s="53">
        <v>141.56400000000005</v>
      </c>
      <c r="O788" s="53">
        <v>0</v>
      </c>
      <c r="P788" s="52"/>
      <c r="Q788" s="52"/>
      <c r="R788" s="53"/>
      <c r="S788" s="37" t="s">
        <v>436</v>
      </c>
      <c r="T788" s="51" t="s">
        <v>459</v>
      </c>
      <c r="U788" s="51"/>
      <c r="V788" s="37" t="s">
        <v>438</v>
      </c>
      <c r="W788" s="53">
        <v>0</v>
      </c>
      <c r="X788" s="123">
        <f>IF(Faturamento!$V8="Pago",IFERROR(W788-R788,0),0)</f>
        <v>0</v>
      </c>
      <c r="Y788" s="52"/>
      <c r="Z788" s="52"/>
      <c r="AA788" s="5">
        <v>283032</v>
      </c>
      <c r="AB788" s="5">
        <v>502</v>
      </c>
      <c r="AC788" s="5" t="s">
        <v>434</v>
      </c>
      <c r="AD788" s="5" t="s">
        <v>460</v>
      </c>
      <c r="AE788" s="5">
        <v>152.16999999999999</v>
      </c>
      <c r="AG788" s="5" t="s">
        <v>461</v>
      </c>
      <c r="AH788" s="5" t="s">
        <v>441</v>
      </c>
      <c r="AI788"/>
    </row>
    <row r="789" spans="1:35" hidden="1" x14ac:dyDescent="0.3">
      <c r="A789" s="5" t="str">
        <f>VLOOKUP(B789,base!A:M,11,FALSE)</f>
        <v>TRIFÁSICO</v>
      </c>
      <c r="B789" t="s">
        <v>177</v>
      </c>
      <c r="C789" s="1" t="s">
        <v>179</v>
      </c>
      <c r="D789" s="60">
        <v>62955505015350</v>
      </c>
      <c r="E789" s="63" t="s">
        <v>433</v>
      </c>
      <c r="F789" t="s">
        <v>434</v>
      </c>
      <c r="G789" s="4">
        <v>45627</v>
      </c>
      <c r="H789" s="4" t="str">
        <f>Faturamento!$B9&amp;Faturamento!$G9</f>
        <v>10/364440-845870</v>
      </c>
      <c r="I789" t="s">
        <v>435</v>
      </c>
      <c r="J789" s="37">
        <v>391</v>
      </c>
      <c r="K789" s="53"/>
      <c r="L789" s="53"/>
      <c r="M789" s="5" t="str">
        <f>IF(Faturamento!$S9&lt;&gt;"","Não emitido",IF(Faturamento!$I9="NÃO","Pendente Fatura", IF(Faturamento!$R9&lt;&gt;"","Aprovado",IF(Faturamento!$O9&lt;&gt;0,"Pendente Emissão","Processo de Calculo"))))</f>
        <v>Aprovado</v>
      </c>
      <c r="N789" s="3">
        <v>442.43230000000005</v>
      </c>
      <c r="O789" s="3">
        <v>0</v>
      </c>
      <c r="P789" s="4"/>
      <c r="Q789" s="4"/>
      <c r="S789" t="s">
        <v>436</v>
      </c>
      <c r="T789" s="51" t="s">
        <v>462</v>
      </c>
      <c r="U789" s="51"/>
      <c r="V789" t="s">
        <v>438</v>
      </c>
      <c r="W789" s="3">
        <v>0</v>
      </c>
      <c r="X789" s="123">
        <f>IF(Faturamento!$V9="Pago",IFERROR(W789-R789,0),0)</f>
        <v>0</v>
      </c>
      <c r="Y789" s="4"/>
      <c r="Z789" s="4"/>
      <c r="AA789" s="5">
        <v>283032</v>
      </c>
      <c r="AB789" s="5">
        <v>502</v>
      </c>
      <c r="AC789" s="5" t="s">
        <v>434</v>
      </c>
      <c r="AD789" s="5" t="s">
        <v>463</v>
      </c>
      <c r="AE789" s="5">
        <v>56.18</v>
      </c>
      <c r="AG789" s="5" t="s">
        <v>464</v>
      </c>
      <c r="AH789" s="5" t="s">
        <v>465</v>
      </c>
      <c r="AI789"/>
    </row>
    <row r="790" spans="1:35" hidden="1" x14ac:dyDescent="0.3">
      <c r="A790" s="5" t="str">
        <f>VLOOKUP(B790,base!A:M,11,FALSE)</f>
        <v>TRIFÁSICO</v>
      </c>
      <c r="B790" s="37" t="s">
        <v>228</v>
      </c>
      <c r="C790" s="56">
        <v>67991162146</v>
      </c>
      <c r="D790" s="59">
        <v>62955505015199</v>
      </c>
      <c r="E790" s="37" t="s">
        <v>433</v>
      </c>
      <c r="F790" s="37" t="s">
        <v>434</v>
      </c>
      <c r="G790" s="52">
        <v>45627</v>
      </c>
      <c r="H790" s="52" t="str">
        <f>Faturamento!$B10&amp;Faturamento!$G10</f>
        <v>10/364440-845901</v>
      </c>
      <c r="I790" s="37" t="s">
        <v>435</v>
      </c>
      <c r="J790" s="37">
        <v>0</v>
      </c>
      <c r="K790" s="53"/>
      <c r="L790" s="53"/>
      <c r="M790" s="5" t="str">
        <f>IF(Faturamento!$S10&lt;&gt;"","Não emitido",IF(Faturamento!$I10="NÃO","Pendente Fatura", IF(Faturamento!$R10&lt;&gt;"","Aprovado",IF(Faturamento!$O10&lt;&gt;0,"Pendente Emissão","Processo de Calculo"))))</f>
        <v>Aprovado</v>
      </c>
      <c r="N790" s="53">
        <v>0</v>
      </c>
      <c r="O790" s="53">
        <v>0</v>
      </c>
      <c r="P790" s="52"/>
      <c r="Q790" s="52"/>
      <c r="R790" s="53"/>
      <c r="S790" s="37" t="s">
        <v>436</v>
      </c>
      <c r="T790" s="51" t="s">
        <v>466</v>
      </c>
      <c r="U790" s="51"/>
      <c r="V790" s="37" t="s">
        <v>438</v>
      </c>
      <c r="W790" s="53">
        <v>0</v>
      </c>
      <c r="X790" s="123">
        <f>IF(Faturamento!$V10="Pago",IFERROR(W790-R790,0),0)</f>
        <v>0</v>
      </c>
      <c r="Y790" s="52"/>
      <c r="Z790" s="52"/>
      <c r="AA790" s="5">
        <v>283032</v>
      </c>
      <c r="AB790" s="5">
        <v>502</v>
      </c>
      <c r="AC790" s="5" t="s">
        <v>434</v>
      </c>
      <c r="AD790" s="5" t="s">
        <v>467</v>
      </c>
      <c r="AE790" s="5">
        <v>111.32</v>
      </c>
      <c r="AG790" s="5" t="s">
        <v>468</v>
      </c>
      <c r="AH790" s="5" t="s">
        <v>469</v>
      </c>
      <c r="AI790"/>
    </row>
    <row r="791" spans="1:35" hidden="1" x14ac:dyDescent="0.3">
      <c r="A791" s="5" t="str">
        <f>VLOOKUP(B791,base!A:M,11,FALSE)</f>
        <v>TRIFÁSICO</v>
      </c>
      <c r="B791" t="s">
        <v>181</v>
      </c>
      <c r="C791" s="1">
        <v>67996150274</v>
      </c>
      <c r="D791" s="60">
        <v>62955505197360</v>
      </c>
      <c r="E791" s="63" t="s">
        <v>433</v>
      </c>
      <c r="F791" t="s">
        <v>434</v>
      </c>
      <c r="G791" s="4">
        <v>45627</v>
      </c>
      <c r="H791" s="4" t="str">
        <f>Faturamento!$B11&amp;Faturamento!$G11</f>
        <v>10/364440-845809</v>
      </c>
      <c r="I791" t="s">
        <v>435</v>
      </c>
      <c r="J791" s="37">
        <v>135</v>
      </c>
      <c r="K791" s="53"/>
      <c r="L791" s="53"/>
      <c r="M791" s="5" t="str">
        <f>IF(Faturamento!$S11&lt;&gt;"","Não emitido",IF(Faturamento!$I11="NÃO","Pendente Fatura", IF(Faturamento!$R11&lt;&gt;"","Aprovado",IF(Faturamento!$O11&lt;&gt;0,"Pendente Emissão","Processo de Calculo"))))</f>
        <v>Aprovado</v>
      </c>
      <c r="N791" s="3">
        <v>152.0265</v>
      </c>
      <c r="O791" s="3">
        <v>0</v>
      </c>
      <c r="P791" s="4"/>
      <c r="Q791" s="4"/>
      <c r="S791" t="s">
        <v>436</v>
      </c>
      <c r="T791" s="51" t="s">
        <v>470</v>
      </c>
      <c r="U791" s="51"/>
      <c r="V791" t="s">
        <v>438</v>
      </c>
      <c r="W791" s="3">
        <v>0</v>
      </c>
      <c r="X791" s="123">
        <f>IF(Faturamento!$V11="Pago",IFERROR(W791-R791,0),0)</f>
        <v>0</v>
      </c>
      <c r="Y791" s="4"/>
      <c r="Z791" s="4"/>
      <c r="AA791" s="5">
        <v>283032</v>
      </c>
      <c r="AB791" s="5">
        <v>502</v>
      </c>
      <c r="AC791" s="5" t="s">
        <v>434</v>
      </c>
      <c r="AD791" s="5" t="s">
        <v>471</v>
      </c>
      <c r="AE791" s="5">
        <v>176.97</v>
      </c>
      <c r="AG791" s="5" t="s">
        <v>472</v>
      </c>
      <c r="AH791" s="5" t="s">
        <v>473</v>
      </c>
      <c r="AI791"/>
    </row>
    <row r="792" spans="1:35" hidden="1" x14ac:dyDescent="0.3">
      <c r="A792" s="5" t="str">
        <f>VLOOKUP(B792,base!A:M,11,FALSE)</f>
        <v>TRIFÁSICO</v>
      </c>
      <c r="B792" s="37" t="s">
        <v>184</v>
      </c>
      <c r="C792" s="56">
        <v>67992637973</v>
      </c>
      <c r="D792" s="59">
        <v>62955505017213</v>
      </c>
      <c r="E792" s="37" t="s">
        <v>433</v>
      </c>
      <c r="F792" s="37" t="s">
        <v>434</v>
      </c>
      <c r="G792" s="52">
        <v>45627</v>
      </c>
      <c r="H792" s="52" t="str">
        <f>Faturamento!$B12&amp;Faturamento!$G12</f>
        <v>10/5202-745717</v>
      </c>
      <c r="I792" s="37" t="s">
        <v>435</v>
      </c>
      <c r="J792" s="37">
        <v>277</v>
      </c>
      <c r="K792" s="53"/>
      <c r="L792" s="53"/>
      <c r="M792" s="5" t="str">
        <f>IF(Faturamento!$S12&lt;&gt;"","Não emitido",IF(Faturamento!$I12="NÃO","Pendente Fatura", IF(Faturamento!$R12&lt;&gt;"","Aprovado",IF(Faturamento!$O12&lt;&gt;0,"Pendente Emissão","Processo de Calculo"))))</f>
        <v>Aprovado</v>
      </c>
      <c r="N792" s="53">
        <v>313.21649999999994</v>
      </c>
      <c r="O792" s="53">
        <v>0</v>
      </c>
      <c r="P792" s="52"/>
      <c r="Q792" s="52"/>
      <c r="R792" s="53"/>
      <c r="S792" s="37" t="s">
        <v>436</v>
      </c>
      <c r="T792" s="51" t="s">
        <v>474</v>
      </c>
      <c r="U792" s="51"/>
      <c r="V792" s="37" t="s">
        <v>438</v>
      </c>
      <c r="W792" s="53">
        <v>0</v>
      </c>
      <c r="X792" s="123">
        <f>IF(Faturamento!$V12="Pago",IFERROR(W792-R792,0),0)</f>
        <v>0</v>
      </c>
      <c r="Y792" s="52"/>
      <c r="Z792" s="52"/>
      <c r="AA792" s="5">
        <v>283032</v>
      </c>
      <c r="AB792" s="5">
        <v>502</v>
      </c>
      <c r="AC792" s="5" t="s">
        <v>434</v>
      </c>
      <c r="AD792" s="5" t="s">
        <v>475</v>
      </c>
      <c r="AE792" s="5">
        <v>156.34</v>
      </c>
      <c r="AG792" s="5" t="s">
        <v>476</v>
      </c>
      <c r="AH792" s="5" t="s">
        <v>441</v>
      </c>
      <c r="AI792"/>
    </row>
    <row r="793" spans="1:35" hidden="1" x14ac:dyDescent="0.3">
      <c r="A793" s="5" t="str">
        <f>VLOOKUP(B793,base!A:M,11,FALSE)</f>
        <v>TRIFÁSICO</v>
      </c>
      <c r="B793" t="s">
        <v>189</v>
      </c>
      <c r="C793" s="1">
        <v>67991767866</v>
      </c>
      <c r="D793" s="60">
        <v>62955505461210</v>
      </c>
      <c r="E793" s="63" t="s">
        <v>433</v>
      </c>
      <c r="F793" t="s">
        <v>434</v>
      </c>
      <c r="G793" s="4">
        <v>45627</v>
      </c>
      <c r="H793" s="4" t="str">
        <f>Faturamento!$B13&amp;Faturamento!$G13</f>
        <v>10/364440-845748</v>
      </c>
      <c r="I793" t="s">
        <v>435</v>
      </c>
      <c r="J793" s="37">
        <v>256</v>
      </c>
      <c r="K793" s="53"/>
      <c r="L793" s="53"/>
      <c r="M793" s="5" t="str">
        <f>IF(Faturamento!$S13&lt;&gt;"","Não emitido",IF(Faturamento!$I13="NÃO","Pendente Fatura", IF(Faturamento!$R13&lt;&gt;"","Aprovado",IF(Faturamento!$O13&lt;&gt;0,"Pendente Emissão","Processo de Calculo"))))</f>
        <v>Aprovado</v>
      </c>
      <c r="N793" s="3">
        <v>289.68452830188676</v>
      </c>
      <c r="O793" s="3">
        <v>0</v>
      </c>
      <c r="P793" s="4"/>
      <c r="Q793" s="4"/>
      <c r="S793" t="s">
        <v>436</v>
      </c>
      <c r="T793" s="51" t="s">
        <v>477</v>
      </c>
      <c r="U793" s="51"/>
      <c r="V793" t="s">
        <v>438</v>
      </c>
      <c r="W793" s="3">
        <v>0</v>
      </c>
      <c r="X793" s="123">
        <f>IF(Faturamento!$V13="Pago",IFERROR(W793-R793,0),0)</f>
        <v>0</v>
      </c>
      <c r="Y793" s="4"/>
      <c r="Z793" s="4"/>
      <c r="AA793" s="5">
        <v>283032</v>
      </c>
      <c r="AB793" s="5">
        <v>502</v>
      </c>
      <c r="AC793" s="5" t="s">
        <v>434</v>
      </c>
      <c r="AD793" s="5" t="s">
        <v>478</v>
      </c>
      <c r="AE793" s="5">
        <v>108.76</v>
      </c>
      <c r="AG793" s="5" t="s">
        <v>479</v>
      </c>
      <c r="AH793" s="5" t="s">
        <v>480</v>
      </c>
      <c r="AI793"/>
    </row>
    <row r="794" spans="1:35" hidden="1" x14ac:dyDescent="0.3">
      <c r="A794" s="5" t="str">
        <f>VLOOKUP(B794,base!A:M,11,FALSE)</f>
        <v>TRIFÁSICO</v>
      </c>
      <c r="B794" s="37" t="s">
        <v>191</v>
      </c>
      <c r="C794" s="56">
        <v>67991767866</v>
      </c>
      <c r="D794" s="59">
        <v>62955505461210</v>
      </c>
      <c r="E794" s="37" t="s">
        <v>433</v>
      </c>
      <c r="F794" s="37" t="s">
        <v>434</v>
      </c>
      <c r="G794" s="52">
        <v>45627</v>
      </c>
      <c r="H794" s="52" t="str">
        <f>Faturamento!$B14&amp;Faturamento!$G14</f>
        <v>10/364440-845717</v>
      </c>
      <c r="I794" s="37" t="s">
        <v>435</v>
      </c>
      <c r="J794" s="37">
        <v>223</v>
      </c>
      <c r="K794" s="53"/>
      <c r="L794" s="53"/>
      <c r="M794" s="5" t="str">
        <f>IF(Faturamento!$S14&lt;&gt;"","Não emitido",IF(Faturamento!$I14="NÃO","Pendente Fatura", IF(Faturamento!$R14&lt;&gt;"","Aprovado",IF(Faturamento!$O14&lt;&gt;0,"Pendente Emissão","Processo de Calculo"))))</f>
        <v>Aprovado</v>
      </c>
      <c r="N794" s="53">
        <v>252.32190000000006</v>
      </c>
      <c r="O794" s="53">
        <v>0</v>
      </c>
      <c r="P794" s="52"/>
      <c r="Q794" s="52"/>
      <c r="R794" s="53"/>
      <c r="S794" s="37" t="s">
        <v>436</v>
      </c>
      <c r="T794" s="51" t="s">
        <v>477</v>
      </c>
      <c r="U794" s="51"/>
      <c r="V794" s="37" t="s">
        <v>438</v>
      </c>
      <c r="W794" s="53">
        <v>0</v>
      </c>
      <c r="X794" s="123">
        <f>IF(Faturamento!$V14="Pago",IFERROR(W794-R794,0),0)</f>
        <v>0</v>
      </c>
      <c r="Y794" s="52"/>
      <c r="Z794" s="52"/>
      <c r="AA794" s="5">
        <v>283032</v>
      </c>
      <c r="AB794" s="5">
        <v>502</v>
      </c>
      <c r="AC794" s="5" t="s">
        <v>434</v>
      </c>
      <c r="AD794" s="5" t="s">
        <v>481</v>
      </c>
      <c r="AE794" s="5">
        <v>77.55</v>
      </c>
      <c r="AG794" s="5" t="s">
        <v>482</v>
      </c>
      <c r="AH794" s="5" t="s">
        <v>441</v>
      </c>
      <c r="AI794"/>
    </row>
    <row r="795" spans="1:35" hidden="1" x14ac:dyDescent="0.3">
      <c r="A795" s="5" t="str">
        <f>VLOOKUP(B795,base!A:M,11,FALSE)</f>
        <v>TRIFÁSICO</v>
      </c>
      <c r="B795" t="s">
        <v>194</v>
      </c>
      <c r="C795" s="1">
        <v>67996266684</v>
      </c>
      <c r="D795" s="60">
        <v>62955505016080</v>
      </c>
      <c r="E795" s="63" t="s">
        <v>433</v>
      </c>
      <c r="F795" t="s">
        <v>434</v>
      </c>
      <c r="G795" s="4">
        <v>45627</v>
      </c>
      <c r="H795" s="4" t="str">
        <f>Faturamento!$B15&amp;Faturamento!$G15</f>
        <v>10/364440-845689</v>
      </c>
      <c r="I795" t="s">
        <v>435</v>
      </c>
      <c r="J795" s="37">
        <v>739</v>
      </c>
      <c r="K795" s="53"/>
      <c r="L795" s="53"/>
      <c r="M795" s="5" t="str">
        <f>IF(Faturamento!$S15&lt;&gt;"","Não emitido",IF(Faturamento!$I15="NÃO","Pendente Fatura", IF(Faturamento!$R15&lt;&gt;"","Aprovado",IF(Faturamento!$O15&lt;&gt;0,"Pendente Emissão","Processo de Calculo"))))</f>
        <v>Aprovado</v>
      </c>
      <c r="N795" s="3">
        <v>827.61053398058255</v>
      </c>
      <c r="O795" s="3">
        <v>0</v>
      </c>
      <c r="P795" s="4"/>
      <c r="Q795" s="4"/>
      <c r="S795" t="s">
        <v>436</v>
      </c>
      <c r="T795" s="51" t="s">
        <v>483</v>
      </c>
      <c r="U795" s="51"/>
      <c r="V795" t="s">
        <v>438</v>
      </c>
      <c r="W795" s="3">
        <v>0</v>
      </c>
      <c r="X795" s="123">
        <f>IF(Faturamento!$V15="Pago",IFERROR(W795-R795,0),0)</f>
        <v>0</v>
      </c>
      <c r="Y795" s="4"/>
      <c r="Z795" s="4"/>
      <c r="AA795" s="5">
        <v>283032</v>
      </c>
      <c r="AB795" s="5">
        <v>502</v>
      </c>
      <c r="AC795" s="5" t="s">
        <v>434</v>
      </c>
      <c r="AD795" s="5" t="s">
        <v>460</v>
      </c>
      <c r="AE795" s="5">
        <v>172.74</v>
      </c>
      <c r="AG795" s="5" t="s">
        <v>484</v>
      </c>
      <c r="AH795" s="5" t="s">
        <v>178</v>
      </c>
      <c r="AI795"/>
    </row>
    <row r="796" spans="1:35" hidden="1" x14ac:dyDescent="0.3">
      <c r="A796" s="5" t="str">
        <f>VLOOKUP(B796,base!A:M,11,FALSE)</f>
        <v>TRIFÁSICO</v>
      </c>
      <c r="B796" s="37" t="s">
        <v>196</v>
      </c>
      <c r="C796" s="56" t="s">
        <v>175</v>
      </c>
      <c r="D796" s="59">
        <v>62955505215791</v>
      </c>
      <c r="E796" s="37" t="s">
        <v>433</v>
      </c>
      <c r="F796" s="37" t="s">
        <v>434</v>
      </c>
      <c r="G796" s="52">
        <v>45627</v>
      </c>
      <c r="H796" s="52" t="str">
        <f>Faturamento!$B16&amp;Faturamento!$G16</f>
        <v>10/364440-845658</v>
      </c>
      <c r="I796" s="37" t="s">
        <v>435</v>
      </c>
      <c r="J796" s="37">
        <v>493</v>
      </c>
      <c r="K796" s="53"/>
      <c r="L796" s="53"/>
      <c r="M796" s="5" t="str">
        <f>IF(Faturamento!$S16&lt;&gt;"","Não emitido",IF(Faturamento!$I16="NÃO","Pendente Fatura", IF(Faturamento!$R16&lt;&gt;"","Aprovado",IF(Faturamento!$O16&lt;&gt;0,"Pendente Emissão","Processo de Calculo"))))</f>
        <v>Aprovado</v>
      </c>
      <c r="N796" s="53">
        <v>551.84623217922604</v>
      </c>
      <c r="O796" s="53">
        <v>0</v>
      </c>
      <c r="P796" s="52"/>
      <c r="Q796" s="52"/>
      <c r="R796" s="53"/>
      <c r="S796" s="37" t="s">
        <v>436</v>
      </c>
      <c r="T796" s="51" t="s">
        <v>485</v>
      </c>
      <c r="U796" s="51"/>
      <c r="V796" s="37" t="s">
        <v>438</v>
      </c>
      <c r="W796" s="53">
        <v>0</v>
      </c>
      <c r="X796" s="123">
        <f>IF(Faturamento!$V16="Pago",IFERROR(W796-R796,0),0)</f>
        <v>0</v>
      </c>
      <c r="Y796" s="52"/>
      <c r="Z796" s="52"/>
      <c r="AA796" s="5">
        <v>283032</v>
      </c>
      <c r="AB796" s="5">
        <v>502</v>
      </c>
      <c r="AC796" s="5" t="s">
        <v>434</v>
      </c>
      <c r="AD796" s="5" t="s">
        <v>486</v>
      </c>
      <c r="AE796" s="5">
        <v>222.49</v>
      </c>
      <c r="AG796" s="5" t="s">
        <v>487</v>
      </c>
      <c r="AH796" s="5" t="s">
        <v>441</v>
      </c>
      <c r="AI796"/>
    </row>
    <row r="797" spans="1:35" hidden="1" x14ac:dyDescent="0.3">
      <c r="A797" s="5" t="str">
        <f>VLOOKUP(B797,base!A:M,11,FALSE)</f>
        <v>BIFÁSICO</v>
      </c>
      <c r="B797" t="s">
        <v>198</v>
      </c>
      <c r="C797" s="1" t="s">
        <v>166</v>
      </c>
      <c r="D797" s="60">
        <v>62955505419443</v>
      </c>
      <c r="E797" s="63" t="s">
        <v>433</v>
      </c>
      <c r="F797" t="s">
        <v>434</v>
      </c>
      <c r="G797" s="4">
        <v>45627</v>
      </c>
      <c r="H797" s="4" t="str">
        <f>Faturamento!$B17&amp;Faturamento!$G17</f>
        <v>10/364440-845778</v>
      </c>
      <c r="I797" t="s">
        <v>435</v>
      </c>
      <c r="J797" s="37">
        <v>401</v>
      </c>
      <c r="K797" s="53"/>
      <c r="L797" s="53"/>
      <c r="M797" s="5" t="str">
        <f>IF(Faturamento!$S17&lt;&gt;"","Não emitido",IF(Faturamento!$I17="NÃO","Pendente Fatura", IF(Faturamento!$R17&lt;&gt;"","Aprovado",IF(Faturamento!$O17&lt;&gt;0,"Pendente Emissão","Processo de Calculo"))))</f>
        <v>Aprovado</v>
      </c>
      <c r="N797" s="3">
        <v>452.58240000000001</v>
      </c>
      <c r="O797" s="3">
        <v>0</v>
      </c>
      <c r="P797" s="4"/>
      <c r="Q797" s="4"/>
      <c r="S797" t="s">
        <v>436</v>
      </c>
      <c r="T797" s="51" t="s">
        <v>488</v>
      </c>
      <c r="U797" s="51"/>
      <c r="V797" t="s">
        <v>438</v>
      </c>
      <c r="W797" s="3">
        <v>0</v>
      </c>
      <c r="X797" s="123">
        <f>IF(Faturamento!$V17="Pago",IFERROR(W797-R797,0),0)</f>
        <v>0</v>
      </c>
      <c r="Y797" s="4"/>
      <c r="Z797" s="4"/>
      <c r="AA797" s="5">
        <v>283032</v>
      </c>
      <c r="AB797" s="5">
        <v>502</v>
      </c>
      <c r="AC797" s="5" t="s">
        <v>434</v>
      </c>
      <c r="AD797" s="5" t="s">
        <v>489</v>
      </c>
      <c r="AE797" s="5">
        <v>95.85</v>
      </c>
      <c r="AG797" s="5" t="s">
        <v>490</v>
      </c>
      <c r="AH797" s="5" t="s">
        <v>441</v>
      </c>
      <c r="AI797"/>
    </row>
    <row r="798" spans="1:35" hidden="1" x14ac:dyDescent="0.3">
      <c r="A798" s="5" t="str">
        <f>VLOOKUP(B798,base!A:M,11,FALSE)</f>
        <v>TRIFÁSICO</v>
      </c>
      <c r="B798" s="37" t="s">
        <v>200</v>
      </c>
      <c r="C798" s="56">
        <v>67992637973</v>
      </c>
      <c r="D798" s="59">
        <v>62955505016403</v>
      </c>
      <c r="E798" s="37" t="s">
        <v>433</v>
      </c>
      <c r="F798" s="37" t="s">
        <v>434</v>
      </c>
      <c r="G798" s="52">
        <v>45627</v>
      </c>
      <c r="H798" s="52" t="str">
        <f>Faturamento!$B18&amp;Faturamento!$G18</f>
        <v>10/5202-745931</v>
      </c>
      <c r="I798" s="37" t="s">
        <v>435</v>
      </c>
      <c r="J798" s="37">
        <v>385</v>
      </c>
      <c r="K798" s="53"/>
      <c r="L798" s="53"/>
      <c r="M798" s="5" t="str">
        <f>IF(Faturamento!$S18&lt;&gt;"","Não emitido",IF(Faturamento!$I18="NÃO","Pendente Fatura", IF(Faturamento!$R18&lt;&gt;"","Aprovado",IF(Faturamento!$O18&lt;&gt;0,"Pendente Emissão","Processo de Calculo"))))</f>
        <v>Aprovado</v>
      </c>
      <c r="N798" s="53">
        <v>433.28146666666669</v>
      </c>
      <c r="O798" s="53">
        <v>0</v>
      </c>
      <c r="P798" s="52"/>
      <c r="Q798" s="52"/>
      <c r="R798" s="53"/>
      <c r="S798" s="37" t="s">
        <v>436</v>
      </c>
      <c r="T798" s="51" t="s">
        <v>491</v>
      </c>
      <c r="U798" s="51"/>
      <c r="V798" s="37" t="s">
        <v>438</v>
      </c>
      <c r="W798" s="53">
        <v>0</v>
      </c>
      <c r="X798" s="123">
        <f>IF(Faturamento!$V18="Pago",IFERROR(W798-R798,0),0)</f>
        <v>0</v>
      </c>
      <c r="Y798" s="52"/>
      <c r="Z798" s="52"/>
      <c r="AA798" s="5">
        <v>283032</v>
      </c>
      <c r="AB798" s="5">
        <v>502</v>
      </c>
      <c r="AC798" s="5" t="s">
        <v>434</v>
      </c>
      <c r="AD798" s="5" t="s">
        <v>492</v>
      </c>
      <c r="AE798" s="5">
        <v>83.17</v>
      </c>
      <c r="AG798" s="5" t="s">
        <v>493</v>
      </c>
      <c r="AH798" s="5" t="s">
        <v>494</v>
      </c>
      <c r="AI798"/>
    </row>
    <row r="799" spans="1:35" hidden="1" x14ac:dyDescent="0.3">
      <c r="A799" s="5" t="str">
        <f>VLOOKUP(B799,base!A:M,11,FALSE)</f>
        <v>BIFÁSICO</v>
      </c>
      <c r="B799" t="s">
        <v>202</v>
      </c>
      <c r="C799" s="1">
        <v>67999031330</v>
      </c>
      <c r="D799" s="60">
        <v>62955505017051</v>
      </c>
      <c r="E799" s="63" t="s">
        <v>433</v>
      </c>
      <c r="F799" t="s">
        <v>434</v>
      </c>
      <c r="G799" s="4">
        <v>45627</v>
      </c>
      <c r="H799" s="4" t="str">
        <f>Faturamento!$B19&amp;Faturamento!$G19</f>
        <v>10/5202-745748</v>
      </c>
      <c r="I799" t="s">
        <v>435</v>
      </c>
      <c r="J799" s="37">
        <v>108</v>
      </c>
      <c r="K799" s="53"/>
      <c r="L799" s="53"/>
      <c r="M799" s="5" t="str">
        <f>IF(Faturamento!$S19&lt;&gt;"","Não emitido",IF(Faturamento!$I19="NÃO","Pendente Fatura", IF(Faturamento!$R19&lt;&gt;"","Aprovado",IF(Faturamento!$O19&lt;&gt;0,"Pendente Emissão","Processo de Calculo"))))</f>
        <v>Aprovado</v>
      </c>
      <c r="N799" s="3">
        <v>122.69999999999999</v>
      </c>
      <c r="O799" s="3">
        <v>0</v>
      </c>
      <c r="P799" s="4"/>
      <c r="Q799" s="4"/>
      <c r="S799" t="s">
        <v>436</v>
      </c>
      <c r="T799" s="51" t="s">
        <v>495</v>
      </c>
      <c r="U799" s="51"/>
      <c r="V799" t="s">
        <v>438</v>
      </c>
      <c r="W799" s="3">
        <v>0</v>
      </c>
      <c r="X799" s="123">
        <f>IF(Faturamento!$V19="Pago",IFERROR(W799-R799,0),0)</f>
        <v>0</v>
      </c>
      <c r="Y799" s="4"/>
      <c r="Z799" s="4"/>
      <c r="AA799" s="5">
        <v>283032</v>
      </c>
      <c r="AB799" s="5">
        <v>502</v>
      </c>
      <c r="AC799" s="5" t="s">
        <v>434</v>
      </c>
      <c r="AD799" s="5" t="s">
        <v>496</v>
      </c>
      <c r="AE799" s="5">
        <v>194.07</v>
      </c>
      <c r="AG799" s="5" t="s">
        <v>497</v>
      </c>
      <c r="AI799"/>
    </row>
    <row r="800" spans="1:35" hidden="1" x14ac:dyDescent="0.3">
      <c r="A800" s="5" t="str">
        <f>VLOOKUP(B800,base!A:M,11,FALSE)</f>
        <v>BIFÁSICO</v>
      </c>
      <c r="B800" s="37" t="s">
        <v>204</v>
      </c>
      <c r="C800" s="56">
        <v>67992637973</v>
      </c>
      <c r="D800" s="59">
        <v>62955505040894</v>
      </c>
      <c r="E800" s="37" t="s">
        <v>433</v>
      </c>
      <c r="F800" s="37" t="s">
        <v>434</v>
      </c>
      <c r="G800" s="52">
        <v>45627</v>
      </c>
      <c r="H800" s="52" t="str">
        <f>Faturamento!$B20&amp;Faturamento!$G20</f>
        <v>10/5202-745689</v>
      </c>
      <c r="I800" s="37" t="s">
        <v>435</v>
      </c>
      <c r="J800" s="37">
        <v>83</v>
      </c>
      <c r="K800" s="53"/>
      <c r="L800" s="53"/>
      <c r="M800" s="5" t="str">
        <f>IF(Faturamento!$S20&lt;&gt;"","Não emitido",IF(Faturamento!$I20="NÃO","Pendente Fatura", IF(Faturamento!$R20&lt;&gt;"","Aprovado",IF(Faturamento!$O20&lt;&gt;0,"Pendente Emissão","Processo de Calculo"))))</f>
        <v>Aprovado</v>
      </c>
      <c r="N800" s="53">
        <v>93.48</v>
      </c>
      <c r="O800" s="53">
        <v>0</v>
      </c>
      <c r="P800" s="52"/>
      <c r="Q800" s="52"/>
      <c r="R800" s="53"/>
      <c r="S800" s="37" t="s">
        <v>436</v>
      </c>
      <c r="T800" s="51" t="s">
        <v>498</v>
      </c>
      <c r="U800" s="51"/>
      <c r="V800" s="37" t="s">
        <v>438</v>
      </c>
      <c r="W800" s="53">
        <v>0</v>
      </c>
      <c r="X800" s="123">
        <f>IF(Faturamento!$V20="Pago",IFERROR(W800-R800,0),0)</f>
        <v>0</v>
      </c>
      <c r="Y800" s="52"/>
      <c r="Z800" s="52"/>
      <c r="AA800" s="5">
        <v>283032</v>
      </c>
      <c r="AB800" s="5">
        <v>502</v>
      </c>
      <c r="AC800" s="5" t="s">
        <v>434</v>
      </c>
      <c r="AD800" s="5" t="s">
        <v>489</v>
      </c>
      <c r="AE800" s="5">
        <v>40.090000000000003</v>
      </c>
      <c r="AG800" s="5" t="s">
        <v>499</v>
      </c>
      <c r="AH800" s="5" t="s">
        <v>500</v>
      </c>
      <c r="AI800"/>
    </row>
    <row r="801" spans="1:35" hidden="1" x14ac:dyDescent="0.3">
      <c r="A801" s="5" t="str">
        <f>VLOOKUP(B801,base!A:M,11,FALSE)</f>
        <v>TRIFÁSICO</v>
      </c>
      <c r="B801" t="s">
        <v>206</v>
      </c>
      <c r="C801" s="1">
        <v>67992637973</v>
      </c>
      <c r="D801" s="60">
        <v>62955505017213</v>
      </c>
      <c r="E801" s="63" t="s">
        <v>433</v>
      </c>
      <c r="F801" t="s">
        <v>434</v>
      </c>
      <c r="G801" s="4">
        <v>45627</v>
      </c>
      <c r="H801" s="4" t="str">
        <f>Faturamento!$B21&amp;Faturamento!$G21</f>
        <v>10/2605731-545658</v>
      </c>
      <c r="I801" t="s">
        <v>435</v>
      </c>
      <c r="J801" s="37">
        <v>283</v>
      </c>
      <c r="K801" s="53"/>
      <c r="L801" s="53"/>
      <c r="M801" s="5" t="str">
        <f>IF(Faturamento!$S21&lt;&gt;"","Não emitido",IF(Faturamento!$I21="NÃO","Pendente Fatura", IF(Faturamento!$R21&lt;&gt;"","Aprovado",IF(Faturamento!$O21&lt;&gt;0,"Pendente Emissão","Processo de Calculo"))))</f>
        <v>Aprovado</v>
      </c>
      <c r="N801" s="3">
        <v>318.52190000000002</v>
      </c>
      <c r="O801" s="3">
        <v>0</v>
      </c>
      <c r="P801" s="4"/>
      <c r="Q801" s="4"/>
      <c r="S801" t="s">
        <v>436</v>
      </c>
      <c r="T801" s="51" t="s">
        <v>474</v>
      </c>
      <c r="U801" s="51"/>
      <c r="V801" t="s">
        <v>438</v>
      </c>
      <c r="W801" s="3">
        <v>0</v>
      </c>
      <c r="X801" s="123">
        <f>IF(Faturamento!$V21="Pago",IFERROR(W801-R801,0),0)</f>
        <v>0</v>
      </c>
      <c r="Y801" s="4"/>
      <c r="Z801" s="4"/>
      <c r="AA801" s="5">
        <v>283032</v>
      </c>
      <c r="AB801" s="5">
        <v>502</v>
      </c>
      <c r="AC801" s="5" t="s">
        <v>434</v>
      </c>
      <c r="AD801" s="5" t="s">
        <v>501</v>
      </c>
      <c r="AE801" s="5">
        <v>15.9</v>
      </c>
      <c r="AG801" s="5" t="s">
        <v>502</v>
      </c>
      <c r="AH801" s="5" t="s">
        <v>503</v>
      </c>
      <c r="AI801"/>
    </row>
    <row r="802" spans="1:35" hidden="1" x14ac:dyDescent="0.3">
      <c r="A802" s="5" t="str">
        <f>VLOOKUP(B802,base!A:M,11,FALSE)</f>
        <v>BIFÁSICO</v>
      </c>
      <c r="B802" s="37" t="s">
        <v>215</v>
      </c>
      <c r="C802" s="85">
        <v>67981311823</v>
      </c>
      <c r="D802" s="59">
        <v>62955505182176</v>
      </c>
      <c r="E802" s="37" t="s">
        <v>433</v>
      </c>
      <c r="F802" s="37" t="s">
        <v>434</v>
      </c>
      <c r="G802" s="52">
        <v>45627</v>
      </c>
      <c r="H802" s="52" t="str">
        <f>Faturamento!$B22&amp;Faturamento!$G22</f>
        <v>10/364440-845931</v>
      </c>
      <c r="I802" s="37" t="s">
        <v>435</v>
      </c>
      <c r="J802" s="37">
        <v>186</v>
      </c>
      <c r="K802" s="53"/>
      <c r="L802" s="53"/>
      <c r="M802" s="5" t="str">
        <f>IF(Faturamento!$S22&lt;&gt;"","Não emitido",IF(Faturamento!$I22="NÃO","Pendente Fatura", IF(Faturamento!$R22&lt;&gt;"","Aprovado",IF(Faturamento!$O22&lt;&gt;0,"Pendente Emissão","Processo de Calculo"))))</f>
        <v>Aprovado</v>
      </c>
      <c r="N802" s="53">
        <v>210.53880000000001</v>
      </c>
      <c r="O802" s="53">
        <v>0</v>
      </c>
      <c r="P802" s="52"/>
      <c r="Q802" s="52"/>
      <c r="R802" s="53"/>
      <c r="S802" s="37" t="s">
        <v>436</v>
      </c>
      <c r="T802" s="51" t="s">
        <v>504</v>
      </c>
      <c r="U802" s="51"/>
      <c r="V802" s="37" t="s">
        <v>438</v>
      </c>
      <c r="W802" s="53">
        <v>0</v>
      </c>
      <c r="X802" s="123">
        <f>IF(Faturamento!$V22="Pago",IFERROR(W802-R802,0),0)</f>
        <v>0</v>
      </c>
      <c r="Y802" s="52"/>
      <c r="Z802" s="52"/>
      <c r="AA802" s="5">
        <v>283032</v>
      </c>
      <c r="AB802" s="5">
        <v>502</v>
      </c>
      <c r="AC802" s="5" t="s">
        <v>434</v>
      </c>
      <c r="AD802" s="5" t="s">
        <v>505</v>
      </c>
      <c r="AE802" s="5">
        <v>43.54</v>
      </c>
      <c r="AG802" s="5" t="s">
        <v>506</v>
      </c>
      <c r="AH802" s="5" t="s">
        <v>494</v>
      </c>
      <c r="AI802"/>
    </row>
    <row r="803" spans="1:35" hidden="1" x14ac:dyDescent="0.3">
      <c r="A803" s="5" t="str">
        <f>VLOOKUP(B803,base!A:M,11,FALSE)</f>
        <v>TRIFÁSICO</v>
      </c>
      <c r="B803" t="s">
        <v>218</v>
      </c>
      <c r="C803" s="1">
        <v>67991120875</v>
      </c>
      <c r="D803" s="60">
        <v>62955505379395</v>
      </c>
      <c r="E803" s="63" t="s">
        <v>433</v>
      </c>
      <c r="F803" t="s">
        <v>434</v>
      </c>
      <c r="G803" s="4">
        <v>45627</v>
      </c>
      <c r="H803" s="4" t="str">
        <f>Faturamento!$B23&amp;Faturamento!$G23</f>
        <v>10/5202-745778</v>
      </c>
      <c r="I803" t="s">
        <v>435</v>
      </c>
      <c r="J803" s="37">
        <v>513</v>
      </c>
      <c r="K803" s="53"/>
      <c r="L803" s="53"/>
      <c r="M803" s="5" t="str">
        <f>IF(Faturamento!$S23&lt;&gt;"","Não emitido",IF(Faturamento!$I23="NÃO","Pendente Fatura", IF(Faturamento!$R23&lt;&gt;"","Aprovado",IF(Faturamento!$O23&lt;&gt;0,"Pendente Emissão","Processo de Calculo"))))</f>
        <v>Aprovado</v>
      </c>
      <c r="N803" s="3">
        <v>582.99</v>
      </c>
      <c r="O803" s="3">
        <v>0</v>
      </c>
      <c r="P803" s="4"/>
      <c r="Q803" s="4"/>
      <c r="S803" t="s">
        <v>436</v>
      </c>
      <c r="T803" s="51" t="s">
        <v>507</v>
      </c>
      <c r="U803" s="51"/>
      <c r="V803" t="s">
        <v>438</v>
      </c>
      <c r="W803" s="3">
        <v>0</v>
      </c>
      <c r="X803" s="123">
        <f>IF(Faturamento!$V23="Pago",IFERROR(W803-R803,0),0)</f>
        <v>0</v>
      </c>
      <c r="Y803" s="4"/>
      <c r="Z803" s="4"/>
      <c r="AA803" s="5">
        <v>283032</v>
      </c>
      <c r="AB803" s="5">
        <v>502</v>
      </c>
      <c r="AC803" s="5" t="s">
        <v>434</v>
      </c>
      <c r="AD803" s="5" t="s">
        <v>508</v>
      </c>
      <c r="AE803" s="5">
        <v>11.32</v>
      </c>
      <c r="AG803" s="5" t="s">
        <v>509</v>
      </c>
      <c r="AH803" s="5" t="s">
        <v>441</v>
      </c>
      <c r="AI803"/>
    </row>
    <row r="804" spans="1:35" hidden="1" x14ac:dyDescent="0.3">
      <c r="A804" s="5" t="str">
        <f>VLOOKUP(B804,base!A:M,11,FALSE)</f>
        <v>TRIFÁSICO</v>
      </c>
      <c r="B804" s="37" t="s">
        <v>220</v>
      </c>
      <c r="C804" s="56">
        <v>67992637973</v>
      </c>
      <c r="D804" s="59">
        <v>62955505017213</v>
      </c>
      <c r="E804" s="37" t="s">
        <v>433</v>
      </c>
      <c r="F804" s="37" t="s">
        <v>434</v>
      </c>
      <c r="G804" s="52">
        <v>45627</v>
      </c>
      <c r="H804" s="52" t="str">
        <f>Faturamento!$B24&amp;Faturamento!$G24</f>
        <v>10/2605731-545689</v>
      </c>
      <c r="I804" s="37" t="s">
        <v>435</v>
      </c>
      <c r="J804" s="37">
        <v>616</v>
      </c>
      <c r="K804" s="53"/>
      <c r="L804" s="53"/>
      <c r="M804" s="5" t="str">
        <f>IF(Faturamento!$S24&lt;&gt;"","Não emitido",IF(Faturamento!$I24="NÃO","Pendente Fatura", IF(Faturamento!$R24&lt;&gt;"","Aprovado",IF(Faturamento!$O24&lt;&gt;0,"Pendente Emissão","Processo de Calculo"))))</f>
        <v>Aprovado</v>
      </c>
      <c r="N804" s="53">
        <v>688.65148669796554</v>
      </c>
      <c r="O804" s="53">
        <v>0</v>
      </c>
      <c r="P804" s="52"/>
      <c r="Q804" s="52"/>
      <c r="R804" s="53"/>
      <c r="S804" s="37" t="s">
        <v>436</v>
      </c>
      <c r="T804" s="51" t="s">
        <v>474</v>
      </c>
      <c r="U804" s="51"/>
      <c r="V804" s="37" t="s">
        <v>438</v>
      </c>
      <c r="W804" s="53">
        <v>0</v>
      </c>
      <c r="X804" s="123">
        <f>IF(Faturamento!$V24="Pago",IFERROR(W804-R804,0),0)</f>
        <v>0</v>
      </c>
      <c r="Y804" s="52"/>
      <c r="Z804" s="52"/>
      <c r="AA804" s="5">
        <v>283032</v>
      </c>
      <c r="AB804" s="5">
        <v>502</v>
      </c>
      <c r="AC804" s="5" t="s">
        <v>434</v>
      </c>
      <c r="AD804" s="5" t="s">
        <v>510</v>
      </c>
      <c r="AE804" s="5">
        <v>35.4</v>
      </c>
      <c r="AG804" s="5" t="s">
        <v>511</v>
      </c>
      <c r="AH804" s="5" t="s">
        <v>512</v>
      </c>
      <c r="AI804"/>
    </row>
    <row r="805" spans="1:35" hidden="1" x14ac:dyDescent="0.3">
      <c r="A805" s="5" t="str">
        <f>VLOOKUP(B805,base!A:M,11,FALSE)</f>
        <v>TRIFÁSICO</v>
      </c>
      <c r="B805" t="s">
        <v>224</v>
      </c>
      <c r="C805" s="1" t="s">
        <v>226</v>
      </c>
      <c r="D805" s="60">
        <v>62955505177504</v>
      </c>
      <c r="E805" s="63" t="s">
        <v>433</v>
      </c>
      <c r="F805" t="s">
        <v>434</v>
      </c>
      <c r="G805" s="4">
        <v>45627</v>
      </c>
      <c r="H805" s="4" t="str">
        <f>Faturamento!$B25&amp;Faturamento!$G25</f>
        <v>10/2599101-945717</v>
      </c>
      <c r="I805" t="s">
        <v>435</v>
      </c>
      <c r="J805" s="37">
        <v>265</v>
      </c>
      <c r="K805" s="53"/>
      <c r="L805" s="53"/>
      <c r="M805" s="5" t="str">
        <f>IF(Faturamento!$S25&lt;&gt;"","Não emitido",IF(Faturamento!$I25="NÃO","Pendente Fatura", IF(Faturamento!$R25&lt;&gt;"","Aprovado",IF(Faturamento!$O25&lt;&gt;0,"Pendente Emissão","Processo de Calculo"))))</f>
        <v>Aprovado</v>
      </c>
      <c r="N805" s="3">
        <v>296.46250000000003</v>
      </c>
      <c r="O805" s="3">
        <v>0</v>
      </c>
      <c r="P805" s="4"/>
      <c r="Q805" s="4"/>
      <c r="S805" t="s">
        <v>436</v>
      </c>
      <c r="T805" s="51" t="s">
        <v>513</v>
      </c>
      <c r="U805" s="51"/>
      <c r="V805" t="s">
        <v>438</v>
      </c>
      <c r="W805" s="3">
        <v>0</v>
      </c>
      <c r="X805" s="123">
        <f>IF(Faturamento!$V25="Pago",IFERROR(W805-R805,0),0)</f>
        <v>0</v>
      </c>
      <c r="Y805" s="4"/>
      <c r="Z805" s="4"/>
      <c r="AA805" s="5">
        <v>283032</v>
      </c>
      <c r="AB805" s="5">
        <v>502</v>
      </c>
      <c r="AC805" s="5" t="s">
        <v>434</v>
      </c>
      <c r="AD805" s="5" t="s">
        <v>514</v>
      </c>
      <c r="AE805" s="5">
        <v>84.82</v>
      </c>
      <c r="AG805" s="5" t="s">
        <v>515</v>
      </c>
      <c r="AH805" s="5" t="s">
        <v>441</v>
      </c>
      <c r="AI805"/>
    </row>
    <row r="806" spans="1:35" hidden="1" x14ac:dyDescent="0.3">
      <c r="A806" s="5" t="str">
        <f>VLOOKUP(B806,base!A:M,11,FALSE)</f>
        <v>TRIFÁSICO</v>
      </c>
      <c r="B806" s="37" t="s">
        <v>236</v>
      </c>
      <c r="C806" s="56">
        <v>67996266684</v>
      </c>
      <c r="D806" s="59">
        <v>62955505067660</v>
      </c>
      <c r="E806" s="37" t="s">
        <v>433</v>
      </c>
      <c r="F806" s="37" t="s">
        <v>434</v>
      </c>
      <c r="G806" s="52">
        <v>45627</v>
      </c>
      <c r="H806" s="52" t="str">
        <f>Faturamento!$B26&amp;Faturamento!$G26</f>
        <v>10/2605731-545931</v>
      </c>
      <c r="I806" s="37" t="s">
        <v>435</v>
      </c>
      <c r="J806" s="37">
        <v>697</v>
      </c>
      <c r="K806" s="53"/>
      <c r="L806" s="53"/>
      <c r="M806" s="5" t="str">
        <f>IF(Faturamento!$S26&lt;&gt;"","Não emitido",IF(Faturamento!$I26="NÃO","Pendente Fatura", IF(Faturamento!$R26&lt;&gt;"","Aprovado",IF(Faturamento!$O26&lt;&gt;0,"Pendente Emissão","Processo de Calculo"))))</f>
        <v>Aprovado</v>
      </c>
      <c r="N806" s="53">
        <v>788.20619999999997</v>
      </c>
      <c r="O806" s="53">
        <v>0</v>
      </c>
      <c r="P806" s="52"/>
      <c r="Q806" s="52"/>
      <c r="R806" s="53"/>
      <c r="S806" s="37" t="s">
        <v>436</v>
      </c>
      <c r="T806" s="51" t="s">
        <v>516</v>
      </c>
      <c r="U806" s="51"/>
      <c r="V806" s="37" t="s">
        <v>438</v>
      </c>
      <c r="W806" s="53">
        <v>0</v>
      </c>
      <c r="X806" s="123">
        <f>IF(Faturamento!$V26="Pago",IFERROR(W806-R806,0),0)</f>
        <v>0</v>
      </c>
      <c r="Y806" s="52"/>
      <c r="Z806" s="52"/>
      <c r="AA806" s="5">
        <v>283032</v>
      </c>
      <c r="AB806" s="5">
        <v>502</v>
      </c>
      <c r="AC806" s="5" t="s">
        <v>434</v>
      </c>
      <c r="AD806" s="5" t="s">
        <v>517</v>
      </c>
      <c r="AE806" s="5">
        <v>42.69</v>
      </c>
      <c r="AG806" s="5" t="s">
        <v>518</v>
      </c>
      <c r="AH806" s="5" t="s">
        <v>519</v>
      </c>
      <c r="AI806"/>
    </row>
    <row r="807" spans="1:35" hidden="1" x14ac:dyDescent="0.3">
      <c r="A807" s="5" t="e">
        <f>VLOOKUP(B807,base!A:M,11,FALSE)</f>
        <v>#N/A</v>
      </c>
      <c r="B807" t="s">
        <v>520</v>
      </c>
      <c r="C807" s="1" t="e">
        <v>#N/A</v>
      </c>
      <c r="D807" s="60">
        <v>62955505057789</v>
      </c>
      <c r="E807" s="63" t="s">
        <v>433</v>
      </c>
      <c r="F807" t="s">
        <v>434</v>
      </c>
      <c r="G807" s="4">
        <v>45627</v>
      </c>
      <c r="H807" s="4" t="str">
        <f>Faturamento!$B27&amp;Faturamento!$G27</f>
        <v>10/2599101-945931</v>
      </c>
      <c r="I807" t="s">
        <v>435</v>
      </c>
      <c r="J807" s="37">
        <v>0</v>
      </c>
      <c r="K807" s="53"/>
      <c r="L807" s="53"/>
      <c r="M807" s="5" t="str">
        <f>IF(Faturamento!$S27&lt;&gt;"","Não emitido",IF(Faturamento!$I27="NÃO","Pendente Fatura", IF(Faturamento!$R27&lt;&gt;"","Aprovado",IF(Faturamento!$O27&lt;&gt;0,"Pendente Emissão","Processo de Calculo"))))</f>
        <v>Aprovado</v>
      </c>
      <c r="N807" s="3">
        <v>0</v>
      </c>
      <c r="O807" s="3">
        <v>0</v>
      </c>
      <c r="P807" s="4"/>
      <c r="Q807" s="4"/>
      <c r="S807" t="s">
        <v>436</v>
      </c>
      <c r="T807" s="51" t="s">
        <v>521</v>
      </c>
      <c r="U807" s="51"/>
      <c r="V807" t="s">
        <v>438</v>
      </c>
      <c r="W807" s="3">
        <v>0</v>
      </c>
      <c r="X807" s="123">
        <f>IF(Faturamento!$V27="Pago",IFERROR(W807-R807,0),0)</f>
        <v>0</v>
      </c>
      <c r="Y807" s="4"/>
      <c r="Z807" s="4"/>
      <c r="AA807" s="5">
        <v>283032</v>
      </c>
      <c r="AB807" s="5">
        <v>502</v>
      </c>
      <c r="AC807" s="5" t="s">
        <v>434</v>
      </c>
      <c r="AD807" s="5" t="s">
        <v>443</v>
      </c>
      <c r="AE807" s="5">
        <v>24.74</v>
      </c>
      <c r="AG807" s="5" t="s">
        <v>522</v>
      </c>
      <c r="AH807" s="5" t="s">
        <v>523</v>
      </c>
      <c r="AI807"/>
    </row>
    <row r="808" spans="1:35" hidden="1" x14ac:dyDescent="0.3">
      <c r="A808" s="5" t="str">
        <f>VLOOKUP(B808,base!A:M,11,FALSE)</f>
        <v>TRIFÁSICO</v>
      </c>
      <c r="B808" s="37" t="s">
        <v>238</v>
      </c>
      <c r="C808" s="56">
        <v>67996266684</v>
      </c>
      <c r="D808" s="59">
        <v>62955505016080</v>
      </c>
      <c r="E808" s="37" t="s">
        <v>433</v>
      </c>
      <c r="F808" s="37" t="s">
        <v>434</v>
      </c>
      <c r="G808" s="52">
        <v>45627</v>
      </c>
      <c r="H808" s="52" t="str">
        <f>Faturamento!$B28&amp;Faturamento!$G28</f>
        <v>10/5202-745658</v>
      </c>
      <c r="I808" s="37" t="s">
        <v>435</v>
      </c>
      <c r="J808" s="37">
        <v>526</v>
      </c>
      <c r="K808" s="53"/>
      <c r="L808" s="53"/>
      <c r="M808" s="5" t="str">
        <f>IF(Faturamento!$S28&lt;&gt;"","Não emitido",IF(Faturamento!$I28="NÃO","Pendente Fatura", IF(Faturamento!$R28&lt;&gt;"","Aprovado",IF(Faturamento!$O28&lt;&gt;0,"Pendente Emissão","Processo de Calculo"))))</f>
        <v>Aprovado</v>
      </c>
      <c r="N808" s="53">
        <v>598.80719999999997</v>
      </c>
      <c r="O808" s="53">
        <v>0</v>
      </c>
      <c r="P808" s="52"/>
      <c r="Q808" s="52"/>
      <c r="R808" s="53"/>
      <c r="S808" s="37" t="s">
        <v>436</v>
      </c>
      <c r="T808" s="51" t="s">
        <v>483</v>
      </c>
      <c r="U808" s="51"/>
      <c r="V808" s="37" t="s">
        <v>438</v>
      </c>
      <c r="W808" s="53">
        <v>0</v>
      </c>
      <c r="X808" s="123">
        <f>IF(Faturamento!$V28="Pago",IFERROR(W808-R808,0),0)</f>
        <v>0</v>
      </c>
      <c r="Y808" s="52"/>
      <c r="Z808" s="52"/>
      <c r="AA808" s="5">
        <v>283032</v>
      </c>
      <c r="AB808" s="5">
        <v>502</v>
      </c>
      <c r="AC808" s="5" t="s">
        <v>434</v>
      </c>
      <c r="AD808" s="5" t="s">
        <v>524</v>
      </c>
      <c r="AE808" s="5">
        <v>110.4</v>
      </c>
      <c r="AG808" s="5" t="s">
        <v>525</v>
      </c>
      <c r="AH808" s="5" t="s">
        <v>526</v>
      </c>
      <c r="AI808"/>
    </row>
    <row r="809" spans="1:35" x14ac:dyDescent="0.3">
      <c r="A809" s="5" t="str">
        <f>VLOOKUP(B809,base!A:M,11,FALSE)</f>
        <v>TRIFÁSICO</v>
      </c>
      <c r="B809" t="s">
        <v>244</v>
      </c>
      <c r="C809" s="1" t="s">
        <v>166</v>
      </c>
      <c r="D809" s="60">
        <v>62955505419443</v>
      </c>
      <c r="E809" s="63" t="s">
        <v>433</v>
      </c>
      <c r="F809" t="s">
        <v>434</v>
      </c>
      <c r="G809" s="4">
        <v>45627</v>
      </c>
      <c r="H809" s="4" t="str">
        <f>Faturamento!$B29&amp;Faturamento!$G29</f>
        <v>10/18015-845931</v>
      </c>
      <c r="I809" t="s">
        <v>435</v>
      </c>
      <c r="J809" s="37">
        <v>283</v>
      </c>
      <c r="K809" s="53"/>
      <c r="L809" s="53"/>
      <c r="M809" s="5" t="str">
        <f>IF(Faturamento!$S29&lt;&gt;"","Não emitido",IF(Faturamento!$I29="NÃO","Pendente Fatura", IF(Faturamento!$R29&lt;&gt;"","Aprovado",IF(Faturamento!$O29&lt;&gt;0,"Pendente Emissão","Processo de Calculo"))))</f>
        <v>Aprovado</v>
      </c>
      <c r="N809" s="3">
        <v>318.50774999999999</v>
      </c>
      <c r="O809" s="3">
        <v>0</v>
      </c>
      <c r="P809" s="4"/>
      <c r="Q809" s="4"/>
      <c r="S809" t="s">
        <v>436</v>
      </c>
      <c r="T809" s="51" t="s">
        <v>488</v>
      </c>
      <c r="U809" s="51"/>
      <c r="V809" t="s">
        <v>438</v>
      </c>
      <c r="W809" s="3">
        <v>0</v>
      </c>
      <c r="X809" s="123">
        <f>IF(Faturamento!$V29="Pago",IFERROR(W809-R809,0),0)</f>
        <v>0</v>
      </c>
      <c r="Y809" s="4"/>
      <c r="Z809" s="4"/>
      <c r="AA809" s="5">
        <v>283032</v>
      </c>
      <c r="AB809" s="5">
        <v>502</v>
      </c>
      <c r="AC809" s="5" t="s">
        <v>434</v>
      </c>
      <c r="AD809" s="5" t="s">
        <v>527</v>
      </c>
      <c r="AE809" s="5">
        <v>313.64999999999998</v>
      </c>
      <c r="AG809" s="5" t="s">
        <v>528</v>
      </c>
      <c r="AH809" s="5" t="s">
        <v>529</v>
      </c>
      <c r="AI809"/>
    </row>
    <row r="810" spans="1:35" hidden="1" x14ac:dyDescent="0.3">
      <c r="A810" s="5" t="e">
        <f>VLOOKUP(B810,base!A:M,11,FALSE)</f>
        <v>#N/A</v>
      </c>
      <c r="B810" s="37" t="s">
        <v>530</v>
      </c>
      <c r="C810" s="56" t="e">
        <v>#N/A</v>
      </c>
      <c r="D810" s="59">
        <v>62955505017051</v>
      </c>
      <c r="E810" s="37" t="s">
        <v>433</v>
      </c>
      <c r="F810" s="37" t="s">
        <v>434</v>
      </c>
      <c r="G810" s="52">
        <v>45627</v>
      </c>
      <c r="H810" s="52" t="str">
        <f>Faturamento!$B30&amp;Faturamento!$G30</f>
        <v>10/3170252-545717</v>
      </c>
      <c r="I810" s="37" t="s">
        <v>435</v>
      </c>
      <c r="J810" s="37">
        <v>0</v>
      </c>
      <c r="K810" s="53"/>
      <c r="L810" s="53"/>
      <c r="M810" s="5" t="str">
        <f>IF(Faturamento!$S30&lt;&gt;"","Não emitido",IF(Faturamento!$I30="NÃO","Pendente Fatura", IF(Faturamento!$R30&lt;&gt;"","Aprovado",IF(Faturamento!$O30&lt;&gt;0,"Pendente Emissão","Processo de Calculo"))))</f>
        <v>Não emitido</v>
      </c>
      <c r="N810" s="53">
        <v>0</v>
      </c>
      <c r="O810" s="53">
        <v>0</v>
      </c>
      <c r="P810" s="52"/>
      <c r="Q810" s="52"/>
      <c r="R810" s="53"/>
      <c r="S810" s="37" t="s">
        <v>436</v>
      </c>
      <c r="T810" s="51" t="s">
        <v>495</v>
      </c>
      <c r="U810" s="51"/>
      <c r="V810" s="37" t="s">
        <v>438</v>
      </c>
      <c r="W810" s="53">
        <v>0</v>
      </c>
      <c r="X810" s="123">
        <f>IF(Faturamento!$V30="Pago",IFERROR(W810-R810,0),0)</f>
        <v>0</v>
      </c>
      <c r="Y810" s="52"/>
      <c r="Z810" s="52"/>
      <c r="AA810" s="5">
        <v>283032</v>
      </c>
      <c r="AB810" s="5">
        <v>502</v>
      </c>
      <c r="AC810" s="5" t="s">
        <v>434</v>
      </c>
      <c r="AD810" s="5" t="s">
        <v>531</v>
      </c>
      <c r="AE810" s="5">
        <v>73.739999999999995</v>
      </c>
      <c r="AG810" s="5" t="s">
        <v>532</v>
      </c>
      <c r="AH810" s="5" t="s">
        <v>533</v>
      </c>
      <c r="AI810"/>
    </row>
    <row r="811" spans="1:35" hidden="1" x14ac:dyDescent="0.3">
      <c r="A811" s="5" t="str">
        <f>VLOOKUP(B811,base!A:M,11,FALSE)</f>
        <v>TRIFÁSICO</v>
      </c>
      <c r="B811" t="s">
        <v>259</v>
      </c>
      <c r="C811" s="1">
        <v>67991120875</v>
      </c>
      <c r="D811" s="60">
        <v>62955505015199</v>
      </c>
      <c r="E811" s="63" t="s">
        <v>433</v>
      </c>
      <c r="F811" t="s">
        <v>434</v>
      </c>
      <c r="G811" s="4">
        <v>45627</v>
      </c>
      <c r="H811" s="4" t="str">
        <f>Faturamento!$B31&amp;Faturamento!$G31</f>
        <v>10/18015-845658</v>
      </c>
      <c r="I811" t="s">
        <v>435</v>
      </c>
      <c r="J811" s="37">
        <v>2565</v>
      </c>
      <c r="K811" s="53"/>
      <c r="L811" s="53"/>
      <c r="M811" s="5" t="str">
        <f>IF(Faturamento!$S31&lt;&gt;"","Não emitido",IF(Faturamento!$I31="NÃO","Pendente Fatura", IF(Faturamento!$R31&lt;&gt;"","Aprovado",IF(Faturamento!$O31&lt;&gt;0,"Pendente Emissão","Processo de Calculo"))))</f>
        <v>Aprovado</v>
      </c>
      <c r="N811" s="3">
        <v>2907.8510000000001</v>
      </c>
      <c r="O811" s="3">
        <v>0</v>
      </c>
      <c r="P811" s="4"/>
      <c r="Q811" s="4"/>
      <c r="S811" t="s">
        <v>436</v>
      </c>
      <c r="T811" s="51" t="s">
        <v>466</v>
      </c>
      <c r="U811" s="51"/>
      <c r="V811" t="s">
        <v>438</v>
      </c>
      <c r="W811" s="3">
        <v>0</v>
      </c>
      <c r="X811" s="123">
        <f>IF(Faturamento!$V31="Pago",IFERROR(W811-R811,0),0)</f>
        <v>0</v>
      </c>
      <c r="Y811" s="4"/>
      <c r="Z811" s="4"/>
      <c r="AA811" s="5">
        <v>283032</v>
      </c>
      <c r="AB811" s="5">
        <v>502</v>
      </c>
      <c r="AC811" s="5" t="s">
        <v>434</v>
      </c>
      <c r="AD811" s="5" t="s">
        <v>463</v>
      </c>
      <c r="AE811" s="5">
        <v>180.56</v>
      </c>
      <c r="AG811" s="5" t="s">
        <v>534</v>
      </c>
      <c r="AH811" s="5" t="s">
        <v>441</v>
      </c>
      <c r="AI811"/>
    </row>
    <row r="812" spans="1:35" hidden="1" x14ac:dyDescent="0.3">
      <c r="A812" s="5" t="str">
        <f>VLOOKUP(B812,base!A:M,11,FALSE)</f>
        <v>MONOFÁSICO</v>
      </c>
      <c r="B812" s="37" t="s">
        <v>261</v>
      </c>
      <c r="C812" s="56">
        <v>67999159477</v>
      </c>
      <c r="D812" s="59">
        <v>62955505000167</v>
      </c>
      <c r="E812" s="37" t="s">
        <v>433</v>
      </c>
      <c r="F812" s="37" t="s">
        <v>434</v>
      </c>
      <c r="G812" s="52">
        <v>45627</v>
      </c>
      <c r="H812" s="52" t="str">
        <f>Faturamento!$B32&amp;Faturamento!$G32</f>
        <v>10/2605731-545901</v>
      </c>
      <c r="I812" s="37" t="s">
        <v>435</v>
      </c>
      <c r="J812" s="37">
        <v>50</v>
      </c>
      <c r="K812" s="53"/>
      <c r="L812" s="53"/>
      <c r="M812" s="5" t="str">
        <f>IF(Faturamento!$S32&lt;&gt;"","Não emitido",IF(Faturamento!$I32="NÃO","Pendente Fatura", IF(Faturamento!$R32&lt;&gt;"","Aprovado",IF(Faturamento!$O32&lt;&gt;0,"Pendente Emissão","Processo de Calculo"))))</f>
        <v>Aprovado</v>
      </c>
      <c r="N812" s="53">
        <v>56.643333333333331</v>
      </c>
      <c r="O812" s="53">
        <v>0</v>
      </c>
      <c r="P812" s="52"/>
      <c r="Q812" s="52"/>
      <c r="R812" s="53"/>
      <c r="S812" s="37" t="s">
        <v>436</v>
      </c>
      <c r="T812" s="51" t="s">
        <v>535</v>
      </c>
      <c r="U812" s="51"/>
      <c r="V812" s="37" t="s">
        <v>438</v>
      </c>
      <c r="W812" s="53">
        <v>0</v>
      </c>
      <c r="X812" s="123">
        <f>IF(Faturamento!$V32="Pago",IFERROR(W812-R812,0),0)</f>
        <v>0</v>
      </c>
      <c r="Y812" s="52"/>
      <c r="Z812" s="52"/>
      <c r="AA812" s="5">
        <v>283032</v>
      </c>
      <c r="AB812" s="5">
        <v>502</v>
      </c>
      <c r="AC812" s="5" t="s">
        <v>434</v>
      </c>
      <c r="AD812" s="5" t="s">
        <v>446</v>
      </c>
      <c r="AE812" s="5">
        <v>368.83</v>
      </c>
      <c r="AG812" s="5" t="s">
        <v>536</v>
      </c>
      <c r="AH812" s="5" t="s">
        <v>135</v>
      </c>
      <c r="AI812"/>
    </row>
    <row r="813" spans="1:35" hidden="1" x14ac:dyDescent="0.3">
      <c r="A813" s="5" t="str">
        <f>VLOOKUP(B813,base!A:M,11,FALSE)</f>
        <v>BIFÁSICO</v>
      </c>
      <c r="B813" t="s">
        <v>276</v>
      </c>
      <c r="C813" s="1" t="s">
        <v>278</v>
      </c>
      <c r="D813" s="60">
        <v>62955505000167</v>
      </c>
      <c r="E813" s="63" t="s">
        <v>433</v>
      </c>
      <c r="F813" t="s">
        <v>434</v>
      </c>
      <c r="G813" s="4">
        <v>45627</v>
      </c>
      <c r="H813" s="4" t="str">
        <f>Faturamento!$B33&amp;Faturamento!$G33</f>
        <v>10/18015-845901</v>
      </c>
      <c r="I813" t="s">
        <v>435</v>
      </c>
      <c r="J813" s="37">
        <v>114</v>
      </c>
      <c r="K813" s="53"/>
      <c r="L813" s="53"/>
      <c r="M813" s="5" t="str">
        <f>IF(Faturamento!$S33&lt;&gt;"","Não emitido",IF(Faturamento!$I33="NÃO","Pendente Fatura", IF(Faturamento!$R33&lt;&gt;"","Aprovado",IF(Faturamento!$O33&lt;&gt;0,"Pendente Emissão","Processo de Calculo"))))</f>
        <v>Aprovado</v>
      </c>
      <c r="N813" s="3">
        <v>127.40960000000001</v>
      </c>
      <c r="O813" s="3">
        <v>0</v>
      </c>
      <c r="P813" s="4"/>
      <c r="Q813" s="4"/>
      <c r="S813" t="s">
        <v>436</v>
      </c>
      <c r="T813" s="51" t="s">
        <v>535</v>
      </c>
      <c r="U813" s="51"/>
      <c r="V813" t="s">
        <v>438</v>
      </c>
      <c r="W813" s="3">
        <v>0</v>
      </c>
      <c r="X813" s="123">
        <f>IF(Faturamento!$V33="Pago",IFERROR(W813-R813,0),0)</f>
        <v>0</v>
      </c>
      <c r="Y813" s="4"/>
      <c r="Z813" s="4"/>
      <c r="AA813" s="5">
        <v>283032</v>
      </c>
      <c r="AB813" s="5">
        <v>502</v>
      </c>
      <c r="AC813" s="5" t="s">
        <v>434</v>
      </c>
      <c r="AD813" s="5" t="s">
        <v>537</v>
      </c>
      <c r="AE813" s="5">
        <v>216.9</v>
      </c>
      <c r="AG813" s="5" t="s">
        <v>538</v>
      </c>
      <c r="AH813" s="5" t="s">
        <v>539</v>
      </c>
      <c r="AI813"/>
    </row>
    <row r="814" spans="1:35" hidden="1" x14ac:dyDescent="0.3">
      <c r="A814" s="5" t="str">
        <f>VLOOKUP(B814,base!A:M,11,FALSE)</f>
        <v>TRIFÁSICO</v>
      </c>
      <c r="B814" s="37" t="s">
        <v>287</v>
      </c>
      <c r="C814" s="56" t="s">
        <v>288</v>
      </c>
      <c r="D814" s="59">
        <v>62955505273058</v>
      </c>
      <c r="E814" s="37" t="s">
        <v>433</v>
      </c>
      <c r="F814" s="37" t="s">
        <v>434</v>
      </c>
      <c r="G814" s="52">
        <v>45627</v>
      </c>
      <c r="H814" s="52" t="str">
        <f>Faturamento!$B34&amp;Faturamento!$G34</f>
        <v>10/202838-945717</v>
      </c>
      <c r="I814" s="37" t="s">
        <v>435</v>
      </c>
      <c r="J814" s="37">
        <v>110</v>
      </c>
      <c r="K814" s="53"/>
      <c r="L814" s="53"/>
      <c r="M814" s="5" t="str">
        <f>IF(Faturamento!$S34&lt;&gt;"","Não emitido",IF(Faturamento!$I34="NÃO","Pendente Fatura", IF(Faturamento!$R34&lt;&gt;"","Aprovado",IF(Faturamento!$O34&lt;&gt;0,"Pendente Emissão","Processo de Calculo"))))</f>
        <v>Aprovado</v>
      </c>
      <c r="N814" s="53">
        <v>124.70500000000001</v>
      </c>
      <c r="O814" s="53">
        <v>0</v>
      </c>
      <c r="P814" s="52"/>
      <c r="Q814" s="52"/>
      <c r="R814" s="53"/>
      <c r="S814" s="37" t="s">
        <v>436</v>
      </c>
      <c r="T814" s="51" t="s">
        <v>540</v>
      </c>
      <c r="U814" s="51"/>
      <c r="V814" s="37" t="s">
        <v>438</v>
      </c>
      <c r="W814" s="53">
        <v>0</v>
      </c>
      <c r="X814" s="123">
        <f>IF(Faturamento!$V34="Pago",IFERROR(W814-R814,0),0)</f>
        <v>0</v>
      </c>
      <c r="Y814" s="52"/>
      <c r="Z814" s="52"/>
      <c r="AA814" s="5">
        <v>283032</v>
      </c>
      <c r="AB814" s="5">
        <v>502</v>
      </c>
      <c r="AC814" s="5" t="s">
        <v>434</v>
      </c>
      <c r="AD814" s="5" t="s">
        <v>541</v>
      </c>
      <c r="AE814" s="5">
        <v>118.91</v>
      </c>
      <c r="AG814" s="5" t="s">
        <v>542</v>
      </c>
      <c r="AH814" s="5" t="s">
        <v>165</v>
      </c>
      <c r="AI814"/>
    </row>
    <row r="815" spans="1:35" hidden="1" x14ac:dyDescent="0.3">
      <c r="A815" s="5" t="str">
        <f>VLOOKUP(B815,base!A:M,11,FALSE)</f>
        <v>TRIFÁSICO</v>
      </c>
      <c r="B815" t="s">
        <v>294</v>
      </c>
      <c r="C815" s="1">
        <v>67992637973</v>
      </c>
      <c r="D815" s="60">
        <v>62955505367117</v>
      </c>
      <c r="E815" s="63" t="s">
        <v>433</v>
      </c>
      <c r="F815" t="s">
        <v>434</v>
      </c>
      <c r="G815" s="4">
        <v>45627</v>
      </c>
      <c r="H815" s="4" t="str">
        <f>Faturamento!$B35&amp;Faturamento!$G35</f>
        <v>10/3170252-545658</v>
      </c>
      <c r="I815" t="s">
        <v>435</v>
      </c>
      <c r="J815" s="37">
        <v>256</v>
      </c>
      <c r="K815" s="53"/>
      <c r="L815" s="53"/>
      <c r="M815" s="5" t="str">
        <f>IF(Faturamento!$S35&lt;&gt;"","Não emitido",IF(Faturamento!$I35="NÃO","Pendente Fatura", IF(Faturamento!$R35&lt;&gt;"","Aprovado",IF(Faturamento!$O35&lt;&gt;0,"Pendente Emissão","Processo de Calculo"))))</f>
        <v>Não emitido</v>
      </c>
      <c r="N815" s="3">
        <v>288.86233393177736</v>
      </c>
      <c r="O815" s="3">
        <v>0</v>
      </c>
      <c r="P815" s="4"/>
      <c r="Q815" s="4"/>
      <c r="S815" t="s">
        <v>436</v>
      </c>
      <c r="T815" s="51" t="s">
        <v>543</v>
      </c>
      <c r="U815" s="51"/>
      <c r="V815" t="s">
        <v>438</v>
      </c>
      <c r="W815" s="3">
        <v>0</v>
      </c>
      <c r="X815" s="123">
        <f>IF(Faturamento!$V35="Pago",IFERROR(W815-R815,0),0)</f>
        <v>0</v>
      </c>
      <c r="Y815" s="4"/>
      <c r="Z815" s="4"/>
      <c r="AA815" s="5">
        <v>283032</v>
      </c>
      <c r="AB815" s="5">
        <v>502</v>
      </c>
      <c r="AC815" s="5" t="s">
        <v>434</v>
      </c>
      <c r="AD815" s="5" t="s">
        <v>544</v>
      </c>
      <c r="AE815" s="5">
        <v>164.56</v>
      </c>
      <c r="AG815" s="5" t="s">
        <v>545</v>
      </c>
      <c r="AH815" s="5" t="s">
        <v>138</v>
      </c>
      <c r="AI815"/>
    </row>
    <row r="816" spans="1:35" hidden="1" x14ac:dyDescent="0.3">
      <c r="A816" s="5" t="str">
        <f>VLOOKUP(B816,base!A:M,11,FALSE)</f>
        <v>BIFÁSICO</v>
      </c>
      <c r="B816" s="37" t="s">
        <v>297</v>
      </c>
      <c r="C816" s="56">
        <v>67996266684</v>
      </c>
      <c r="D816" s="59">
        <v>62955505016080</v>
      </c>
      <c r="E816" s="37" t="s">
        <v>433</v>
      </c>
      <c r="F816" s="37" t="s">
        <v>434</v>
      </c>
      <c r="G816" s="52">
        <v>45627</v>
      </c>
      <c r="H816" s="52" t="str">
        <f>Faturamento!$B36&amp;Faturamento!$G36</f>
        <v>10/2599101-945901</v>
      </c>
      <c r="I816" s="37" t="s">
        <v>435</v>
      </c>
      <c r="J816" s="37">
        <v>203</v>
      </c>
      <c r="K816" s="53"/>
      <c r="L816" s="53"/>
      <c r="M816" s="5" t="str">
        <f>IF(Faturamento!$S36&lt;&gt;"","Não emitido",IF(Faturamento!$I36="NÃO","Pendente Fatura", IF(Faturamento!$R36&lt;&gt;"","Aprovado",IF(Faturamento!$O36&lt;&gt;0,"Pendente Emissão","Processo de Calculo"))))</f>
        <v>Aprovado</v>
      </c>
      <c r="N816" s="53">
        <v>230.65000000000003</v>
      </c>
      <c r="O816" s="53">
        <v>0</v>
      </c>
      <c r="P816" s="52"/>
      <c r="Q816" s="52"/>
      <c r="R816" s="53"/>
      <c r="S816" s="37" t="s">
        <v>436</v>
      </c>
      <c r="T816" s="51" t="s">
        <v>483</v>
      </c>
      <c r="U816" s="51"/>
      <c r="V816" s="37" t="s">
        <v>438</v>
      </c>
      <c r="W816" s="53">
        <v>0</v>
      </c>
      <c r="X816" s="123">
        <f>IF(Faturamento!$V36="Pago",IFERROR(W816-R816,0),0)</f>
        <v>0</v>
      </c>
      <c r="Y816" s="52"/>
      <c r="Z816" s="52"/>
      <c r="AA816" s="5">
        <v>283032</v>
      </c>
      <c r="AB816" s="5">
        <v>502</v>
      </c>
      <c r="AC816" s="5" t="s">
        <v>434</v>
      </c>
      <c r="AD816" s="5" t="s">
        <v>546</v>
      </c>
      <c r="AE816" s="5">
        <v>58.93</v>
      </c>
      <c r="AG816" s="5" t="s">
        <v>547</v>
      </c>
      <c r="AH816" s="5" t="s">
        <v>473</v>
      </c>
      <c r="AI816"/>
    </row>
    <row r="817" spans="1:35" hidden="1" x14ac:dyDescent="0.3">
      <c r="A817" s="5" t="str">
        <f>VLOOKUP(B817,base!A:M,11,FALSE)</f>
        <v>TRIFÁSICO</v>
      </c>
      <c r="B817" t="s">
        <v>302</v>
      </c>
      <c r="C817" s="1">
        <v>67992637973</v>
      </c>
      <c r="D817" s="60">
        <v>62955505321630</v>
      </c>
      <c r="E817" s="63" t="s">
        <v>433</v>
      </c>
      <c r="F817" t="s">
        <v>434</v>
      </c>
      <c r="G817" s="4">
        <v>45627</v>
      </c>
      <c r="H817" s="4" t="str">
        <f>Faturamento!$B37&amp;Faturamento!$G37</f>
        <v>10/2247256-745689</v>
      </c>
      <c r="I817" t="s">
        <v>435</v>
      </c>
      <c r="J817" s="37">
        <v>299</v>
      </c>
      <c r="K817" s="53"/>
      <c r="L817" s="53"/>
      <c r="M817" s="5" t="str">
        <f>IF(Faturamento!$S37&lt;&gt;"","Não emitido",IF(Faturamento!$I37="NÃO","Pendente Fatura", IF(Faturamento!$R37&lt;&gt;"","Aprovado",IF(Faturamento!$O37&lt;&gt;0,"Pendente Emissão","Processo de Calculo"))))</f>
        <v>Aprovado</v>
      </c>
      <c r="N817" s="3">
        <v>339.77708661417324</v>
      </c>
      <c r="O817" s="3">
        <v>0</v>
      </c>
      <c r="P817" s="4"/>
      <c r="Q817" s="4"/>
      <c r="S817" t="s">
        <v>436</v>
      </c>
      <c r="T817" s="51" t="s">
        <v>548</v>
      </c>
      <c r="U817" s="51"/>
      <c r="V817" t="s">
        <v>438</v>
      </c>
      <c r="W817" s="3">
        <v>0</v>
      </c>
      <c r="X817" s="123">
        <f>IF(Faturamento!$V37="Pago",IFERROR(W817-R817,0),0)</f>
        <v>0</v>
      </c>
      <c r="Y817" s="4"/>
      <c r="Z817" s="4"/>
      <c r="AA817" s="5">
        <v>283032</v>
      </c>
      <c r="AB817" s="5">
        <v>502</v>
      </c>
      <c r="AC817" s="5" t="s">
        <v>434</v>
      </c>
      <c r="AD817" s="5" t="s">
        <v>549</v>
      </c>
      <c r="AE817" s="5">
        <v>177.43</v>
      </c>
      <c r="AG817" s="5" t="s">
        <v>550</v>
      </c>
      <c r="AH817" s="5" t="s">
        <v>551</v>
      </c>
      <c r="AI817"/>
    </row>
    <row r="818" spans="1:35" hidden="1" x14ac:dyDescent="0.3">
      <c r="A818" s="5" t="str">
        <f>VLOOKUP(B818,base!A:M,11,FALSE)</f>
        <v>TRIFÁSICO</v>
      </c>
      <c r="B818" s="37" t="s">
        <v>305</v>
      </c>
      <c r="C818" s="56" t="s">
        <v>278</v>
      </c>
      <c r="D818" s="59">
        <v>62955505393207</v>
      </c>
      <c r="E818" s="37" t="s">
        <v>433</v>
      </c>
      <c r="F818" s="37" t="s">
        <v>434</v>
      </c>
      <c r="G818" s="52">
        <v>45627</v>
      </c>
      <c r="H818" s="52" t="str">
        <f>Faturamento!$B38&amp;Faturamento!$G38</f>
        <v>10/202838-945689</v>
      </c>
      <c r="I818" s="37" t="s">
        <v>435</v>
      </c>
      <c r="J818" s="37">
        <v>1283</v>
      </c>
      <c r="K818" s="53"/>
      <c r="L818" s="53"/>
      <c r="M818" s="5" t="str">
        <f>IF(Faturamento!$S38&lt;&gt;"","Não emitido",IF(Faturamento!$I38="NÃO","Pendente Fatura", IF(Faturamento!$R38&lt;&gt;"","Aprovado",IF(Faturamento!$O38&lt;&gt;0,"Pendente Emissão","Processo de Calculo"))))</f>
        <v>Aprovado</v>
      </c>
      <c r="N818" s="53">
        <v>1453.4993350168349</v>
      </c>
      <c r="O818" s="53">
        <v>0</v>
      </c>
      <c r="P818" s="52"/>
      <c r="Q818" s="52"/>
      <c r="R818" s="53"/>
      <c r="S818" s="37" t="s">
        <v>436</v>
      </c>
      <c r="T818" s="51" t="s">
        <v>437</v>
      </c>
      <c r="U818" s="51"/>
      <c r="V818" s="37" t="s">
        <v>438</v>
      </c>
      <c r="W818" s="53">
        <v>0</v>
      </c>
      <c r="X818" s="123">
        <f>IF(Faturamento!$V38="Pago",IFERROR(W818-R818,0),0)</f>
        <v>0</v>
      </c>
      <c r="Y818" s="52"/>
      <c r="Z818" s="52"/>
      <c r="AA818" s="5">
        <v>283032</v>
      </c>
      <c r="AB818" s="5">
        <v>502</v>
      </c>
      <c r="AC818" s="5" t="s">
        <v>434</v>
      </c>
      <c r="AD818" s="5" t="s">
        <v>552</v>
      </c>
      <c r="AE818" s="5">
        <v>18.190000000000001</v>
      </c>
      <c r="AG818" s="5" t="s">
        <v>553</v>
      </c>
      <c r="AH818" s="5" t="s">
        <v>441</v>
      </c>
      <c r="AI818"/>
    </row>
    <row r="819" spans="1:35" hidden="1" x14ac:dyDescent="0.3">
      <c r="A819" s="5" t="str">
        <f>VLOOKUP(B819,base!A:M,11,FALSE)</f>
        <v>TRIFÁSICO</v>
      </c>
      <c r="B819" t="s">
        <v>311</v>
      </c>
      <c r="C819" s="1" t="s">
        <v>313</v>
      </c>
      <c r="D819" s="60">
        <v>62955505193534</v>
      </c>
      <c r="E819" s="63" t="s">
        <v>433</v>
      </c>
      <c r="F819" t="s">
        <v>434</v>
      </c>
      <c r="G819" s="4">
        <v>45627</v>
      </c>
      <c r="H819" s="4" t="str">
        <f>Faturamento!$B39&amp;Faturamento!$G39</f>
        <v>10/18015-845689</v>
      </c>
      <c r="I819" t="s">
        <v>435</v>
      </c>
      <c r="J819" s="37">
        <v>337</v>
      </c>
      <c r="K819" s="53"/>
      <c r="L819" s="53"/>
      <c r="M819" s="5" t="str">
        <f>IF(Faturamento!$S39&lt;&gt;"","Não emitido",IF(Faturamento!$I39="NÃO","Pendente Fatura", IF(Faturamento!$R39&lt;&gt;"","Aprovado",IF(Faturamento!$O39&lt;&gt;0,"Pendente Emissão","Processo de Calculo"))))</f>
        <v>Aprovado</v>
      </c>
      <c r="N819" s="3">
        <v>381.73050000000001</v>
      </c>
      <c r="O819" s="3">
        <v>0</v>
      </c>
      <c r="P819" s="4"/>
      <c r="Q819" s="4"/>
      <c r="S819" t="s">
        <v>436</v>
      </c>
      <c r="T819" s="51" t="s">
        <v>554</v>
      </c>
      <c r="U819" s="51"/>
      <c r="V819" t="s">
        <v>438</v>
      </c>
      <c r="W819" s="3">
        <v>0</v>
      </c>
      <c r="X819" s="123">
        <f>IF(Faturamento!$V39="Pago",IFERROR(W819-R819,0),0)</f>
        <v>0</v>
      </c>
      <c r="Y819" s="4"/>
      <c r="Z819" s="4"/>
      <c r="AA819" s="5">
        <v>283032</v>
      </c>
      <c r="AB819" s="5">
        <v>502</v>
      </c>
      <c r="AC819" s="5" t="s">
        <v>434</v>
      </c>
      <c r="AD819" s="5" t="s">
        <v>460</v>
      </c>
      <c r="AE819" s="5">
        <v>177.43</v>
      </c>
      <c r="AG819" s="5" t="s">
        <v>555</v>
      </c>
      <c r="AH819" s="5" t="s">
        <v>526</v>
      </c>
      <c r="AI819"/>
    </row>
    <row r="820" spans="1:35" hidden="1" x14ac:dyDescent="0.3">
      <c r="A820" s="5" t="str">
        <f>VLOOKUP(B820,base!A:M,11,FALSE)</f>
        <v>TRIFÁSICO</v>
      </c>
      <c r="B820" s="37" t="s">
        <v>315</v>
      </c>
      <c r="C820" s="56">
        <v>67996446178</v>
      </c>
      <c r="D820" s="59">
        <v>62955505359360</v>
      </c>
      <c r="E820" s="37" t="s">
        <v>433</v>
      </c>
      <c r="F820" s="37" t="s">
        <v>434</v>
      </c>
      <c r="G820" s="52">
        <v>45627</v>
      </c>
      <c r="H820" s="52" t="str">
        <f>Faturamento!$B40&amp;Faturamento!$G40</f>
        <v>10/2599101-945748</v>
      </c>
      <c r="I820" s="37" t="s">
        <v>435</v>
      </c>
      <c r="J820" s="37">
        <v>246</v>
      </c>
      <c r="K820" s="53"/>
      <c r="L820" s="53"/>
      <c r="M820" s="5" t="str">
        <f>IF(Faturamento!$S40&lt;&gt;"","Não emitido",IF(Faturamento!$I40="NÃO","Pendente Fatura", IF(Faturamento!$R40&lt;&gt;"","Aprovado",IF(Faturamento!$O40&lt;&gt;0,"Pendente Emissão","Processo de Calculo"))))</f>
        <v>Aprovado</v>
      </c>
      <c r="N820" s="53">
        <v>275.20955752212393</v>
      </c>
      <c r="O820" s="53">
        <v>0</v>
      </c>
      <c r="P820" s="52"/>
      <c r="Q820" s="52"/>
      <c r="R820" s="53"/>
      <c r="S820" s="37" t="s">
        <v>436</v>
      </c>
      <c r="T820" s="51" t="s">
        <v>556</v>
      </c>
      <c r="U820" s="51"/>
      <c r="V820" s="37" t="s">
        <v>438</v>
      </c>
      <c r="W820" s="53">
        <v>0</v>
      </c>
      <c r="X820" s="123">
        <f>IF(Faturamento!$V40="Pago",IFERROR(W820-R820,0),0)</f>
        <v>0</v>
      </c>
      <c r="Y820" s="52"/>
      <c r="Z820" s="52"/>
      <c r="AA820" s="5">
        <v>283032</v>
      </c>
      <c r="AB820" s="5">
        <v>502</v>
      </c>
      <c r="AC820" s="5" t="s">
        <v>434</v>
      </c>
      <c r="AD820" s="5" t="s">
        <v>475</v>
      </c>
      <c r="AE820" s="5">
        <v>93.23</v>
      </c>
      <c r="AG820" s="5" t="s">
        <v>557</v>
      </c>
      <c r="AH820" s="5" t="s">
        <v>441</v>
      </c>
      <c r="AI820"/>
    </row>
    <row r="821" spans="1:35" hidden="1" x14ac:dyDescent="0.3">
      <c r="A821" s="5" t="str">
        <f>VLOOKUP(B821,base!A:M,11,FALSE)</f>
        <v>TRIFÁSICO</v>
      </c>
      <c r="B821" t="s">
        <v>345</v>
      </c>
      <c r="C821" s="1" t="s">
        <v>346</v>
      </c>
      <c r="D821" s="60">
        <v>62955505402710</v>
      </c>
      <c r="E821" s="63" t="s">
        <v>433</v>
      </c>
      <c r="F821" t="s">
        <v>434</v>
      </c>
      <c r="G821" s="4">
        <v>45627</v>
      </c>
      <c r="H821" s="4" t="str">
        <f>Faturamento!$B41&amp;Faturamento!$G41</f>
        <v>10/5202-745809</v>
      </c>
      <c r="I821" t="s">
        <v>435</v>
      </c>
      <c r="J821" s="37">
        <v>180</v>
      </c>
      <c r="K821" s="53"/>
      <c r="L821" s="53"/>
      <c r="M821" s="5" t="str">
        <f>IF(Faturamento!$S41&lt;&gt;"","Não emitido",IF(Faturamento!$I41="NÃO","Pendente Fatura", IF(Faturamento!$R41&lt;&gt;"","Aprovado",IF(Faturamento!$O41&lt;&gt;0,"Pendente Emissão","Processo de Calculo"))))</f>
        <v>Aprovado</v>
      </c>
      <c r="N821" s="3">
        <v>202.57600000000002</v>
      </c>
      <c r="O821" s="3">
        <v>0</v>
      </c>
      <c r="P821" s="4"/>
      <c r="Q821" s="4"/>
      <c r="S821" t="s">
        <v>436</v>
      </c>
      <c r="T821" s="51" t="s">
        <v>558</v>
      </c>
      <c r="U821" s="51"/>
      <c r="V821" t="s">
        <v>438</v>
      </c>
      <c r="W821" s="3">
        <v>0</v>
      </c>
      <c r="X821" s="123">
        <f>IF(Faturamento!$V41="Pago",IFERROR(W821-R821,0),0)</f>
        <v>0</v>
      </c>
      <c r="Y821" s="4"/>
      <c r="Z821" s="4"/>
      <c r="AA821" s="5">
        <v>283032</v>
      </c>
      <c r="AB821" s="5">
        <v>502</v>
      </c>
      <c r="AC821" s="5" t="s">
        <v>434</v>
      </c>
      <c r="AD821" s="5" t="s">
        <v>475</v>
      </c>
      <c r="AE821" s="5">
        <v>119.11</v>
      </c>
      <c r="AG821" s="5" t="s">
        <v>559</v>
      </c>
      <c r="AH821" s="5" t="s">
        <v>480</v>
      </c>
      <c r="AI821"/>
    </row>
    <row r="822" spans="1:35" hidden="1" x14ac:dyDescent="0.3">
      <c r="A822" s="5" t="str">
        <f>VLOOKUP(B822,base!A:M,11,FALSE)</f>
        <v>TRIFÁSICO</v>
      </c>
      <c r="B822" s="37" t="s">
        <v>350</v>
      </c>
      <c r="C822" s="56">
        <v>67993496482</v>
      </c>
      <c r="D822" s="59">
        <v>62955505015512</v>
      </c>
      <c r="E822" s="37" t="s">
        <v>433</v>
      </c>
      <c r="F822" s="37" t="s">
        <v>434</v>
      </c>
      <c r="G822" s="52">
        <v>45627</v>
      </c>
      <c r="H822" s="52" t="str">
        <f>Faturamento!$B42&amp;Faturamento!$G42</f>
        <v>10/5202-745901</v>
      </c>
      <c r="I822" s="37" t="s">
        <v>435</v>
      </c>
      <c r="J822" s="37">
        <v>35</v>
      </c>
      <c r="K822" s="53"/>
      <c r="L822" s="53"/>
      <c r="M822" s="5" t="str">
        <f>IF(Faturamento!$S42&lt;&gt;"","Não emitido",IF(Faturamento!$I42="NÃO","Pendente Fatura", IF(Faturamento!$R42&lt;&gt;"","Aprovado",IF(Faturamento!$O42&lt;&gt;0,"Pendente Emissão","Processo de Calculo"))))</f>
        <v>Aprovado</v>
      </c>
      <c r="N822" s="53">
        <v>39.795000000000002</v>
      </c>
      <c r="O822" s="53">
        <v>0</v>
      </c>
      <c r="P822" s="52"/>
      <c r="Q822" s="52"/>
      <c r="R822" s="53"/>
      <c r="S822" s="37" t="s">
        <v>436</v>
      </c>
      <c r="T822" s="51" t="s">
        <v>560</v>
      </c>
      <c r="U822" s="51"/>
      <c r="V822" s="37" t="s">
        <v>438</v>
      </c>
      <c r="W822" s="53">
        <v>0</v>
      </c>
      <c r="X822" s="123">
        <f>IF(Faturamento!$V42="Pago",IFERROR(W822-R822,0),0)</f>
        <v>0</v>
      </c>
      <c r="Y822" s="52"/>
      <c r="Z822" s="52"/>
      <c r="AA822" s="5">
        <v>283032</v>
      </c>
      <c r="AB822" s="5">
        <v>502</v>
      </c>
      <c r="AC822" s="5" t="s">
        <v>434</v>
      </c>
      <c r="AD822" s="5" t="s">
        <v>475</v>
      </c>
      <c r="AE822" s="5">
        <v>177.24</v>
      </c>
      <c r="AG822" s="5" t="s">
        <v>561</v>
      </c>
      <c r="AH822" s="5" t="s">
        <v>526</v>
      </c>
      <c r="AI822"/>
    </row>
    <row r="823" spans="1:35" hidden="1" x14ac:dyDescent="0.3">
      <c r="A823" s="5">
        <f>VLOOKUP(B823,base!A:M,11,FALSE)</f>
        <v>0</v>
      </c>
      <c r="B823" t="s">
        <v>122</v>
      </c>
      <c r="C823" s="1">
        <v>67991767866</v>
      </c>
      <c r="D823" s="60">
        <v>62955505091456</v>
      </c>
      <c r="E823" s="63" t="s">
        <v>433</v>
      </c>
      <c r="F823" t="s">
        <v>434</v>
      </c>
      <c r="G823" s="4">
        <v>45627</v>
      </c>
      <c r="H823" s="4" t="str">
        <f>Faturamento!$B43&amp;Faturamento!$G43</f>
        <v>10/191945-545931</v>
      </c>
      <c r="I823" t="s">
        <v>435</v>
      </c>
      <c r="J823" s="37">
        <v>0</v>
      </c>
      <c r="K823" s="53"/>
      <c r="L823" s="53"/>
      <c r="M823" s="5" t="str">
        <f>IF(Faturamento!$S43&lt;&gt;"","Não emitido",IF(Faturamento!$I43="NÃO","Pendente Fatura", IF(Faturamento!$R43&lt;&gt;"","Aprovado",IF(Faturamento!$O43&lt;&gt;0,"Pendente Emissão","Processo de Calculo"))))</f>
        <v>Aprovado</v>
      </c>
      <c r="N823" s="3">
        <v>0</v>
      </c>
      <c r="O823" s="3">
        <v>0</v>
      </c>
      <c r="P823" s="4"/>
      <c r="Q823" s="4"/>
      <c r="S823" t="s">
        <v>436</v>
      </c>
      <c r="T823" s="51" t="s">
        <v>562</v>
      </c>
      <c r="U823" s="51"/>
      <c r="V823" t="s">
        <v>438</v>
      </c>
      <c r="W823" s="3">
        <v>0</v>
      </c>
      <c r="X823" s="123">
        <f>IF(Faturamento!$V43="Pago",IFERROR(W823-R823,0),0)</f>
        <v>0</v>
      </c>
      <c r="Y823" s="4"/>
      <c r="Z823" s="4"/>
      <c r="AA823" s="5">
        <v>283032</v>
      </c>
      <c r="AB823" s="5">
        <v>502</v>
      </c>
      <c r="AC823" s="5" t="s">
        <v>434</v>
      </c>
      <c r="AD823" s="5" t="s">
        <v>563</v>
      </c>
      <c r="AE823" s="5">
        <v>194.17</v>
      </c>
      <c r="AG823" s="5" t="s">
        <v>564</v>
      </c>
      <c r="AH823" s="5" t="s">
        <v>441</v>
      </c>
      <c r="AI823"/>
    </row>
    <row r="824" spans="1:35" hidden="1" x14ac:dyDescent="0.3">
      <c r="A824" s="5" t="str">
        <f>VLOOKUP(B824,base!A:M,11,FALSE)</f>
        <v>MONOFÁSICO</v>
      </c>
      <c r="B824" s="37" t="s">
        <v>167</v>
      </c>
      <c r="C824" s="56">
        <v>67992337953</v>
      </c>
      <c r="D824" s="59">
        <v>62955505091456</v>
      </c>
      <c r="E824" s="37" t="s">
        <v>433</v>
      </c>
      <c r="F824" s="37" t="s">
        <v>434</v>
      </c>
      <c r="G824" s="52">
        <v>45627</v>
      </c>
      <c r="H824" s="52" t="str">
        <f>Faturamento!$B44&amp;Faturamento!$G44</f>
        <v>10/29964-445778</v>
      </c>
      <c r="I824" s="37" t="s">
        <v>435</v>
      </c>
      <c r="J824" s="37">
        <v>0</v>
      </c>
      <c r="K824" s="53"/>
      <c r="L824" s="53"/>
      <c r="M824" s="5" t="str">
        <f>IF(Faturamento!$S44&lt;&gt;"","Não emitido",IF(Faturamento!$I44="NÃO","Pendente Fatura", IF(Faturamento!$R44&lt;&gt;"","Aprovado",IF(Faturamento!$O44&lt;&gt;0,"Pendente Emissão","Processo de Calculo"))))</f>
        <v>Aprovado</v>
      </c>
      <c r="N824" s="53">
        <v>0</v>
      </c>
      <c r="O824" s="53">
        <v>0</v>
      </c>
      <c r="P824" s="52"/>
      <c r="Q824" s="52"/>
      <c r="R824" s="53"/>
      <c r="S824" s="37" t="s">
        <v>436</v>
      </c>
      <c r="T824" s="51" t="s">
        <v>562</v>
      </c>
      <c r="U824" s="51"/>
      <c r="V824" s="37" t="s">
        <v>438</v>
      </c>
      <c r="W824" s="53">
        <v>0</v>
      </c>
      <c r="X824" s="123">
        <f>IF(Faturamento!$V44="Pago",IFERROR(W824-R824,0),0)</f>
        <v>0</v>
      </c>
      <c r="Y824" s="52"/>
      <c r="Z824" s="52"/>
      <c r="AA824" s="5">
        <v>283032</v>
      </c>
      <c r="AB824" s="5">
        <v>502</v>
      </c>
      <c r="AC824" s="5" t="s">
        <v>434</v>
      </c>
      <c r="AD824" s="5" t="s">
        <v>565</v>
      </c>
      <c r="AE824" s="5">
        <v>38.68</v>
      </c>
      <c r="AG824" s="5" t="s">
        <v>566</v>
      </c>
      <c r="AH824" s="5" t="s">
        <v>441</v>
      </c>
      <c r="AI824"/>
    </row>
    <row r="825" spans="1:35" hidden="1" x14ac:dyDescent="0.3">
      <c r="A825" s="5" t="str">
        <f>VLOOKUP(B825,base!A:M,11,FALSE)</f>
        <v>TRIFÁSICO</v>
      </c>
      <c r="B825" s="37" t="s">
        <v>156</v>
      </c>
      <c r="C825" s="56">
        <v>67996446178</v>
      </c>
      <c r="D825" s="59">
        <v>62955505080098</v>
      </c>
      <c r="E825" s="37" t="s">
        <v>433</v>
      </c>
      <c r="F825" s="37" t="s">
        <v>434</v>
      </c>
      <c r="G825" s="52">
        <v>45658</v>
      </c>
      <c r="H825" s="52" t="str">
        <f>Faturamento!$B50&amp;Faturamento!$G50</f>
        <v>10/2605731-545717</v>
      </c>
      <c r="I825" s="37" t="s">
        <v>435</v>
      </c>
      <c r="J825">
        <v>0</v>
      </c>
      <c r="M825" s="5" t="str">
        <f>IF(Faturamento!$S50&lt;&gt;"","Não emitido",IF(Faturamento!$I50="NÃO","Pendente Fatura", IF(Faturamento!$R50&lt;&gt;"","Aprovado",IF(Faturamento!$O50&lt;&gt;0,"Pendente Emissão","Processo de Calculo"))))</f>
        <v>Aprovado</v>
      </c>
      <c r="N825" s="53">
        <v>0</v>
      </c>
      <c r="O825" s="53">
        <v>0</v>
      </c>
      <c r="P825" s="52"/>
      <c r="Q825" s="52"/>
      <c r="R825" s="53"/>
      <c r="S825" s="37" t="s">
        <v>436</v>
      </c>
      <c r="T825" s="51" t="s">
        <v>456</v>
      </c>
      <c r="U825" s="51"/>
      <c r="V825" s="37" t="s">
        <v>438</v>
      </c>
      <c r="W825" s="53">
        <v>0</v>
      </c>
      <c r="X825" s="123">
        <f>IF(Faturamento!$V45="Pago",IFERROR(W825-R825,0),0)</f>
        <v>0</v>
      </c>
      <c r="Y825" s="52"/>
      <c r="Z825" s="52"/>
      <c r="AA825" s="5">
        <v>283032</v>
      </c>
      <c r="AB825" s="5">
        <v>502</v>
      </c>
      <c r="AC825" s="5" t="s">
        <v>434</v>
      </c>
      <c r="AD825" s="5" t="s">
        <v>527</v>
      </c>
      <c r="AE825" s="5">
        <v>5.34</v>
      </c>
      <c r="AG825" s="5" t="s">
        <v>582</v>
      </c>
      <c r="AH825" s="5" t="s">
        <v>441</v>
      </c>
      <c r="AI825"/>
    </row>
    <row r="826" spans="1:35" hidden="1" x14ac:dyDescent="0.3">
      <c r="A826" s="5" t="e">
        <f>VLOOKUP(B826,base!A:M,11,FALSE)</f>
        <v>#N/A</v>
      </c>
      <c r="B826" s="37" t="s">
        <v>520</v>
      </c>
      <c r="C826" s="56" t="e">
        <v>#N/A</v>
      </c>
      <c r="D826" s="59">
        <v>62955505057789</v>
      </c>
      <c r="E826" s="37" t="s">
        <v>433</v>
      </c>
      <c r="F826" s="37" t="s">
        <v>434</v>
      </c>
      <c r="G826" s="52">
        <v>45658</v>
      </c>
      <c r="H826" s="52" t="str">
        <f>Faturamento!$B70&amp;Faturamento!$G70</f>
        <v>10/276283-945658</v>
      </c>
      <c r="I826" s="37" t="s">
        <v>435</v>
      </c>
      <c r="J826">
        <v>0</v>
      </c>
      <c r="M826" s="5" t="str">
        <f>IF(Faturamento!$S70&lt;&gt;"","Não emitido",IF(Faturamento!$I70="NÃO","Pendente Fatura", IF(Faturamento!$R70&lt;&gt;"","Aprovado",IF(Faturamento!$O70&lt;&gt;0,"Pendente Emissão","Processo de Calculo"))))</f>
        <v>Aprovado</v>
      </c>
      <c r="N826" s="53">
        <v>0</v>
      </c>
      <c r="O826" s="53">
        <v>0</v>
      </c>
      <c r="P826" s="52"/>
      <c r="Q826" s="52"/>
      <c r="R826" s="53"/>
      <c r="S826" s="37" t="s">
        <v>436</v>
      </c>
      <c r="T826" s="51" t="s">
        <v>521</v>
      </c>
      <c r="U826" s="51"/>
      <c r="V826" s="37" t="s">
        <v>438</v>
      </c>
      <c r="W826" s="53">
        <v>0</v>
      </c>
      <c r="X826" s="123">
        <f>IF(Faturamento!$V48="Pago",IFERROR(W826-R826,0),0)</f>
        <v>0</v>
      </c>
      <c r="Y826" s="52"/>
      <c r="Z826" s="52"/>
      <c r="AA826" s="5"/>
      <c r="AB826" s="5"/>
      <c r="AI826"/>
    </row>
    <row r="827" spans="1:35" hidden="1" x14ac:dyDescent="0.3">
      <c r="A827" s="5" t="e">
        <f>VLOOKUP(B827,base!A:M,11,FALSE)</f>
        <v>#N/A</v>
      </c>
      <c r="B827" t="s">
        <v>530</v>
      </c>
      <c r="C827" s="1" t="e">
        <v>#N/A</v>
      </c>
      <c r="D827" s="60">
        <v>62955505017051</v>
      </c>
      <c r="E827" s="63" t="s">
        <v>433</v>
      </c>
      <c r="F827" t="s">
        <v>434</v>
      </c>
      <c r="G827" s="4">
        <v>45658</v>
      </c>
      <c r="H827" s="4" t="str">
        <f>Faturamento!$B73&amp;Faturamento!$G73</f>
        <v>10/3092868-345717</v>
      </c>
      <c r="I827" t="s">
        <v>435</v>
      </c>
      <c r="J827">
        <v>0</v>
      </c>
      <c r="M827" s="5" t="str">
        <f>IF(Faturamento!$S73&lt;&gt;"","Não emitido",IF(Faturamento!$I73="NÃO","Pendente Fatura", IF(Faturamento!$R73&lt;&gt;"","Aprovado",IF(Faturamento!$O73&lt;&gt;0,"Pendente Emissão","Processo de Calculo"))))</f>
        <v>Aprovado</v>
      </c>
      <c r="N827" s="3">
        <v>0</v>
      </c>
      <c r="O827" s="3">
        <v>0</v>
      </c>
      <c r="P827" s="4"/>
      <c r="Q827" s="4"/>
      <c r="S827" t="s">
        <v>436</v>
      </c>
      <c r="T827" s="51" t="s">
        <v>495</v>
      </c>
      <c r="U827" s="51"/>
      <c r="V827" t="s">
        <v>438</v>
      </c>
      <c r="W827" s="3">
        <v>0</v>
      </c>
      <c r="X827" s="123">
        <f>IF(Faturamento!$V49="Pago",IFERROR(W827-R827,0),0)</f>
        <v>0</v>
      </c>
      <c r="Y827" s="4"/>
      <c r="Z827" s="4"/>
      <c r="AA827" s="5"/>
      <c r="AB827" s="5"/>
      <c r="AI827"/>
    </row>
    <row r="828" spans="1:35" hidden="1" x14ac:dyDescent="0.3">
      <c r="A828" s="5">
        <f>VLOOKUP(B828,base!A:M,11,FALSE)</f>
        <v>0</v>
      </c>
      <c r="B828" s="37" t="s">
        <v>122</v>
      </c>
      <c r="C828" s="56">
        <v>67991767866</v>
      </c>
      <c r="D828" s="59">
        <v>62955505091456</v>
      </c>
      <c r="E828" s="37" t="s">
        <v>433</v>
      </c>
      <c r="F828" s="37" t="s">
        <v>434</v>
      </c>
      <c r="G828" s="52">
        <v>45658</v>
      </c>
      <c r="H828" s="52" t="str">
        <f>Faturamento!$B86&amp;Faturamento!$G86</f>
        <v>10/15297-545901</v>
      </c>
      <c r="I828" s="37" t="s">
        <v>435</v>
      </c>
      <c r="J828">
        <v>0</v>
      </c>
      <c r="M828" s="5" t="str">
        <f>IF(Faturamento!$S86&lt;&gt;"","Não emitido",IF(Faturamento!$I86="NÃO","Pendente Fatura", IF(Faturamento!$R86&lt;&gt;"","Aprovado",IF(Faturamento!$O86&lt;&gt;0,"Pendente Emissão","Processo de Calculo"))))</f>
        <v>Aprovado</v>
      </c>
      <c r="N828" s="53">
        <v>0</v>
      </c>
      <c r="O828" s="53">
        <v>0</v>
      </c>
      <c r="P828" s="52"/>
      <c r="Q828" s="52"/>
      <c r="R828" s="53"/>
      <c r="S828" s="37" t="s">
        <v>436</v>
      </c>
      <c r="T828" s="51" t="s">
        <v>562</v>
      </c>
      <c r="U828" s="51"/>
      <c r="V828" s="37" t="s">
        <v>438</v>
      </c>
      <c r="W828" s="53">
        <v>0</v>
      </c>
      <c r="X828" s="123">
        <f>IF(Faturamento!$V50="Pago",IFERROR(W828-R828,0),0)</f>
        <v>0</v>
      </c>
      <c r="Y828" s="52"/>
      <c r="Z828" s="52"/>
      <c r="AA828" s="5"/>
      <c r="AB828" s="5"/>
      <c r="AI828"/>
    </row>
    <row r="829" spans="1:35" hidden="1" x14ac:dyDescent="0.3">
      <c r="A829" s="5" t="str">
        <f>VLOOKUP(B829,base!A:M,11,FALSE)</f>
        <v>MONOFÁSICO</v>
      </c>
      <c r="B829" t="s">
        <v>167</v>
      </c>
      <c r="C829" s="1">
        <v>67992337953</v>
      </c>
      <c r="D829" s="60">
        <v>62955505091456</v>
      </c>
      <c r="E829" s="63" t="s">
        <v>433</v>
      </c>
      <c r="F829" t="s">
        <v>434</v>
      </c>
      <c r="G829" s="4">
        <v>45658</v>
      </c>
      <c r="H829" s="4" t="str">
        <f>Faturamento!$B87&amp;Faturamento!$G87</f>
        <v>10/2599101-945658</v>
      </c>
      <c r="I829" t="s">
        <v>435</v>
      </c>
      <c r="J829">
        <v>175</v>
      </c>
      <c r="M829" s="5" t="str">
        <f>IF(Faturamento!$S87&lt;&gt;"","Não emitido",IF(Faturamento!$I87="NÃO","Pendente Fatura", IF(Faturamento!$R87&lt;&gt;"","Aprovado",IF(Faturamento!$O87&lt;&gt;0,"Pendente Emissão","Processo de Calculo"))))</f>
        <v>Aprovado</v>
      </c>
      <c r="N829" s="3">
        <v>179.40999999999997</v>
      </c>
      <c r="O829" s="3">
        <v>0</v>
      </c>
      <c r="P829" s="4"/>
      <c r="Q829" s="4"/>
      <c r="S829" t="s">
        <v>436</v>
      </c>
      <c r="T829" s="51" t="s">
        <v>562</v>
      </c>
      <c r="U829" s="51"/>
      <c r="V829" t="s">
        <v>438</v>
      </c>
      <c r="W829" s="3">
        <v>0</v>
      </c>
      <c r="X829" s="123">
        <f>IF(Faturamento!$V51="Pago",IFERROR(W829-R829,0),0)</f>
        <v>0</v>
      </c>
      <c r="Y829" s="4"/>
      <c r="Z829" s="4"/>
      <c r="AA829" s="5"/>
      <c r="AB829" s="5"/>
      <c r="AI829"/>
    </row>
    <row r="830" spans="1:35" hidden="1" x14ac:dyDescent="0.3">
      <c r="A830" s="5" t="e">
        <f>VLOOKUP(B830,base!A:M,11,FALSE)</f>
        <v>#N/A</v>
      </c>
      <c r="B830" s="37" t="s">
        <v>645</v>
      </c>
      <c r="C830" s="56" t="e">
        <v>#N/A</v>
      </c>
      <c r="D830" s="59">
        <v>62955505393207</v>
      </c>
      <c r="E830" s="37" t="s">
        <v>433</v>
      </c>
      <c r="F830" s="37" t="s">
        <v>434</v>
      </c>
      <c r="G830" s="52">
        <v>45658</v>
      </c>
      <c r="H830" s="52" t="str">
        <f>Faturamento!$B88&amp;Faturamento!$G88</f>
        <v>10/2605731-545839</v>
      </c>
      <c r="I830" s="37" t="s">
        <v>435</v>
      </c>
      <c r="J830">
        <v>0</v>
      </c>
      <c r="M830" s="5" t="str">
        <f>IF(Faturamento!$S88&lt;&gt;"","Não emitido",IF(Faturamento!$I88="NÃO","Pendente Fatura", IF(Faturamento!$R88&lt;&gt;"","Aprovado",IF(Faturamento!$O88&lt;&gt;0,"Pendente Emissão","Processo de Calculo"))))</f>
        <v>Aprovado</v>
      </c>
      <c r="N830" s="53">
        <v>0</v>
      </c>
      <c r="O830" s="53">
        <v>0</v>
      </c>
      <c r="P830" s="52"/>
      <c r="Q830" s="52"/>
      <c r="R830" s="53"/>
      <c r="S830" s="37" t="s">
        <v>436</v>
      </c>
      <c r="T830" s="51" t="s">
        <v>437</v>
      </c>
      <c r="U830" s="51"/>
      <c r="V830" s="37" t="s">
        <v>438</v>
      </c>
      <c r="W830" s="53">
        <v>0</v>
      </c>
      <c r="X830" s="123">
        <f>IF(Faturamento!$V52="Pago",IFERROR(W830-R830,0),0)</f>
        <v>0</v>
      </c>
      <c r="Y830" s="52"/>
      <c r="Z830" s="52"/>
      <c r="AA830" s="5"/>
      <c r="AB830" s="5"/>
      <c r="AI830"/>
    </row>
    <row r="831" spans="1:35" hidden="1" x14ac:dyDescent="0.3">
      <c r="A831" s="5" t="str">
        <f>VLOOKUP(B831,base!A:M,11,FALSE)</f>
        <v>TRIFÁSICO</v>
      </c>
      <c r="B831" s="37" t="s">
        <v>242</v>
      </c>
      <c r="C831" s="56">
        <v>67996266684</v>
      </c>
      <c r="D831" s="59">
        <v>62955505312487</v>
      </c>
      <c r="E831" s="37" t="s">
        <v>433</v>
      </c>
      <c r="F831" s="37" t="s">
        <v>434</v>
      </c>
      <c r="G831" s="52">
        <v>45658</v>
      </c>
      <c r="H831" s="52" t="str">
        <f>Faturamento!$B108&amp;Faturamento!$G108</f>
        <v>10/1695011-545839</v>
      </c>
      <c r="I831" s="37" t="s">
        <v>435</v>
      </c>
      <c r="J831">
        <v>0</v>
      </c>
      <c r="M831" s="5" t="str">
        <f>IF(Faturamento!$S108&lt;&gt;"","Não emitido",IF(Faturamento!$I108="NÃO","Pendente Fatura", IF(Faturamento!$R108&lt;&gt;"","Aprovado",IF(Faturamento!$O108&lt;&gt;0,"Pendente Emissão","Processo de Calculo"))))</f>
        <v>Aprovado</v>
      </c>
      <c r="N831" s="53">
        <v>0</v>
      </c>
      <c r="O831" s="53">
        <v>0</v>
      </c>
      <c r="P831" s="52"/>
      <c r="Q831" s="52"/>
      <c r="R831" s="53"/>
      <c r="S831" s="37" t="s">
        <v>436</v>
      </c>
      <c r="T831" s="51" t="s">
        <v>666</v>
      </c>
      <c r="U831" s="51"/>
      <c r="V831" s="37" t="s">
        <v>438</v>
      </c>
      <c r="W831" s="53">
        <v>0</v>
      </c>
      <c r="X831" s="123">
        <f>IF(Faturamento!$V54="Pago",IFERROR(W831-R831,0),0)</f>
        <v>0</v>
      </c>
      <c r="Y831" s="52"/>
      <c r="Z831" s="52"/>
      <c r="AA831" s="5"/>
      <c r="AB831" s="5"/>
      <c r="AI831"/>
    </row>
    <row r="832" spans="1:35" hidden="1" x14ac:dyDescent="0.3">
      <c r="A832" s="5" t="str">
        <f>VLOOKUP(B832,base!A:M,11,FALSE)</f>
        <v>TRIFÁSICO</v>
      </c>
      <c r="B832" t="s">
        <v>292</v>
      </c>
      <c r="C832" s="1">
        <v>67996446178</v>
      </c>
      <c r="D832" s="60">
        <v>62955505887382</v>
      </c>
      <c r="E832" s="63" t="s">
        <v>433</v>
      </c>
      <c r="F832" t="s">
        <v>434</v>
      </c>
      <c r="G832" s="4">
        <v>45658</v>
      </c>
      <c r="H832" s="4" t="str">
        <f>Faturamento!$B123&amp;Faturamento!$G123</f>
        <v>10/156956-545689</v>
      </c>
      <c r="I832" t="s">
        <v>435</v>
      </c>
      <c r="J832">
        <v>0</v>
      </c>
      <c r="M832" s="5" t="str">
        <f>IF(Faturamento!$S123&lt;&gt;"","Não emitido",IF(Faturamento!$I123="NÃO","Pendente Fatura", IF(Faturamento!$R123&lt;&gt;"","Aprovado",IF(Faturamento!$O123&lt;&gt;0,"Pendente Emissão","Processo de Calculo"))))</f>
        <v>Aprovado</v>
      </c>
      <c r="N832" s="3">
        <v>0</v>
      </c>
      <c r="O832" s="3">
        <v>0</v>
      </c>
      <c r="P832" s="4"/>
      <c r="Q832" s="4"/>
      <c r="S832" t="s">
        <v>436</v>
      </c>
      <c r="T832" s="51" t="s">
        <v>681</v>
      </c>
      <c r="U832" s="51"/>
      <c r="V832" t="s">
        <v>438</v>
      </c>
      <c r="W832" s="3">
        <v>0</v>
      </c>
      <c r="X832" s="123">
        <f>IF(Faturamento!$V56="Pago",IFERROR(W832-R832,0),0)</f>
        <v>0</v>
      </c>
      <c r="Y832" s="4"/>
      <c r="Z832" s="4"/>
      <c r="AA832" s="5"/>
      <c r="AB832" s="5"/>
      <c r="AI832"/>
    </row>
    <row r="833" spans="1:35" hidden="1" x14ac:dyDescent="0.3">
      <c r="A833" s="5" t="str">
        <f>VLOOKUP(B833,base!A:M,11,FALSE)</f>
        <v>TRIFÁSICO</v>
      </c>
      <c r="B833" t="s">
        <v>322</v>
      </c>
      <c r="C833" s="1">
        <v>67998363594</v>
      </c>
      <c r="D833" s="60">
        <v>62955505182257</v>
      </c>
      <c r="E833" s="63" t="s">
        <v>433</v>
      </c>
      <c r="F833" t="s">
        <v>434</v>
      </c>
      <c r="G833" s="4">
        <v>45658</v>
      </c>
      <c r="H833" s="4" t="str">
        <f>Faturamento!$B129&amp;Faturamento!$G129</f>
        <v>10/1674177-945901</v>
      </c>
      <c r="I833" t="s">
        <v>435</v>
      </c>
      <c r="J833">
        <v>0</v>
      </c>
      <c r="M833" s="5" t="str">
        <f>IF(Faturamento!$S129&lt;&gt;"","Não emitido",IF(Faturamento!$I129="NÃO","Pendente Fatura", IF(Faturamento!$R129&lt;&gt;"","Aprovado",IF(Faturamento!$O129&lt;&gt;0,"Pendente Emissão","Processo de Calculo"))))</f>
        <v>Aprovado</v>
      </c>
      <c r="N833" s="3">
        <v>0</v>
      </c>
      <c r="O833" s="3">
        <v>0</v>
      </c>
      <c r="P833" s="4"/>
      <c r="Q833" s="4"/>
      <c r="S833" t="s">
        <v>436</v>
      </c>
      <c r="T833" s="51" t="s">
        <v>442</v>
      </c>
      <c r="U833" s="51"/>
      <c r="V833" t="s">
        <v>438</v>
      </c>
      <c r="W833" s="3">
        <v>0</v>
      </c>
      <c r="X833" s="123">
        <f>IF(Faturamento!$V57="Pago",IFERROR(W833-R833,0),0)</f>
        <v>0</v>
      </c>
      <c r="Y833" s="4"/>
      <c r="Z833" s="4"/>
      <c r="AA833" s="5"/>
      <c r="AB833" s="5"/>
      <c r="AI833"/>
    </row>
    <row r="834" spans="1:35" hidden="1" x14ac:dyDescent="0.3">
      <c r="A834" s="5" t="e">
        <f>VLOOKUP(B834,base!A:M,11,FALSE)</f>
        <v>#N/A</v>
      </c>
      <c r="B834" t="s">
        <v>692</v>
      </c>
      <c r="C834" s="1" t="e">
        <v>#N/A</v>
      </c>
      <c r="D834" s="60">
        <v>62955505057789</v>
      </c>
      <c r="E834" s="63" t="s">
        <v>433</v>
      </c>
      <c r="F834" t="s">
        <v>434</v>
      </c>
      <c r="G834" s="4">
        <v>45658</v>
      </c>
      <c r="H834" s="4" t="str">
        <f>Faturamento!$B135&amp;Faturamento!$G135</f>
        <v>10/202838-945658</v>
      </c>
      <c r="I834" t="s">
        <v>435</v>
      </c>
      <c r="J834">
        <v>0</v>
      </c>
      <c r="M834" s="5" t="str">
        <f>IF(Faturamento!$S135&lt;&gt;"","Não emitido",IF(Faturamento!$I135="NÃO","Pendente Fatura", IF(Faturamento!$R135&lt;&gt;"","Aprovado",IF(Faturamento!$O135&lt;&gt;0,"Pendente Emissão","Processo de Calculo"))))</f>
        <v>Aprovado</v>
      </c>
      <c r="N834" s="3">
        <v>0</v>
      </c>
      <c r="O834" s="3">
        <v>0</v>
      </c>
      <c r="P834" s="4"/>
      <c r="Q834" s="4"/>
      <c r="S834" t="s">
        <v>436</v>
      </c>
      <c r="T834" s="51" t="s">
        <v>521</v>
      </c>
      <c r="U834" s="51"/>
      <c r="V834" t="s">
        <v>438</v>
      </c>
      <c r="W834" s="3">
        <v>0</v>
      </c>
      <c r="X834" s="123">
        <f>IF(Faturamento!$V58="Pago",IFERROR(W834-R834,0),0)</f>
        <v>0</v>
      </c>
      <c r="Y834" s="4"/>
      <c r="Z834" s="4"/>
      <c r="AA834" s="5"/>
      <c r="AB834" s="5"/>
      <c r="AI834"/>
    </row>
    <row r="835" spans="1:35" hidden="1" x14ac:dyDescent="0.3">
      <c r="A835" s="5" t="e">
        <f>VLOOKUP(B835,base!A:M,11,FALSE)</f>
        <v>#N/A</v>
      </c>
      <c r="B835" t="s">
        <v>696</v>
      </c>
      <c r="C835" s="1" t="e">
        <v>#N/A</v>
      </c>
      <c r="D835" s="60">
        <v>62955505135500</v>
      </c>
      <c r="E835" s="63" t="s">
        <v>433</v>
      </c>
      <c r="F835" t="s">
        <v>434</v>
      </c>
      <c r="G835" s="4">
        <v>45658</v>
      </c>
      <c r="H835" s="4" t="str">
        <f>Faturamento!$B139&amp;Faturamento!$G139</f>
        <v>10/252817-245658</v>
      </c>
      <c r="I835" t="s">
        <v>435</v>
      </c>
      <c r="J835">
        <v>0</v>
      </c>
      <c r="M835" s="5" t="str">
        <f>IF(Faturamento!$S139&lt;&gt;"","Não emitido",IF(Faturamento!$I139="NÃO","Pendente Fatura", IF(Faturamento!$R139&lt;&gt;"","Aprovado",IF(Faturamento!$O139&lt;&gt;0,"Pendente Emissão","Processo de Calculo"))))</f>
        <v>Aprovado</v>
      </c>
      <c r="N835" s="3">
        <v>0</v>
      </c>
      <c r="O835" s="3">
        <v>0</v>
      </c>
      <c r="P835" s="4"/>
      <c r="Q835" s="4"/>
      <c r="S835" t="s">
        <v>436</v>
      </c>
      <c r="T835" s="51" t="s">
        <v>697</v>
      </c>
      <c r="U835" s="51"/>
      <c r="V835" t="s">
        <v>438</v>
      </c>
      <c r="W835" s="3">
        <v>0</v>
      </c>
      <c r="X835" s="123">
        <f>IF(Faturamento!$V59="Pago",IFERROR(W835-R835,0),0)</f>
        <v>0</v>
      </c>
      <c r="Y835" s="4"/>
      <c r="Z835" s="4"/>
      <c r="AA835" s="5"/>
      <c r="AB835" s="5"/>
      <c r="AI835"/>
    </row>
    <row r="836" spans="1:35" hidden="1" x14ac:dyDescent="0.3">
      <c r="A836" s="5" t="e">
        <f>VLOOKUP(B836,base!A:M,11,FALSE)</f>
        <v>#N/A</v>
      </c>
      <c r="B836" s="37" t="s">
        <v>698</v>
      </c>
      <c r="C836" s="56" t="e">
        <v>#N/A</v>
      </c>
      <c r="D836" s="59">
        <v>62955505017213</v>
      </c>
      <c r="E836" s="37" t="s">
        <v>433</v>
      </c>
      <c r="F836" s="37" t="s">
        <v>434</v>
      </c>
      <c r="G836" s="52">
        <v>45658</v>
      </c>
      <c r="H836" s="52" t="str">
        <f>Faturamento!$B140&amp;Faturamento!$G140</f>
        <v>10/15297-545658</v>
      </c>
      <c r="I836" s="37" t="s">
        <v>435</v>
      </c>
      <c r="J836">
        <v>0</v>
      </c>
      <c r="M836" s="5" t="str">
        <f>IF(Faturamento!$S140&lt;&gt;"","Não emitido",IF(Faturamento!$I140="NÃO","Pendente Fatura", IF(Faturamento!$R140&lt;&gt;"","Aprovado",IF(Faturamento!$O140&lt;&gt;0,"Pendente Emissão","Processo de Calculo"))))</f>
        <v>Aprovado</v>
      </c>
      <c r="N836" s="53">
        <v>0</v>
      </c>
      <c r="O836" s="53">
        <v>0</v>
      </c>
      <c r="P836" s="52"/>
      <c r="Q836" s="52"/>
      <c r="R836" s="53"/>
      <c r="S836" s="37" t="s">
        <v>436</v>
      </c>
      <c r="T836" s="51" t="s">
        <v>474</v>
      </c>
      <c r="U836" s="51"/>
      <c r="V836" s="37" t="s">
        <v>438</v>
      </c>
      <c r="W836" s="53">
        <v>0</v>
      </c>
      <c r="X836" s="123">
        <f>IF(Faturamento!$V60="Pago",IFERROR(W836-R836,0),0)</f>
        <v>0</v>
      </c>
      <c r="Y836" s="52"/>
      <c r="Z836" s="52"/>
      <c r="AA836" s="5"/>
      <c r="AB836" s="5"/>
      <c r="AI836"/>
    </row>
    <row r="837" spans="1:35" hidden="1" x14ac:dyDescent="0.3">
      <c r="A837" s="5">
        <f>VLOOKUP(B837,base!A:M,11,FALSE)</f>
        <v>0</v>
      </c>
      <c r="B837" s="37" t="s">
        <v>122</v>
      </c>
      <c r="C837" s="56">
        <v>67991767866</v>
      </c>
      <c r="D837" s="59">
        <v>62955505091456</v>
      </c>
      <c r="E837" s="37" t="s">
        <v>433</v>
      </c>
      <c r="F837" s="37" t="s">
        <v>434</v>
      </c>
      <c r="G837" s="52">
        <v>45689</v>
      </c>
      <c r="H837" s="52" t="str">
        <f>Faturamento!$B182&amp;Faturamento!$G182</f>
        <v>10/276283-945901</v>
      </c>
      <c r="I837" s="37" t="s">
        <v>435</v>
      </c>
      <c r="J837" s="37">
        <v>0</v>
      </c>
      <c r="K837" s="53"/>
      <c r="L837" s="53"/>
      <c r="M837" s="5" t="str">
        <f>IF(Faturamento!$S182&lt;&gt;"","Não emitido",IF(Faturamento!$I182="NÃO","Pendente Fatura", IF(Faturamento!$R182&lt;&gt;"","Aprovado",IF(Faturamento!$O182&lt;&gt;0,"Pendente Emissão","Processo de Calculo"))))</f>
        <v>Aprovado</v>
      </c>
      <c r="N837" s="53">
        <v>0</v>
      </c>
      <c r="O837" s="53">
        <v>0</v>
      </c>
      <c r="P837" s="52"/>
      <c r="Q837" s="52"/>
      <c r="R837" s="53"/>
      <c r="S837" s="37" t="s">
        <v>436</v>
      </c>
      <c r="T837" s="51" t="s">
        <v>562</v>
      </c>
      <c r="U837" s="51"/>
      <c r="V837" s="37" t="s">
        <v>438</v>
      </c>
      <c r="W837" s="53">
        <v>0</v>
      </c>
      <c r="X837" s="123">
        <f>IF(Faturamento!$V64="Pago",IFERROR(W837-R837,0),0)</f>
        <v>0</v>
      </c>
      <c r="Y837" s="52"/>
      <c r="Z837" s="52"/>
      <c r="AA837" s="5"/>
      <c r="AB837" s="5"/>
      <c r="AI837"/>
    </row>
    <row r="838" spans="1:35" hidden="1" x14ac:dyDescent="0.3">
      <c r="A838" s="5" t="str">
        <f>VLOOKUP(B838,base!A:M,11,FALSE)</f>
        <v>MONOFÁSICO</v>
      </c>
      <c r="B838" t="s">
        <v>167</v>
      </c>
      <c r="C838" s="1">
        <v>67992337953</v>
      </c>
      <c r="D838" s="60">
        <v>62955505091456</v>
      </c>
      <c r="E838" s="63" t="s">
        <v>433</v>
      </c>
      <c r="F838" t="s">
        <v>434</v>
      </c>
      <c r="G838" s="4">
        <v>45689</v>
      </c>
      <c r="H838" s="4" t="str">
        <f>Faturamento!$B183&amp;Faturamento!$G183</f>
        <v>10/1939035-045748</v>
      </c>
      <c r="I838" t="s">
        <v>435</v>
      </c>
      <c r="J838" s="37">
        <v>0</v>
      </c>
      <c r="K838" s="53"/>
      <c r="L838" s="53"/>
      <c r="M838" s="5" t="str">
        <f>IF(Faturamento!$S183&lt;&gt;"","Não emitido",IF(Faturamento!$I183="NÃO","Pendente Fatura", IF(Faturamento!$R183&lt;&gt;"","Aprovado",IF(Faturamento!$O183&lt;&gt;0,"Pendente Emissão","Processo de Calculo"))))</f>
        <v>Aprovado</v>
      </c>
      <c r="N838" s="3">
        <v>134.56</v>
      </c>
      <c r="O838" s="3">
        <v>0</v>
      </c>
      <c r="P838" s="4"/>
      <c r="Q838" s="4"/>
      <c r="S838" t="s">
        <v>436</v>
      </c>
      <c r="T838" s="51" t="s">
        <v>562</v>
      </c>
      <c r="U838" s="51"/>
      <c r="V838" t="s">
        <v>438</v>
      </c>
      <c r="W838" s="3">
        <v>0</v>
      </c>
      <c r="X838" s="123">
        <f>IF(Faturamento!$V65="Pago",IFERROR(W838-R838,0),0)</f>
        <v>0</v>
      </c>
      <c r="Y838" s="4"/>
      <c r="Z838" s="4"/>
      <c r="AA838" s="5"/>
      <c r="AB838" s="5"/>
      <c r="AI838"/>
    </row>
    <row r="839" spans="1:35" hidden="1" x14ac:dyDescent="0.3">
      <c r="A839" s="5" t="e">
        <f>VLOOKUP(B839,base!A:M,11,FALSE)</f>
        <v>#N/A</v>
      </c>
      <c r="B839" t="s">
        <v>692</v>
      </c>
      <c r="C839" s="1" t="e">
        <v>#N/A</v>
      </c>
      <c r="D839" s="60">
        <v>62955505057789</v>
      </c>
      <c r="E839" s="63" t="s">
        <v>433</v>
      </c>
      <c r="F839" t="s">
        <v>434</v>
      </c>
      <c r="G839" s="4">
        <v>45689</v>
      </c>
      <c r="H839" s="4" t="str">
        <f>Faturamento!$B187&amp;Faturamento!$G187</f>
        <v>10/931327-145717</v>
      </c>
      <c r="I839" t="s">
        <v>435</v>
      </c>
      <c r="J839" s="37">
        <v>0</v>
      </c>
      <c r="K839" s="53"/>
      <c r="L839" s="53"/>
      <c r="M839" s="5" t="str">
        <f>IF(Faturamento!$S187&lt;&gt;"","Não emitido",IF(Faturamento!$I187="NÃO","Pendente Fatura", IF(Faturamento!$R187&lt;&gt;"","Aprovado",IF(Faturamento!$O187&lt;&gt;0,"Pendente Emissão","Processo de Calculo"))))</f>
        <v>Aprovado</v>
      </c>
      <c r="N839" s="3">
        <v>0</v>
      </c>
      <c r="O839" s="3">
        <v>0</v>
      </c>
      <c r="P839" s="4"/>
      <c r="Q839" s="4"/>
      <c r="S839" t="s">
        <v>436</v>
      </c>
      <c r="T839" s="51" t="s">
        <v>521</v>
      </c>
      <c r="U839" s="51"/>
      <c r="V839" t="s">
        <v>438</v>
      </c>
      <c r="W839" s="3">
        <v>0</v>
      </c>
      <c r="X839" s="123">
        <f>IF(Faturamento!$V67="Pago",IFERROR(W839-R839,0),0)</f>
        <v>0</v>
      </c>
      <c r="Y839" s="4"/>
      <c r="Z839" s="4"/>
      <c r="AA839" s="5"/>
      <c r="AB839" s="5"/>
      <c r="AI839"/>
    </row>
    <row r="840" spans="1:35" hidden="1" x14ac:dyDescent="0.3">
      <c r="A840" s="5" t="e">
        <f>VLOOKUP(B840,base!A:M,11,FALSE)</f>
        <v>#N/A</v>
      </c>
      <c r="B840" s="37" t="s">
        <v>645</v>
      </c>
      <c r="C840" s="56" t="e">
        <v>#N/A</v>
      </c>
      <c r="D840" s="59">
        <v>62955505393207</v>
      </c>
      <c r="E840" s="37" t="s">
        <v>433</v>
      </c>
      <c r="F840" s="37" t="s">
        <v>434</v>
      </c>
      <c r="G840" s="52">
        <v>45689</v>
      </c>
      <c r="H840" s="52" t="str">
        <f>Faturamento!$B188&amp;Faturamento!$G188</f>
        <v>10/504844-245778</v>
      </c>
      <c r="I840" s="37" t="s">
        <v>435</v>
      </c>
      <c r="J840" s="37">
        <v>0</v>
      </c>
      <c r="K840" s="53"/>
      <c r="L840" s="53"/>
      <c r="M840" s="5" t="str">
        <f>IF(Faturamento!$S188&lt;&gt;"","Não emitido",IF(Faturamento!$I188="NÃO","Pendente Fatura", IF(Faturamento!$R188&lt;&gt;"","Aprovado",IF(Faturamento!$O188&lt;&gt;0,"Pendente Emissão","Processo de Calculo"))))</f>
        <v>Aprovado</v>
      </c>
      <c r="N840" s="53">
        <v>0</v>
      </c>
      <c r="O840" s="53">
        <v>0</v>
      </c>
      <c r="P840" s="52"/>
      <c r="Q840" s="52"/>
      <c r="R840" s="53"/>
      <c r="S840" s="37" t="s">
        <v>436</v>
      </c>
      <c r="T840" s="51" t="s">
        <v>437</v>
      </c>
      <c r="U840" s="51"/>
      <c r="V840" s="37" t="s">
        <v>438</v>
      </c>
      <c r="W840" s="53">
        <v>0</v>
      </c>
      <c r="X840" s="123">
        <f>IF(Faturamento!$V68="Pago",IFERROR(W840-R840,0),0)</f>
        <v>0</v>
      </c>
      <c r="Y840" s="52"/>
      <c r="Z840" s="52"/>
      <c r="AA840" s="5"/>
      <c r="AB840" s="5"/>
      <c r="AI840"/>
    </row>
    <row r="841" spans="1:35" hidden="1" x14ac:dyDescent="0.3">
      <c r="A841" s="5" t="str">
        <f>VLOOKUP(B841,base!A:M,11,FALSE)</f>
        <v>TRIFÁSICO</v>
      </c>
      <c r="B841" t="s">
        <v>326</v>
      </c>
      <c r="C841" s="1" t="s">
        <v>328</v>
      </c>
      <c r="D841" s="60">
        <v>62955505058599</v>
      </c>
      <c r="E841" s="63" t="s">
        <v>433</v>
      </c>
      <c r="F841" t="s">
        <v>434</v>
      </c>
      <c r="G841" s="4">
        <v>45689</v>
      </c>
      <c r="H841" s="4" t="str">
        <f>Faturamento!$B189&amp;Faturamento!$G189</f>
        <v>10/260761-245778</v>
      </c>
      <c r="I841" t="s">
        <v>435</v>
      </c>
      <c r="J841" s="37">
        <v>0</v>
      </c>
      <c r="K841" s="53"/>
      <c r="L841" s="53"/>
      <c r="M841" s="5" t="str">
        <f>IF(Faturamento!$S189&lt;&gt;"","Não emitido",IF(Faturamento!$I189="NÃO","Pendente Fatura", IF(Faturamento!$R189&lt;&gt;"","Aprovado",IF(Faturamento!$O189&lt;&gt;0,"Pendente Emissão","Processo de Calculo"))))</f>
        <v>Aprovado</v>
      </c>
      <c r="N841" s="3">
        <v>0</v>
      </c>
      <c r="O841" s="3">
        <v>0</v>
      </c>
      <c r="P841" s="4"/>
      <c r="Q841" s="4"/>
      <c r="S841" t="s">
        <v>436</v>
      </c>
      <c r="T841" s="51" t="s">
        <v>746</v>
      </c>
      <c r="U841" s="51"/>
      <c r="V841" t="s">
        <v>438</v>
      </c>
      <c r="W841" s="3">
        <v>0</v>
      </c>
      <c r="X841" s="123">
        <f>IF(Faturamento!$V69="Pago",IFERROR(W841-R841,0),0)</f>
        <v>0</v>
      </c>
      <c r="Y841" s="4"/>
      <c r="Z841" s="4"/>
      <c r="AA841" s="5"/>
      <c r="AB841" s="5"/>
      <c r="AI841"/>
    </row>
    <row r="842" spans="1:35" hidden="1" x14ac:dyDescent="0.3">
      <c r="A842" s="5" t="str">
        <f>VLOOKUP(B842,base!A:M,11,FALSE)</f>
        <v>BIFÁSICO</v>
      </c>
      <c r="B842" s="37" t="s">
        <v>161</v>
      </c>
      <c r="C842" s="56">
        <v>67992899434</v>
      </c>
      <c r="D842" s="59">
        <v>62955505113875</v>
      </c>
      <c r="E842" s="37" t="s">
        <v>433</v>
      </c>
      <c r="F842" s="37" t="s">
        <v>434</v>
      </c>
      <c r="G842" s="52">
        <v>45689</v>
      </c>
      <c r="H842" s="52" t="str">
        <f>Faturamento!$B190&amp;Faturamento!$G190</f>
        <v>10/1266128-645717</v>
      </c>
      <c r="I842" s="37" t="s">
        <v>435</v>
      </c>
      <c r="J842" s="37">
        <v>0</v>
      </c>
      <c r="K842" s="53"/>
      <c r="L842" s="53"/>
      <c r="M842" s="5" t="str">
        <f>IF(Faturamento!$S190&lt;&gt;"","Não emitido",IF(Faturamento!$I190="NÃO","Pendente Fatura", IF(Faturamento!$R190&lt;&gt;"","Aprovado",IF(Faturamento!$O190&lt;&gt;0,"Pendente Emissão","Processo de Calculo"))))</f>
        <v>Aprovado</v>
      </c>
      <c r="N842" s="53">
        <v>0</v>
      </c>
      <c r="O842" s="53">
        <v>0</v>
      </c>
      <c r="P842" s="52"/>
      <c r="Q842" s="52"/>
      <c r="R842" s="53"/>
      <c r="S842" s="37" t="s">
        <v>436</v>
      </c>
      <c r="T842" s="51" t="s">
        <v>747</v>
      </c>
      <c r="U842" s="51"/>
      <c r="V842" s="37" t="s">
        <v>438</v>
      </c>
      <c r="W842" s="53">
        <v>0</v>
      </c>
      <c r="X842" s="123">
        <f>IF(Faturamento!$V70="Pago",IFERROR(W842-R842,0),0)</f>
        <v>0</v>
      </c>
      <c r="Y842" s="52"/>
      <c r="Z842" s="52"/>
      <c r="AA842" s="5"/>
      <c r="AB842" s="5"/>
      <c r="AI842"/>
    </row>
    <row r="843" spans="1:35" hidden="1" x14ac:dyDescent="0.3">
      <c r="A843" s="5" t="str">
        <f>VLOOKUP(B843,base!A:M,11,FALSE)</f>
        <v>BIFÁSICO</v>
      </c>
      <c r="B843" s="37" t="s">
        <v>127</v>
      </c>
      <c r="C843" s="56">
        <v>67996446178</v>
      </c>
      <c r="D843" s="59">
        <v>62955505016918</v>
      </c>
      <c r="E843" s="37" t="s">
        <v>433</v>
      </c>
      <c r="F843" s="37" t="s">
        <v>434</v>
      </c>
      <c r="G843" s="52">
        <v>45689</v>
      </c>
      <c r="H843" s="52" t="str">
        <f>Faturamento!$B192&amp;Faturamento!$G192</f>
        <v>10/1081489-545748</v>
      </c>
      <c r="I843" s="37" t="s">
        <v>435</v>
      </c>
      <c r="J843" s="37">
        <v>0</v>
      </c>
      <c r="K843" s="53"/>
      <c r="L843" s="53"/>
      <c r="M843" s="5" t="str">
        <f>IF(Faturamento!$S192&lt;&gt;"","Não emitido",IF(Faturamento!$I192="NÃO","Pendente Fatura", IF(Faturamento!$R192&lt;&gt;"","Aprovado",IF(Faturamento!$O192&lt;&gt;0,"Pendente Emissão","Processo de Calculo"))))</f>
        <v>Aprovado</v>
      </c>
      <c r="N843" s="53">
        <v>0</v>
      </c>
      <c r="O843" s="53">
        <v>0</v>
      </c>
      <c r="P843" s="52"/>
      <c r="Q843" s="52"/>
      <c r="R843" s="53"/>
      <c r="S843" s="37" t="s">
        <v>436</v>
      </c>
      <c r="T843" s="51" t="s">
        <v>749</v>
      </c>
      <c r="U843" s="51"/>
      <c r="V843" s="37" t="s">
        <v>438</v>
      </c>
      <c r="W843" s="53">
        <v>0</v>
      </c>
      <c r="X843" s="123">
        <f>IF(Faturamento!$V71="Pago",IFERROR(W843-R843,0),0)</f>
        <v>0</v>
      </c>
      <c r="Y843" s="52"/>
      <c r="Z843" s="52"/>
      <c r="AA843" s="5"/>
      <c r="AB843" s="5"/>
      <c r="AI843"/>
    </row>
    <row r="844" spans="1:35" hidden="1" x14ac:dyDescent="0.3">
      <c r="A844" s="5" t="str">
        <f>VLOOKUP(B844,base!A:M,11,FALSE)</f>
        <v>TRIFÁSICO</v>
      </c>
      <c r="B844" t="s">
        <v>171</v>
      </c>
      <c r="C844" s="1">
        <v>67996266684</v>
      </c>
      <c r="D844" s="60">
        <v>62955505312487</v>
      </c>
      <c r="E844" s="63" t="s">
        <v>433</v>
      </c>
      <c r="F844" t="s">
        <v>434</v>
      </c>
      <c r="G844" s="4">
        <v>45689</v>
      </c>
      <c r="H844" s="4" t="str">
        <f>Faturamento!$B193&amp;Faturamento!$G193</f>
        <v>10/3139326-745748</v>
      </c>
      <c r="I844" t="s">
        <v>435</v>
      </c>
      <c r="J844" s="37">
        <v>0</v>
      </c>
      <c r="K844" s="53"/>
      <c r="L844" s="53"/>
      <c r="M844" s="5" t="str">
        <f>IF(Faturamento!$S193&lt;&gt;"","Não emitido",IF(Faturamento!$I193="NÃO","Pendente Fatura", IF(Faturamento!$R193&lt;&gt;"","Aprovado",IF(Faturamento!$O193&lt;&gt;0,"Pendente Emissão","Processo de Calculo"))))</f>
        <v>Aprovado</v>
      </c>
      <c r="N844" s="3">
        <v>0</v>
      </c>
      <c r="O844" s="3">
        <v>0</v>
      </c>
      <c r="P844" s="4"/>
      <c r="Q844" s="4"/>
      <c r="S844" t="s">
        <v>436</v>
      </c>
      <c r="T844" s="51" t="s">
        <v>666</v>
      </c>
      <c r="U844" s="51"/>
      <c r="V844" t="s">
        <v>438</v>
      </c>
      <c r="W844" s="3">
        <v>0</v>
      </c>
      <c r="X844" s="123">
        <f>IF(Faturamento!$V72="Pago",IFERROR(W844-R844,0),0)</f>
        <v>0</v>
      </c>
      <c r="Y844" s="4"/>
      <c r="Z844" s="4"/>
      <c r="AA844" s="5"/>
      <c r="AB844" s="5"/>
      <c r="AI844"/>
    </row>
    <row r="845" spans="1:35" hidden="1" x14ac:dyDescent="0.3">
      <c r="A845" s="5" t="str">
        <f>VLOOKUP(B845,base!A:M,11,FALSE)</f>
        <v>TRIFÁSICO</v>
      </c>
      <c r="B845" s="37" t="s">
        <v>338</v>
      </c>
      <c r="C845" s="56" t="s">
        <v>341</v>
      </c>
      <c r="D845" s="59">
        <v>62955505122432</v>
      </c>
      <c r="E845" s="37" t="s">
        <v>433</v>
      </c>
      <c r="F845" s="37" t="s">
        <v>434</v>
      </c>
      <c r="G845" s="52">
        <v>45689</v>
      </c>
      <c r="H845" s="52" t="str">
        <f>Faturamento!$B194&amp;Faturamento!$G194</f>
        <v>10/142353-245748</v>
      </c>
      <c r="I845" s="37" t="s">
        <v>435</v>
      </c>
      <c r="J845" s="37">
        <v>0</v>
      </c>
      <c r="K845" s="53"/>
      <c r="L845" s="53"/>
      <c r="M845" s="5" t="str">
        <f>IF(Faturamento!$S194&lt;&gt;"","Não emitido",IF(Faturamento!$I194="NÃO","Pendente Fatura", IF(Faturamento!$R194&lt;&gt;"","Aprovado",IF(Faturamento!$O194&lt;&gt;0,"Pendente Emissão","Processo de Calculo"))))</f>
        <v>Aprovado</v>
      </c>
      <c r="N845" s="53">
        <v>0</v>
      </c>
      <c r="O845" s="53">
        <v>0</v>
      </c>
      <c r="P845" s="52"/>
      <c r="Q845" s="52"/>
      <c r="R845" s="53"/>
      <c r="S845" s="37" t="s">
        <v>436</v>
      </c>
      <c r="T845" s="51" t="s">
        <v>750</v>
      </c>
      <c r="U845" s="51"/>
      <c r="V845" s="37" t="s">
        <v>438</v>
      </c>
      <c r="W845" s="53">
        <v>0</v>
      </c>
      <c r="X845" s="123">
        <f>IF(Faturamento!$V73="Pago",IFERROR(W845-R845,0),0)</f>
        <v>0</v>
      </c>
      <c r="Y845" s="52"/>
      <c r="Z845" s="52"/>
      <c r="AA845" s="5"/>
      <c r="AB845" s="5"/>
      <c r="AI845"/>
    </row>
    <row r="846" spans="1:35" hidden="1" x14ac:dyDescent="0.3">
      <c r="A846" s="5" t="str">
        <f>VLOOKUP(B846,base!A:M,11,FALSE)</f>
        <v>TRIFÁSICO</v>
      </c>
      <c r="B846" t="s">
        <v>285</v>
      </c>
      <c r="C846" s="1">
        <v>67996266684</v>
      </c>
      <c r="D846" s="60">
        <v>62955505016080</v>
      </c>
      <c r="E846" s="63" t="s">
        <v>433</v>
      </c>
      <c r="F846" t="s">
        <v>434</v>
      </c>
      <c r="G846" s="4">
        <v>45689</v>
      </c>
      <c r="H846" s="4" t="str">
        <f>Faturamento!$B195&amp;Faturamento!$G195</f>
        <v>10/3556072-145931</v>
      </c>
      <c r="I846" t="s">
        <v>435</v>
      </c>
      <c r="J846" s="37">
        <v>0</v>
      </c>
      <c r="K846" s="53"/>
      <c r="L846" s="53"/>
      <c r="M846" s="5" t="str">
        <f>IF(Faturamento!$S195&lt;&gt;"","Não emitido",IF(Faturamento!$I195="NÃO","Pendente Fatura", IF(Faturamento!$R195&lt;&gt;"","Aprovado",IF(Faturamento!$O195&lt;&gt;0,"Pendente Emissão","Processo de Calculo"))))</f>
        <v>Aprovado</v>
      </c>
      <c r="N846" s="3">
        <v>0</v>
      </c>
      <c r="O846" s="3">
        <v>0</v>
      </c>
      <c r="P846" s="4"/>
      <c r="Q846" s="4"/>
      <c r="S846" t="s">
        <v>436</v>
      </c>
      <c r="T846" s="51" t="s">
        <v>483</v>
      </c>
      <c r="U846" s="51"/>
      <c r="V846" t="s">
        <v>438</v>
      </c>
      <c r="W846" s="3">
        <v>0</v>
      </c>
      <c r="X846" s="123">
        <f>IF(Faturamento!$V74="Pago",IFERROR(W846-R846,0),0)</f>
        <v>0</v>
      </c>
      <c r="Y846" s="4"/>
      <c r="Z846" s="4"/>
      <c r="AA846" s="5"/>
      <c r="AB846" s="5"/>
      <c r="AI846"/>
    </row>
    <row r="847" spans="1:35" hidden="1" x14ac:dyDescent="0.3">
      <c r="A847" s="5" t="str">
        <f>VLOOKUP(B847,base!A:M,11,FALSE)</f>
        <v>TRIFÁSICO</v>
      </c>
      <c r="B847" s="37" t="s">
        <v>290</v>
      </c>
      <c r="C847" s="56">
        <v>67992637973</v>
      </c>
      <c r="D847" s="59">
        <v>62955505354481</v>
      </c>
      <c r="E847" s="37" t="s">
        <v>433</v>
      </c>
      <c r="F847" s="37" t="s">
        <v>434</v>
      </c>
      <c r="G847" s="52">
        <v>45689</v>
      </c>
      <c r="H847" s="52" t="str">
        <f>Faturamento!$B196&amp;Faturamento!$G196</f>
        <v>10/3123706-845931</v>
      </c>
      <c r="I847" s="37" t="s">
        <v>435</v>
      </c>
      <c r="J847" s="37">
        <v>0</v>
      </c>
      <c r="K847" s="53"/>
      <c r="L847" s="53"/>
      <c r="M847" s="5" t="str">
        <f>IF(Faturamento!$S196&lt;&gt;"","Não emitido",IF(Faturamento!$I196="NÃO","Pendente Fatura", IF(Faturamento!$R196&lt;&gt;"","Aprovado",IF(Faturamento!$O196&lt;&gt;0,"Pendente Emissão","Processo de Calculo"))))</f>
        <v>Aprovado</v>
      </c>
      <c r="N847" s="53">
        <v>0</v>
      </c>
      <c r="O847" s="53">
        <v>0</v>
      </c>
      <c r="P847" s="52"/>
      <c r="Q847" s="52"/>
      <c r="R847" s="53"/>
      <c r="S847" s="37" t="s">
        <v>436</v>
      </c>
      <c r="T847" s="51" t="s">
        <v>751</v>
      </c>
      <c r="U847" s="51"/>
      <c r="V847" s="37" t="s">
        <v>438</v>
      </c>
      <c r="W847" s="53">
        <v>0</v>
      </c>
      <c r="X847" s="123">
        <f>IF(Faturamento!$V75="Pago",IFERROR(W847-R847,0),0)</f>
        <v>0</v>
      </c>
      <c r="Y847" s="52"/>
      <c r="Z847" s="52"/>
      <c r="AA847" s="5"/>
      <c r="AB847" s="5"/>
      <c r="AI847"/>
    </row>
    <row r="848" spans="1:35" hidden="1" x14ac:dyDescent="0.3">
      <c r="A848" s="5" t="str">
        <f>VLOOKUP(B848,base!A:M,11,FALSE)</f>
        <v>TRIFÁSICO</v>
      </c>
      <c r="B848" t="s">
        <v>230</v>
      </c>
      <c r="C848" s="1" t="s">
        <v>175</v>
      </c>
      <c r="D848" s="60">
        <v>62955505843253</v>
      </c>
      <c r="E848" s="63" t="s">
        <v>433</v>
      </c>
      <c r="F848" t="s">
        <v>434</v>
      </c>
      <c r="G848" s="4">
        <v>45689</v>
      </c>
      <c r="H848" s="4" t="str">
        <f>Faturamento!$B197&amp;Faturamento!$G197</f>
        <v>10/1017804-445901</v>
      </c>
      <c r="I848" t="s">
        <v>435</v>
      </c>
      <c r="J848" s="37">
        <v>0</v>
      </c>
      <c r="K848" s="53"/>
      <c r="L848" s="53"/>
      <c r="M848" s="5" t="str">
        <f>IF(Faturamento!$S197&lt;&gt;"","Não emitido",IF(Faturamento!$I197="NÃO","Pendente Fatura", IF(Faturamento!$R197&lt;&gt;"","Aprovado",IF(Faturamento!$O197&lt;&gt;0,"Pendente Emissão","Processo de Calculo"))))</f>
        <v>Aprovado</v>
      </c>
      <c r="N848" s="3">
        <v>0</v>
      </c>
      <c r="O848" s="3">
        <v>0</v>
      </c>
      <c r="P848" s="4"/>
      <c r="Q848" s="4"/>
      <c r="S848" t="s">
        <v>436</v>
      </c>
      <c r="T848" s="51" t="s">
        <v>752</v>
      </c>
      <c r="U848" s="51"/>
      <c r="V848" t="s">
        <v>438</v>
      </c>
      <c r="W848" s="3">
        <v>0</v>
      </c>
      <c r="X848" s="123">
        <f>IF(Faturamento!$V76="Pago",IFERROR(W848-R848,0),0)</f>
        <v>0</v>
      </c>
      <c r="Y848" s="4"/>
      <c r="Z848" s="4"/>
      <c r="AA848" s="5"/>
      <c r="AB848" s="5"/>
      <c r="AI848"/>
    </row>
    <row r="849" spans="1:35" hidden="1" x14ac:dyDescent="0.3">
      <c r="A849" s="5" t="str">
        <f>VLOOKUP(B849,base!A:M,11,FALSE)</f>
        <v>TRIFÁSICO</v>
      </c>
      <c r="B849" s="37" t="s">
        <v>322</v>
      </c>
      <c r="C849" s="56">
        <v>67998363594</v>
      </c>
      <c r="D849" s="59">
        <v>62955505182257</v>
      </c>
      <c r="E849" s="37" t="s">
        <v>433</v>
      </c>
      <c r="F849" s="37" t="s">
        <v>434</v>
      </c>
      <c r="G849" s="52">
        <v>45689</v>
      </c>
      <c r="H849" s="52" t="str">
        <f>Faturamento!$B198&amp;Faturamento!$G198</f>
        <v>10/109074-545901</v>
      </c>
      <c r="I849" s="37" t="s">
        <v>435</v>
      </c>
      <c r="J849" s="37">
        <v>0</v>
      </c>
      <c r="K849" s="53"/>
      <c r="L849" s="53"/>
      <c r="M849" s="5" t="str">
        <f>IF(Faturamento!$S198&lt;&gt;"","Não emitido",IF(Faturamento!$I198="NÃO","Pendente Fatura", IF(Faturamento!$R198&lt;&gt;"","Aprovado",IF(Faturamento!$O198&lt;&gt;0,"Pendente Emissão","Processo de Calculo"))))</f>
        <v>Aprovado</v>
      </c>
      <c r="N849" s="53">
        <v>0</v>
      </c>
      <c r="O849" s="53">
        <v>0</v>
      </c>
      <c r="P849" s="52"/>
      <c r="Q849" s="52"/>
      <c r="R849" s="53"/>
      <c r="S849" s="37" t="s">
        <v>436</v>
      </c>
      <c r="T849" s="51" t="s">
        <v>442</v>
      </c>
      <c r="U849" s="51"/>
      <c r="V849" s="37" t="s">
        <v>438</v>
      </c>
      <c r="W849" s="53">
        <v>0</v>
      </c>
      <c r="X849" s="123">
        <f>IF(Faturamento!$V77="Pago",IFERROR(W849-R849,0),0)</f>
        <v>0</v>
      </c>
      <c r="Y849" s="52"/>
      <c r="Z849" s="52"/>
      <c r="AA849" s="5"/>
      <c r="AB849" s="5"/>
      <c r="AI849"/>
    </row>
    <row r="850" spans="1:35" hidden="1" x14ac:dyDescent="0.3">
      <c r="A850" s="5" t="str">
        <f>VLOOKUP(B850,base!A:M,11,FALSE)</f>
        <v>TRIFÁSICO</v>
      </c>
      <c r="B850" t="s">
        <v>283</v>
      </c>
      <c r="C850" s="1">
        <v>6796411024</v>
      </c>
      <c r="D850" s="60">
        <v>62955505182257</v>
      </c>
      <c r="E850" s="63" t="s">
        <v>433</v>
      </c>
      <c r="F850" t="s">
        <v>434</v>
      </c>
      <c r="G850" s="4">
        <v>45689</v>
      </c>
      <c r="H850" s="4" t="str">
        <f>Faturamento!$B199&amp;Faturamento!$G199</f>
        <v>10/280638-845931</v>
      </c>
      <c r="I850" t="s">
        <v>435</v>
      </c>
      <c r="J850" s="37">
        <v>0</v>
      </c>
      <c r="K850" s="53"/>
      <c r="L850" s="53"/>
      <c r="M850" s="5" t="str">
        <f>IF(Faturamento!$S199&lt;&gt;"","Não emitido",IF(Faturamento!$I199="NÃO","Pendente Fatura", IF(Faturamento!$R199&lt;&gt;"","Aprovado",IF(Faturamento!$O199&lt;&gt;0,"Pendente Emissão","Processo de Calculo"))))</f>
        <v>Aprovado</v>
      </c>
      <c r="N850" s="3">
        <v>0</v>
      </c>
      <c r="O850" s="3">
        <v>0</v>
      </c>
      <c r="P850" s="4"/>
      <c r="Q850" s="4"/>
      <c r="S850" t="s">
        <v>436</v>
      </c>
      <c r="T850" s="51" t="s">
        <v>442</v>
      </c>
      <c r="U850" s="51"/>
      <c r="V850" t="s">
        <v>438</v>
      </c>
      <c r="W850" s="3">
        <v>0</v>
      </c>
      <c r="X850" s="123">
        <f>IF(Faturamento!$V78="Pago",IFERROR(W850-R850,0),0)</f>
        <v>0</v>
      </c>
      <c r="Y850" s="4"/>
      <c r="Z850" s="4"/>
      <c r="AA850" s="5"/>
      <c r="AB850" s="5"/>
      <c r="AI850"/>
    </row>
    <row r="851" spans="1:35" hidden="1" x14ac:dyDescent="0.3">
      <c r="A851" s="5" t="str">
        <f>VLOOKUP(B851,base!A:M,11,FALSE)</f>
        <v>TRIFÁSICO</v>
      </c>
      <c r="B851" s="37" t="s">
        <v>255</v>
      </c>
      <c r="C851" s="56">
        <v>67999361728</v>
      </c>
      <c r="D851" s="59">
        <v>62955505182257</v>
      </c>
      <c r="E851" s="37" t="s">
        <v>433</v>
      </c>
      <c r="F851" s="37" t="s">
        <v>434</v>
      </c>
      <c r="G851" s="52">
        <v>45689</v>
      </c>
      <c r="H851" s="52" t="str">
        <f>Faturamento!$B200&amp;Faturamento!$G200</f>
        <v>10/1035655-845901</v>
      </c>
      <c r="I851" s="37" t="s">
        <v>435</v>
      </c>
      <c r="J851" s="37">
        <v>0</v>
      </c>
      <c r="K851" s="53"/>
      <c r="L851" s="53"/>
      <c r="M851" s="5" t="str">
        <f>IF(Faturamento!$S200&lt;&gt;"","Não emitido",IF(Faturamento!$I200="NÃO","Pendente Fatura", IF(Faturamento!$R200&lt;&gt;"","Aprovado",IF(Faturamento!$O200&lt;&gt;0,"Pendente Emissão","Processo de Calculo"))))</f>
        <v>Aprovado</v>
      </c>
      <c r="N851" s="53">
        <v>0</v>
      </c>
      <c r="O851" s="53">
        <v>0</v>
      </c>
      <c r="P851" s="52"/>
      <c r="Q851" s="52"/>
      <c r="R851" s="53"/>
      <c r="S851" s="37" t="s">
        <v>436</v>
      </c>
      <c r="T851" s="51" t="s">
        <v>442</v>
      </c>
      <c r="U851" s="51"/>
      <c r="V851" s="37" t="s">
        <v>438</v>
      </c>
      <c r="W851" s="53">
        <v>0</v>
      </c>
      <c r="X851" s="123">
        <f>IF(Faturamento!$V79="Pago",IFERROR(W851-R851,0),0)</f>
        <v>0</v>
      </c>
      <c r="Y851" s="52"/>
      <c r="Z851" s="52"/>
      <c r="AA851" s="5"/>
      <c r="AB851" s="5"/>
      <c r="AI851"/>
    </row>
    <row r="852" spans="1:35" hidden="1" x14ac:dyDescent="0.3">
      <c r="A852" s="5" t="str">
        <f>VLOOKUP(B852,base!A:M,11,FALSE)</f>
        <v>TRIFÁSICO</v>
      </c>
      <c r="B852" t="s">
        <v>266</v>
      </c>
      <c r="C852" s="1">
        <v>67991060202</v>
      </c>
      <c r="D852" s="60">
        <v>62955505213233</v>
      </c>
      <c r="E852" s="63" t="s">
        <v>433</v>
      </c>
      <c r="F852" t="s">
        <v>434</v>
      </c>
      <c r="G852" s="4">
        <v>45689</v>
      </c>
      <c r="H852" s="4" t="str">
        <f>Faturamento!$B201&amp;Faturamento!$G201</f>
        <v>10/931327-145778</v>
      </c>
      <c r="I852" t="s">
        <v>435</v>
      </c>
      <c r="J852" s="37">
        <v>0</v>
      </c>
      <c r="K852" s="53"/>
      <c r="L852" s="53"/>
      <c r="M852" s="5" t="str">
        <f>IF(Faturamento!$S201&lt;&gt;"","Não emitido",IF(Faturamento!$I201="NÃO","Pendente Fatura", IF(Faturamento!$R201&lt;&gt;"","Aprovado",IF(Faturamento!$O201&lt;&gt;0,"Pendente Emissão","Processo de Calculo"))))</f>
        <v>Aprovado</v>
      </c>
      <c r="N852" s="3">
        <v>0</v>
      </c>
      <c r="O852" s="3">
        <v>0</v>
      </c>
      <c r="P852" s="4"/>
      <c r="Q852" s="4"/>
      <c r="S852" t="s">
        <v>436</v>
      </c>
      <c r="T852" s="51" t="s">
        <v>753</v>
      </c>
      <c r="U852" s="51"/>
      <c r="V852" t="s">
        <v>438</v>
      </c>
      <c r="W852" s="3">
        <v>0</v>
      </c>
      <c r="X852" s="123">
        <f>IF(Faturamento!$V80="Pago",IFERROR(W852-R852,0),0)</f>
        <v>0</v>
      </c>
      <c r="Y852" s="4"/>
      <c r="Z852" s="4"/>
      <c r="AA852" s="5"/>
      <c r="AB852" s="5"/>
      <c r="AI852"/>
    </row>
    <row r="853" spans="1:35" hidden="1" x14ac:dyDescent="0.3">
      <c r="A853" s="5" t="str">
        <f>VLOOKUP(B853,base!A:M,11,FALSE)</f>
        <v>BIFÁSICO</v>
      </c>
      <c r="B853" s="37" t="s">
        <v>318</v>
      </c>
      <c r="C853" s="56">
        <v>67999998719</v>
      </c>
      <c r="D853" s="59">
        <v>62955505015431</v>
      </c>
      <c r="E853" s="37" t="s">
        <v>433</v>
      </c>
      <c r="F853" s="37" t="s">
        <v>434</v>
      </c>
      <c r="G853" s="52">
        <v>45689</v>
      </c>
      <c r="H853" s="52" t="str">
        <f>Faturamento!$B202&amp;Faturamento!$G202</f>
        <v>10/29964-445809</v>
      </c>
      <c r="I853" s="37" t="s">
        <v>435</v>
      </c>
      <c r="J853" s="37">
        <v>0</v>
      </c>
      <c r="K853" s="53"/>
      <c r="L853" s="53"/>
      <c r="M853" s="5" t="str">
        <f>IF(Faturamento!$S202&lt;&gt;"","Não emitido",IF(Faturamento!$I202="NÃO","Pendente Fatura", IF(Faturamento!$R202&lt;&gt;"","Aprovado",IF(Faturamento!$O202&lt;&gt;0,"Pendente Emissão","Processo de Calculo"))))</f>
        <v>Aprovado</v>
      </c>
      <c r="N853" s="53">
        <v>0</v>
      </c>
      <c r="O853" s="53">
        <v>0</v>
      </c>
      <c r="P853" s="52"/>
      <c r="Q853" s="52"/>
      <c r="R853" s="53"/>
      <c r="S853" s="37" t="s">
        <v>436</v>
      </c>
      <c r="T853" s="51" t="s">
        <v>754</v>
      </c>
      <c r="U853" s="51"/>
      <c r="V853" s="37" t="s">
        <v>438</v>
      </c>
      <c r="W853" s="53">
        <v>0</v>
      </c>
      <c r="X853" s="123">
        <f>IF(Faturamento!$V81="Pago",IFERROR(W853-R853,0),0)</f>
        <v>0</v>
      </c>
      <c r="Y853" s="52"/>
      <c r="Z853" s="52"/>
      <c r="AA853" s="5"/>
      <c r="AB853" s="5"/>
      <c r="AI853"/>
    </row>
    <row r="854" spans="1:35" hidden="1" x14ac:dyDescent="0.3">
      <c r="A854" s="5" t="str">
        <f>VLOOKUP(B854,base!A:M,11,FALSE)</f>
        <v>TRIFÁSICO</v>
      </c>
      <c r="B854" t="s">
        <v>213</v>
      </c>
      <c r="C854" s="1">
        <v>67992637973</v>
      </c>
      <c r="D854" s="60">
        <v>62955505274020</v>
      </c>
      <c r="E854" s="63" t="s">
        <v>433</v>
      </c>
      <c r="F854" t="s">
        <v>434</v>
      </c>
      <c r="G854" s="4">
        <v>45689</v>
      </c>
      <c r="H854" s="4" t="str">
        <f>Faturamento!$B203&amp;Faturamento!$G203</f>
        <v>10/15297-545748</v>
      </c>
      <c r="I854" t="s">
        <v>435</v>
      </c>
      <c r="J854" s="37">
        <v>0</v>
      </c>
      <c r="K854" s="53"/>
      <c r="L854" s="53"/>
      <c r="M854" s="5" t="str">
        <f>IF(Faturamento!$S203&lt;&gt;"","Não emitido",IF(Faturamento!$I203="NÃO","Pendente Fatura", IF(Faturamento!$R203&lt;&gt;"","Aprovado",IF(Faturamento!$O203&lt;&gt;0,"Pendente Emissão","Processo de Calculo"))))</f>
        <v>Aprovado</v>
      </c>
      <c r="N854" s="3">
        <v>0</v>
      </c>
      <c r="O854" s="3">
        <v>0</v>
      </c>
      <c r="P854" s="4"/>
      <c r="Q854" s="4"/>
      <c r="S854" t="s">
        <v>436</v>
      </c>
      <c r="T854" s="51" t="s">
        <v>755</v>
      </c>
      <c r="U854" s="51"/>
      <c r="V854" t="s">
        <v>438</v>
      </c>
      <c r="W854" s="3">
        <v>0</v>
      </c>
      <c r="X854" s="123">
        <f>IF(Faturamento!$V82="Pago",IFERROR(W854-R854,0),0)</f>
        <v>0</v>
      </c>
      <c r="Y854" s="4"/>
      <c r="Z854" s="4"/>
      <c r="AA854" s="5"/>
      <c r="AB854" s="5"/>
      <c r="AI854"/>
    </row>
    <row r="855" spans="1:35" hidden="1" x14ac:dyDescent="0.3">
      <c r="A855" s="5" t="str">
        <f>VLOOKUP(B855,base!A:M,11,FALSE)</f>
        <v>TRIFÁSICO</v>
      </c>
      <c r="B855" t="s">
        <v>334</v>
      </c>
      <c r="C855" s="1" t="s">
        <v>336</v>
      </c>
      <c r="D855" s="60">
        <v>62955505015946</v>
      </c>
      <c r="E855" s="63" t="s">
        <v>433</v>
      </c>
      <c r="F855" t="s">
        <v>434</v>
      </c>
      <c r="G855" s="4">
        <v>45689</v>
      </c>
      <c r="H855" s="4" t="str">
        <f>Faturamento!$B205&amp;Faturamento!$G205</f>
        <v>10/3030784-745778</v>
      </c>
      <c r="I855" t="s">
        <v>435</v>
      </c>
      <c r="J855" s="37">
        <v>0</v>
      </c>
      <c r="K855" s="53"/>
      <c r="L855" s="53"/>
      <c r="M855" s="5" t="str">
        <f>IF(Faturamento!$S205&lt;&gt;"","Não emitido",IF(Faturamento!$I205="NÃO","Pendente Fatura", IF(Faturamento!$R205&lt;&gt;"","Aprovado",IF(Faturamento!$O205&lt;&gt;0,"Pendente Emissão","Processo de Calculo"))))</f>
        <v>Aprovado</v>
      </c>
      <c r="N855" s="3">
        <v>0</v>
      </c>
      <c r="O855" s="3">
        <v>0</v>
      </c>
      <c r="P855" s="4"/>
      <c r="Q855" s="4"/>
      <c r="S855" t="s">
        <v>436</v>
      </c>
      <c r="T855" s="51" t="s">
        <v>757</v>
      </c>
      <c r="U855" s="51"/>
      <c r="V855" t="s">
        <v>438</v>
      </c>
      <c r="W855" s="3">
        <v>0</v>
      </c>
      <c r="X855" s="123">
        <f>IF(Faturamento!$V83="Pago",IFERROR(W855-R855,0),0)</f>
        <v>0</v>
      </c>
      <c r="Y855" s="4"/>
      <c r="Z855" s="4"/>
      <c r="AA855" s="5"/>
      <c r="AB855" s="5"/>
      <c r="AI855"/>
    </row>
    <row r="856" spans="1:35" hidden="1" x14ac:dyDescent="0.3">
      <c r="A856" s="5" t="str">
        <f>VLOOKUP(B856,base!A:M,11,FALSE)</f>
        <v>TRIFÁSICO</v>
      </c>
      <c r="B856" s="37" t="s">
        <v>186</v>
      </c>
      <c r="C856" s="56" t="s">
        <v>403</v>
      </c>
      <c r="D856" s="59">
        <v>62955505016160</v>
      </c>
      <c r="E856" s="37" t="s">
        <v>433</v>
      </c>
      <c r="F856" s="37" t="s">
        <v>434</v>
      </c>
      <c r="G856" s="52">
        <v>45689</v>
      </c>
      <c r="H856" s="52" t="str">
        <f>Faturamento!$B206&amp;Faturamento!$G206</f>
        <v>10/3139326-745839</v>
      </c>
      <c r="I856" s="37" t="s">
        <v>435</v>
      </c>
      <c r="J856" s="37">
        <v>0</v>
      </c>
      <c r="K856" s="53"/>
      <c r="L856" s="53"/>
      <c r="M856" s="5" t="str">
        <f>IF(Faturamento!$S206&lt;&gt;"","Não emitido",IF(Faturamento!$I206="NÃO","Pendente Fatura", IF(Faturamento!$R206&lt;&gt;"","Aprovado",IF(Faturamento!$O206&lt;&gt;0,"Pendente Emissão","Processo de Calculo"))))</f>
        <v>Aprovado</v>
      </c>
      <c r="N856" s="53">
        <v>0</v>
      </c>
      <c r="O856" s="53">
        <v>0</v>
      </c>
      <c r="P856" s="52"/>
      <c r="Q856" s="52"/>
      <c r="R856" s="53"/>
      <c r="S856" s="37" t="s">
        <v>436</v>
      </c>
      <c r="T856" s="51" t="s">
        <v>758</v>
      </c>
      <c r="U856" s="51"/>
      <c r="V856" s="37" t="s">
        <v>438</v>
      </c>
      <c r="W856" s="53">
        <v>0</v>
      </c>
      <c r="X856" s="123">
        <f>IF(Faturamento!$V84="Pago",IFERROR(W856-R856,0),0)</f>
        <v>0</v>
      </c>
      <c r="Y856" s="52"/>
      <c r="Z856" s="52"/>
      <c r="AA856" s="5"/>
      <c r="AB856" s="5"/>
      <c r="AI856"/>
    </row>
    <row r="857" spans="1:35" hidden="1" x14ac:dyDescent="0.3">
      <c r="A857" s="5" t="str">
        <f>VLOOKUP(B857,base!A:M,11,FALSE)</f>
        <v>TRIFÁSICO</v>
      </c>
      <c r="B857" t="s">
        <v>324</v>
      </c>
      <c r="C857" s="1">
        <v>67996071169</v>
      </c>
      <c r="D857" s="60">
        <v>62955505136492</v>
      </c>
      <c r="E857" s="63" t="s">
        <v>433</v>
      </c>
      <c r="F857" t="s">
        <v>434</v>
      </c>
      <c r="G857" s="4">
        <v>45689</v>
      </c>
      <c r="H857" s="4" t="str">
        <f>Faturamento!$B207&amp;Faturamento!$G207</f>
        <v>10/156956-545658</v>
      </c>
      <c r="I857" t="s">
        <v>435</v>
      </c>
      <c r="J857" s="37">
        <v>0</v>
      </c>
      <c r="K857" s="53"/>
      <c r="L857" s="53"/>
      <c r="M857" s="5" t="str">
        <f>IF(Faturamento!$S207&lt;&gt;"","Não emitido",IF(Faturamento!$I207="NÃO","Pendente Fatura", IF(Faturamento!$R207&lt;&gt;"","Aprovado",IF(Faturamento!$O207&lt;&gt;0,"Pendente Emissão","Processo de Calculo"))))</f>
        <v>Aprovado</v>
      </c>
      <c r="N857" s="3">
        <v>0</v>
      </c>
      <c r="O857" s="3">
        <v>0</v>
      </c>
      <c r="P857" s="4"/>
      <c r="Q857" s="4"/>
      <c r="S857" t="s">
        <v>436</v>
      </c>
      <c r="T857" s="51" t="s">
        <v>759</v>
      </c>
      <c r="U857" s="51"/>
      <c r="V857" t="s">
        <v>438</v>
      </c>
      <c r="W857" s="3">
        <v>0</v>
      </c>
      <c r="X857" s="123">
        <f>IF(Faturamento!$V85="Pago",IFERROR(W857-R857,0),0)</f>
        <v>0</v>
      </c>
      <c r="Y857" s="4"/>
      <c r="Z857" s="4"/>
      <c r="AA857" s="5"/>
      <c r="AB857" s="5"/>
      <c r="AI857"/>
    </row>
    <row r="858" spans="1:35" hidden="1" x14ac:dyDescent="0.3">
      <c r="A858" s="5" t="str">
        <f>VLOOKUP(B858,base!A:M,11,FALSE)</f>
        <v>BIFÁSICO</v>
      </c>
      <c r="B858" s="37" t="s">
        <v>268</v>
      </c>
      <c r="C858" s="56">
        <v>67996859014</v>
      </c>
      <c r="D858" s="59">
        <v>62955505177504</v>
      </c>
      <c r="E858" s="37" t="s">
        <v>433</v>
      </c>
      <c r="F858" s="37" t="s">
        <v>434</v>
      </c>
      <c r="G858" s="52">
        <v>45689</v>
      </c>
      <c r="H858" s="52" t="str">
        <f>Faturamento!$B208&amp;Faturamento!$G208</f>
        <v>10/489076-045870</v>
      </c>
      <c r="I858" s="37" t="s">
        <v>435</v>
      </c>
      <c r="J858" s="37">
        <v>0</v>
      </c>
      <c r="K858" s="53"/>
      <c r="L858" s="53"/>
      <c r="M858" s="5" t="str">
        <f>IF(Faturamento!$S208&lt;&gt;"","Não emitido",IF(Faturamento!$I208="NÃO","Pendente Fatura", IF(Faturamento!$R208&lt;&gt;"","Aprovado",IF(Faturamento!$O208&lt;&gt;0,"Pendente Emissão","Processo de Calculo"))))</f>
        <v>Aprovado</v>
      </c>
      <c r="N858" s="53">
        <v>0</v>
      </c>
      <c r="O858" s="53">
        <v>0</v>
      </c>
      <c r="P858" s="52"/>
      <c r="Q858" s="52"/>
      <c r="R858" s="53"/>
      <c r="S858" s="37" t="s">
        <v>436</v>
      </c>
      <c r="T858" s="51" t="s">
        <v>513</v>
      </c>
      <c r="U858" s="51"/>
      <c r="V858" s="37" t="s">
        <v>438</v>
      </c>
      <c r="W858" s="53">
        <v>0</v>
      </c>
      <c r="X858" s="123">
        <f>IF(Faturamento!$V86="Pago",IFERROR(W858-R858,0),0)</f>
        <v>0</v>
      </c>
      <c r="Y858" s="52"/>
      <c r="Z858" s="52"/>
      <c r="AA858" s="5"/>
      <c r="AB858" s="5"/>
      <c r="AI858"/>
    </row>
    <row r="859" spans="1:35" hidden="1" x14ac:dyDescent="0.3">
      <c r="A859" s="5" t="str">
        <f>VLOOKUP(B859,base!A:M,11,FALSE)</f>
        <v>TRIFÁSICO</v>
      </c>
      <c r="B859" t="s">
        <v>146</v>
      </c>
      <c r="C859" s="1">
        <v>67991306665</v>
      </c>
      <c r="D859" s="60">
        <v>62955505379395</v>
      </c>
      <c r="E859" s="63" t="s">
        <v>433</v>
      </c>
      <c r="F859" t="s">
        <v>434</v>
      </c>
      <c r="G859" s="4">
        <v>45689</v>
      </c>
      <c r="H859" s="4" t="str">
        <f>Faturamento!$B209&amp;Faturamento!$G209</f>
        <v>10/260761-245870</v>
      </c>
      <c r="I859" t="s">
        <v>435</v>
      </c>
      <c r="J859" s="37">
        <v>0</v>
      </c>
      <c r="K859" s="53"/>
      <c r="L859" s="53"/>
      <c r="M859" s="5" t="str">
        <f>IF(Faturamento!$S209&lt;&gt;"","Não emitido",IF(Faturamento!$I209="NÃO","Pendente Fatura", IF(Faturamento!$R209&lt;&gt;"","Aprovado",IF(Faturamento!$O209&lt;&gt;0,"Pendente Emissão","Processo de Calculo"))))</f>
        <v>Aprovado</v>
      </c>
      <c r="N859" s="3">
        <v>0</v>
      </c>
      <c r="O859" s="3">
        <v>0</v>
      </c>
      <c r="P859" s="4"/>
      <c r="Q859" s="4"/>
      <c r="S859" t="s">
        <v>436</v>
      </c>
      <c r="T859" s="51" t="s">
        <v>507</v>
      </c>
      <c r="U859" s="51"/>
      <c r="V859" t="s">
        <v>438</v>
      </c>
      <c r="W859" s="3">
        <v>0</v>
      </c>
      <c r="X859" s="123">
        <f>IF(Faturamento!$V87="Pago",IFERROR(W859-R859,0),0)</f>
        <v>0</v>
      </c>
      <c r="Y859" s="4"/>
      <c r="Z859" s="4"/>
      <c r="AA859" s="5"/>
      <c r="AB859" s="5"/>
      <c r="AI859"/>
    </row>
    <row r="860" spans="1:35" hidden="1" x14ac:dyDescent="0.3">
      <c r="A860" s="5" t="str">
        <f>VLOOKUP(B860,base!A:M,11,FALSE)</f>
        <v>TRIFÁSICO</v>
      </c>
      <c r="B860" s="37" t="s">
        <v>148</v>
      </c>
      <c r="C860" s="56">
        <v>67996150274</v>
      </c>
      <c r="D860" s="59">
        <v>62955505331198</v>
      </c>
      <c r="E860" s="37" t="s">
        <v>433</v>
      </c>
      <c r="F860" s="37" t="s">
        <v>434</v>
      </c>
      <c r="G860" s="52">
        <v>45689</v>
      </c>
      <c r="H860" s="52" t="str">
        <f>Faturamento!$B212&amp;Faturamento!$G212</f>
        <v>10/257864-945901</v>
      </c>
      <c r="I860" s="37" t="s">
        <v>435</v>
      </c>
      <c r="J860" s="37">
        <v>0</v>
      </c>
      <c r="K860" s="53"/>
      <c r="L860" s="53"/>
      <c r="M860" s="5" t="str">
        <f>IF(Faturamento!$S212&lt;&gt;"","Não emitido",IF(Faturamento!$I212="NÃO","Pendente Fatura", IF(Faturamento!$R212&lt;&gt;"","Aprovado",IF(Faturamento!$O212&lt;&gt;0,"Pendente Emissão","Processo de Calculo"))))</f>
        <v>Aprovado</v>
      </c>
      <c r="N860" s="53">
        <v>0</v>
      </c>
      <c r="O860" s="53">
        <v>0</v>
      </c>
      <c r="P860" s="52"/>
      <c r="Q860" s="52"/>
      <c r="R860" s="53"/>
      <c r="S860" s="37" t="s">
        <v>436</v>
      </c>
      <c r="T860" s="51" t="s">
        <v>761</v>
      </c>
      <c r="U860" s="51"/>
      <c r="V860" s="37" t="s">
        <v>438</v>
      </c>
      <c r="W860" s="53">
        <v>0</v>
      </c>
      <c r="X860" s="123">
        <f>IF(Faturamento!$V89="Pago",IFERROR(W860-R860,0),0)</f>
        <v>0</v>
      </c>
      <c r="Y860" s="52"/>
      <c r="Z860" s="52"/>
      <c r="AA860" s="5"/>
      <c r="AB860" s="5"/>
      <c r="AI860"/>
    </row>
    <row r="861" spans="1:35" hidden="1" x14ac:dyDescent="0.3">
      <c r="A861" s="5" t="str">
        <f>VLOOKUP(B861,base!A:M,11,FALSE)</f>
        <v>TRIFÁSICO</v>
      </c>
      <c r="B861" t="s">
        <v>211</v>
      </c>
      <c r="C861" s="1">
        <v>67996266684</v>
      </c>
      <c r="D861" s="60">
        <v>62955505157066</v>
      </c>
      <c r="E861" s="63" t="s">
        <v>433</v>
      </c>
      <c r="F861" t="s">
        <v>434</v>
      </c>
      <c r="G861" s="4">
        <v>45689</v>
      </c>
      <c r="H861" s="4" t="str">
        <f>Faturamento!$B213&amp;Faturamento!$G213</f>
        <v>10/3040565-845901</v>
      </c>
      <c r="I861" t="s">
        <v>435</v>
      </c>
      <c r="J861" s="37">
        <v>0</v>
      </c>
      <c r="K861" s="53"/>
      <c r="L861" s="53"/>
      <c r="M861" s="5" t="str">
        <f>IF(Faturamento!$S213&lt;&gt;"","Não emitido",IF(Faturamento!$I213="NÃO","Pendente Fatura", IF(Faturamento!$R213&lt;&gt;"","Aprovado",IF(Faturamento!$O213&lt;&gt;0,"Pendente Emissão","Processo de Calculo"))))</f>
        <v>Aprovado</v>
      </c>
      <c r="N861" s="3">
        <v>0</v>
      </c>
      <c r="O861" s="3">
        <v>0</v>
      </c>
      <c r="P861" s="4"/>
      <c r="Q861" s="4"/>
      <c r="S861" t="s">
        <v>436</v>
      </c>
      <c r="T861" s="51" t="s">
        <v>762</v>
      </c>
      <c r="U861" s="51"/>
      <c r="V861" t="s">
        <v>438</v>
      </c>
      <c r="W861" s="3">
        <v>0</v>
      </c>
      <c r="X861" s="123">
        <f>IF(Faturamento!$V90="Pago",IFERROR(W861-R861,0),0)</f>
        <v>0</v>
      </c>
      <c r="Y861" s="4"/>
      <c r="Z861" s="4"/>
      <c r="AA861" s="5"/>
      <c r="AB861" s="5"/>
      <c r="AI861"/>
    </row>
    <row r="862" spans="1:35" hidden="1" x14ac:dyDescent="0.3">
      <c r="A862" s="5" t="str">
        <f>VLOOKUP(B862,base!A:M,11,FALSE)</f>
        <v>BIFÁSICO</v>
      </c>
      <c r="B862" t="s">
        <v>158</v>
      </c>
      <c r="C862" s="1">
        <v>67996266684</v>
      </c>
      <c r="D862" s="60">
        <v>62955505197521</v>
      </c>
      <c r="E862" s="63" t="s">
        <v>433</v>
      </c>
      <c r="F862" t="s">
        <v>434</v>
      </c>
      <c r="G862" s="4">
        <v>45689</v>
      </c>
      <c r="H862" s="4" t="str">
        <f>Faturamento!$B215&amp;Faturamento!$G215</f>
        <v>10/15297-545870</v>
      </c>
      <c r="I862" t="s">
        <v>435</v>
      </c>
      <c r="J862" s="37">
        <v>0</v>
      </c>
      <c r="K862" s="53"/>
      <c r="L862" s="53"/>
      <c r="M862" s="5" t="str">
        <f>IF(Faturamento!$S215&lt;&gt;"","Não emitido",IF(Faturamento!$I215="NÃO","Pendente Fatura", IF(Faturamento!$R215&lt;&gt;"","Aprovado",IF(Faturamento!$O215&lt;&gt;0,"Pendente Emissão","Processo de Calculo"))))</f>
        <v>Aprovado</v>
      </c>
      <c r="N862" s="3">
        <v>0</v>
      </c>
      <c r="O862" s="3">
        <v>0</v>
      </c>
      <c r="P862" s="4"/>
      <c r="Q862" s="4"/>
      <c r="S862" t="s">
        <v>436</v>
      </c>
      <c r="T862" s="51" t="s">
        <v>764</v>
      </c>
      <c r="U862" s="51"/>
      <c r="V862" t="s">
        <v>438</v>
      </c>
      <c r="W862" s="3">
        <v>0</v>
      </c>
      <c r="X862" s="123">
        <f>IF(Faturamento!$V92="Pago",IFERROR(W862-R862,0),0)</f>
        <v>0</v>
      </c>
      <c r="Y862" s="4"/>
      <c r="Z862" s="4"/>
      <c r="AA862" s="5"/>
      <c r="AB862" s="5"/>
      <c r="AI862"/>
    </row>
    <row r="863" spans="1:35" hidden="1" x14ac:dyDescent="0.3">
      <c r="A863" s="5" t="str">
        <f>VLOOKUP(B863,base!A:M,11,FALSE)</f>
        <v>TRIFÁSICO</v>
      </c>
      <c r="B863" s="37" t="s">
        <v>320</v>
      </c>
      <c r="C863" s="56">
        <v>67981263396</v>
      </c>
      <c r="D863" s="59">
        <v>62955505135500</v>
      </c>
      <c r="E863" s="37" t="s">
        <v>433</v>
      </c>
      <c r="F863" s="37" t="s">
        <v>434</v>
      </c>
      <c r="G863" s="52">
        <v>45689</v>
      </c>
      <c r="H863" s="52" t="str">
        <f>Faturamento!$B216&amp;Faturamento!$G216</f>
        <v>10/532723-445748</v>
      </c>
      <c r="I863" s="37" t="s">
        <v>435</v>
      </c>
      <c r="J863" s="37">
        <v>0</v>
      </c>
      <c r="K863" s="53"/>
      <c r="L863" s="53"/>
      <c r="M863" s="5" t="str">
        <f>IF(Faturamento!$S216&lt;&gt;"","Não emitido",IF(Faturamento!$I216="NÃO","Pendente Fatura", IF(Faturamento!$R216&lt;&gt;"","Aprovado",IF(Faturamento!$O216&lt;&gt;0,"Pendente Emissão","Processo de Calculo"))))</f>
        <v>Aprovado</v>
      </c>
      <c r="N863" s="53">
        <v>0</v>
      </c>
      <c r="O863" s="53">
        <v>0</v>
      </c>
      <c r="P863" s="52"/>
      <c r="Q863" s="52"/>
      <c r="R863" s="53"/>
      <c r="S863" s="37" t="s">
        <v>436</v>
      </c>
      <c r="T863" s="51" t="s">
        <v>697</v>
      </c>
      <c r="U863" s="51"/>
      <c r="V863" s="37" t="s">
        <v>438</v>
      </c>
      <c r="W863" s="53">
        <v>0</v>
      </c>
      <c r="X863" s="123">
        <f>IF(Faturamento!$V93="Pago",IFERROR(W863-R863,0),0)</f>
        <v>0</v>
      </c>
      <c r="Y863" s="52"/>
      <c r="Z863" s="52"/>
      <c r="AA863" s="5"/>
      <c r="AB863" s="5"/>
      <c r="AI863"/>
    </row>
    <row r="864" spans="1:35" hidden="1" x14ac:dyDescent="0.3">
      <c r="A864" s="5" t="str">
        <f>VLOOKUP(B864,base!A:M,11,FALSE)</f>
        <v>TRIFÁSICO</v>
      </c>
      <c r="B864" t="s">
        <v>247</v>
      </c>
      <c r="C864" s="1">
        <v>67999516782</v>
      </c>
      <c r="D864" s="60">
        <v>62955505375721</v>
      </c>
      <c r="E864" s="63" t="s">
        <v>433</v>
      </c>
      <c r="F864" t="s">
        <v>434</v>
      </c>
      <c r="G864" s="4">
        <v>45689</v>
      </c>
      <c r="H864" s="4" t="str">
        <f>Faturamento!$B217&amp;Faturamento!$G217</f>
        <v>10/3040565-845931</v>
      </c>
      <c r="I864" t="s">
        <v>435</v>
      </c>
      <c r="J864" s="37">
        <v>0</v>
      </c>
      <c r="K864" s="53"/>
      <c r="L864" s="53"/>
      <c r="M864" s="5" t="str">
        <f>IF(Faturamento!$S217&lt;&gt;"","Não emitido",IF(Faturamento!$I217="NÃO","Pendente Fatura", IF(Faturamento!$R217&lt;&gt;"","Aprovado",IF(Faturamento!$O217&lt;&gt;0,"Pendente Emissão","Processo de Calculo"))))</f>
        <v>Aprovado</v>
      </c>
      <c r="N864" s="3">
        <v>0</v>
      </c>
      <c r="O864" s="3">
        <v>0</v>
      </c>
      <c r="P864" s="4"/>
      <c r="Q864" s="4"/>
      <c r="S864" t="s">
        <v>436</v>
      </c>
      <c r="T864" s="51" t="s">
        <v>765</v>
      </c>
      <c r="U864" s="51"/>
      <c r="V864" t="s">
        <v>438</v>
      </c>
      <c r="W864" s="3">
        <v>0</v>
      </c>
      <c r="X864" s="123">
        <f>IF(Faturamento!$V94="Pago",IFERROR(W864-R864,0),0)</f>
        <v>0</v>
      </c>
      <c r="Y864" s="4"/>
      <c r="Z864" s="4"/>
      <c r="AA864" s="5"/>
      <c r="AB864" s="5"/>
      <c r="AI864"/>
    </row>
    <row r="865" spans="1:35" hidden="1" x14ac:dyDescent="0.3">
      <c r="A865" s="5" t="str">
        <f>VLOOKUP(B865,base!A:M,11,FALSE)</f>
        <v>BIFÁSICO</v>
      </c>
      <c r="B865" s="37" t="s">
        <v>153</v>
      </c>
      <c r="C865" s="56" t="s">
        <v>154</v>
      </c>
      <c r="D865" s="59">
        <v>62955505405140</v>
      </c>
      <c r="E865" s="37" t="s">
        <v>433</v>
      </c>
      <c r="F865" s="37" t="s">
        <v>434</v>
      </c>
      <c r="G865" s="52">
        <v>45689</v>
      </c>
      <c r="H865" s="52" t="str">
        <f>Faturamento!$B218&amp;Faturamento!$G218</f>
        <v>10/142353-245778</v>
      </c>
      <c r="I865" s="37" t="s">
        <v>435</v>
      </c>
      <c r="J865" s="37">
        <v>0</v>
      </c>
      <c r="K865" s="53"/>
      <c r="L865" s="53"/>
      <c r="M865" s="5" t="str">
        <f>IF(Faturamento!$S218&lt;&gt;"","Não emitido",IF(Faturamento!$I218="NÃO","Pendente Fatura", IF(Faturamento!$R218&lt;&gt;"","Aprovado",IF(Faturamento!$O218&lt;&gt;0,"Pendente Emissão","Processo de Calculo"))))</f>
        <v>Aprovado</v>
      </c>
      <c r="N865" s="53">
        <v>0</v>
      </c>
      <c r="O865" s="53">
        <v>0</v>
      </c>
      <c r="P865" s="52"/>
      <c r="Q865" s="52"/>
      <c r="R865" s="53"/>
      <c r="S865" s="37" t="s">
        <v>436</v>
      </c>
      <c r="T865" s="51" t="s">
        <v>766</v>
      </c>
      <c r="U865" s="51"/>
      <c r="V865" s="37" t="s">
        <v>438</v>
      </c>
      <c r="W865" s="53">
        <v>0</v>
      </c>
      <c r="X865" s="123">
        <f>IF(Faturamento!$V95="Pago",IFERROR(W865-R865,0),0)</f>
        <v>0</v>
      </c>
      <c r="Y865" s="52"/>
      <c r="Z865" s="52"/>
      <c r="AA865" s="5"/>
      <c r="AB865" s="5"/>
      <c r="AI865"/>
    </row>
    <row r="866" spans="1:35" hidden="1" x14ac:dyDescent="0.3">
      <c r="A866" s="5" t="e">
        <f>VLOOKUP(B866,base!A:M,11,FALSE)</f>
        <v>#N/A</v>
      </c>
      <c r="B866" t="s">
        <v>698</v>
      </c>
      <c r="C866" s="1" t="e">
        <v>#N/A</v>
      </c>
      <c r="D866" s="60">
        <v>62955505017213</v>
      </c>
      <c r="E866" s="63" t="s">
        <v>433</v>
      </c>
      <c r="F866" t="s">
        <v>434</v>
      </c>
      <c r="G866" s="4">
        <v>45689</v>
      </c>
      <c r="H866" s="4" t="str">
        <f>Faturamento!$B219&amp;Faturamento!$G219</f>
        <v>10/3123706-845839</v>
      </c>
      <c r="I866" t="s">
        <v>435</v>
      </c>
      <c r="J866" s="37">
        <v>0</v>
      </c>
      <c r="K866" s="53"/>
      <c r="L866" s="53"/>
      <c r="M866" s="5" t="str">
        <f>IF(Faturamento!$S219&lt;&gt;"","Não emitido",IF(Faturamento!$I219="NÃO","Pendente Fatura", IF(Faturamento!$R219&lt;&gt;"","Aprovado",IF(Faturamento!$O219&lt;&gt;0,"Pendente Emissão","Processo de Calculo"))))</f>
        <v>Aprovado</v>
      </c>
      <c r="N866" s="3">
        <v>0</v>
      </c>
      <c r="O866" s="3">
        <v>0</v>
      </c>
      <c r="P866" s="4"/>
      <c r="Q866" s="4"/>
      <c r="S866" t="s">
        <v>436</v>
      </c>
      <c r="T866" s="51" t="s">
        <v>474</v>
      </c>
      <c r="U866" s="51"/>
      <c r="V866" t="s">
        <v>438</v>
      </c>
      <c r="W866" s="3">
        <v>0</v>
      </c>
      <c r="X866" s="123">
        <f>IF(Faturamento!$V96="Pago",IFERROR(W866-R866,0),0)</f>
        <v>0</v>
      </c>
      <c r="Y866" s="4"/>
      <c r="Z866" s="4"/>
      <c r="AA866" s="5"/>
      <c r="AB866" s="5"/>
      <c r="AI866"/>
    </row>
    <row r="867" spans="1:35" hidden="1" x14ac:dyDescent="0.3">
      <c r="A867" s="5" t="str">
        <f>VLOOKUP(B867,base!A:M,11,FALSE)</f>
        <v>BIFÁSICO</v>
      </c>
      <c r="B867" s="37" t="s">
        <v>271</v>
      </c>
      <c r="C867" s="56">
        <v>67996687077</v>
      </c>
      <c r="D867" s="59">
        <v>62955505269026</v>
      </c>
      <c r="E867" s="37" t="s">
        <v>433</v>
      </c>
      <c r="F867" s="37" t="s">
        <v>434</v>
      </c>
      <c r="G867" s="52">
        <v>45689</v>
      </c>
      <c r="H867" s="52" t="str">
        <f>Faturamento!$B220&amp;Faturamento!$G220</f>
        <v>10/127464-645809</v>
      </c>
      <c r="I867" s="37" t="s">
        <v>435</v>
      </c>
      <c r="J867" s="37">
        <v>0</v>
      </c>
      <c r="K867" s="53"/>
      <c r="L867" s="53"/>
      <c r="M867" s="5" t="str">
        <f>IF(Faturamento!$S220&lt;&gt;"","Não emitido",IF(Faturamento!$I220="NÃO","Pendente Fatura", IF(Faturamento!$R220&lt;&gt;"","Aprovado",IF(Faturamento!$O220&lt;&gt;0,"Pendente Emissão","Processo de Calculo"))))</f>
        <v>Aprovado</v>
      </c>
      <c r="N867" s="53">
        <v>0</v>
      </c>
      <c r="O867" s="53">
        <v>0</v>
      </c>
      <c r="P867" s="52"/>
      <c r="Q867" s="52"/>
      <c r="R867" s="53"/>
      <c r="S867" s="37" t="s">
        <v>436</v>
      </c>
      <c r="T867" s="51" t="s">
        <v>767</v>
      </c>
      <c r="U867" s="51"/>
      <c r="V867" s="37" t="s">
        <v>438</v>
      </c>
      <c r="W867" s="53">
        <v>0</v>
      </c>
      <c r="X867" s="123">
        <f>IF(Faturamento!$V97="Pago",IFERROR(W867-R867,0),0)</f>
        <v>0</v>
      </c>
      <c r="Y867" s="52"/>
      <c r="Z867" s="52"/>
      <c r="AA867" s="5"/>
      <c r="AB867" s="5"/>
      <c r="AI867"/>
    </row>
    <row r="868" spans="1:35" hidden="1" x14ac:dyDescent="0.3">
      <c r="A868" s="5" t="str">
        <f>VLOOKUP(B868,base!A:M,11,FALSE)</f>
        <v>TRIFÁSICO</v>
      </c>
      <c r="B868" t="s">
        <v>307</v>
      </c>
      <c r="C868" s="1">
        <v>67996983476</v>
      </c>
      <c r="D868" s="60">
        <v>62955505182257</v>
      </c>
      <c r="E868" s="63" t="s">
        <v>433</v>
      </c>
      <c r="F868" t="s">
        <v>434</v>
      </c>
      <c r="G868" s="4">
        <v>45689</v>
      </c>
      <c r="H868" s="4" t="str">
        <f>Faturamento!$B221&amp;Faturamento!$G221</f>
        <v>10/142353-245931</v>
      </c>
      <c r="I868" t="s">
        <v>435</v>
      </c>
      <c r="J868" s="37">
        <v>0</v>
      </c>
      <c r="K868" s="53"/>
      <c r="L868" s="53"/>
      <c r="M868" s="5" t="str">
        <f>IF(Faturamento!$S221&lt;&gt;"","Não emitido",IF(Faturamento!$I221="NÃO","Pendente Fatura", IF(Faturamento!$R221&lt;&gt;"","Aprovado",IF(Faturamento!$O221&lt;&gt;0,"Pendente Emissão","Processo de Calculo"))))</f>
        <v>Aprovado</v>
      </c>
      <c r="N868" s="3">
        <v>0</v>
      </c>
      <c r="O868" s="3">
        <v>0</v>
      </c>
      <c r="P868" s="4"/>
      <c r="Q868" s="4"/>
      <c r="S868" t="s">
        <v>436</v>
      </c>
      <c r="T868" s="51" t="s">
        <v>442</v>
      </c>
      <c r="U868" s="51"/>
      <c r="V868" t="s">
        <v>438</v>
      </c>
      <c r="W868" s="3">
        <v>0</v>
      </c>
      <c r="X868" s="123">
        <f>IF(Faturamento!$V98="Pago",IFERROR(W868-R868,0),0)</f>
        <v>0</v>
      </c>
      <c r="Y868" s="4"/>
      <c r="Z868" s="4"/>
      <c r="AA868" s="5"/>
      <c r="AB868" s="5"/>
      <c r="AI868"/>
    </row>
    <row r="869" spans="1:35" hidden="1" x14ac:dyDescent="0.3">
      <c r="A869" s="5" t="str">
        <f>VLOOKUP(B869,base!A:M,11,FALSE)</f>
        <v>BIFÁSICO</v>
      </c>
      <c r="B869" s="37" t="s">
        <v>257</v>
      </c>
      <c r="C869" s="56">
        <v>67993249456</v>
      </c>
      <c r="D869" s="59">
        <v>62955505239119</v>
      </c>
      <c r="E869" s="37" t="s">
        <v>433</v>
      </c>
      <c r="F869" s="37" t="s">
        <v>434</v>
      </c>
      <c r="G869" s="52">
        <v>45689</v>
      </c>
      <c r="H869" s="52" t="str">
        <f>Faturamento!$B222&amp;Faturamento!$G222</f>
        <v>10/3005226-045689</v>
      </c>
      <c r="I869" s="37" t="s">
        <v>435</v>
      </c>
      <c r="J869" s="37">
        <v>0</v>
      </c>
      <c r="K869" s="53"/>
      <c r="L869" s="53"/>
      <c r="M869" s="5" t="str">
        <f>IF(Faturamento!$S222&lt;&gt;"","Não emitido",IF(Faturamento!$I222="NÃO","Pendente Fatura", IF(Faturamento!$R222&lt;&gt;"","Aprovado",IF(Faturamento!$O222&lt;&gt;0,"Pendente Emissão","Processo de Calculo"))))</f>
        <v>Não emitido</v>
      </c>
      <c r="N869" s="53">
        <v>0</v>
      </c>
      <c r="O869" s="53">
        <v>0</v>
      </c>
      <c r="P869" s="52"/>
      <c r="Q869" s="52"/>
      <c r="R869" s="53"/>
      <c r="S869" s="37" t="s">
        <v>436</v>
      </c>
      <c r="T869" s="51" t="s">
        <v>768</v>
      </c>
      <c r="U869" s="51"/>
      <c r="V869" s="37" t="s">
        <v>438</v>
      </c>
      <c r="W869" s="53">
        <v>0</v>
      </c>
      <c r="X869" s="123">
        <f>IF(Faturamento!$V99="Pago",IFERROR(W869-R869,0),0)</f>
        <v>0</v>
      </c>
      <c r="Y869" s="52"/>
      <c r="Z869" s="52"/>
      <c r="AA869" s="5"/>
      <c r="AB869" s="5"/>
      <c r="AI869"/>
    </row>
    <row r="870" spans="1:35" hidden="1" x14ac:dyDescent="0.3">
      <c r="A870" s="5" t="str">
        <f>VLOOKUP(B870,base!A:M,11,FALSE)</f>
        <v>TRIFÁSICO</v>
      </c>
      <c r="B870" t="s">
        <v>299</v>
      </c>
      <c r="C870" s="1" t="s">
        <v>175</v>
      </c>
      <c r="D870" s="60">
        <v>62955505189340</v>
      </c>
      <c r="E870" s="63" t="s">
        <v>433</v>
      </c>
      <c r="F870" t="s">
        <v>434</v>
      </c>
      <c r="G870" s="4">
        <v>45689</v>
      </c>
      <c r="H870" s="4" t="str">
        <f>Faturamento!$B223&amp;Faturamento!$G223</f>
        <v>10/81222-245748</v>
      </c>
      <c r="I870" t="s">
        <v>435</v>
      </c>
      <c r="J870" s="37">
        <v>0</v>
      </c>
      <c r="K870" s="53"/>
      <c r="L870" s="53"/>
      <c r="M870" s="5" t="str">
        <f>IF(Faturamento!$S223&lt;&gt;"","Não emitido",IF(Faturamento!$I223="NÃO","Pendente Fatura", IF(Faturamento!$R223&lt;&gt;"","Aprovado",IF(Faturamento!$O223&lt;&gt;0,"Pendente Emissão","Processo de Calculo"))))</f>
        <v>Aprovado</v>
      </c>
      <c r="N870" s="3">
        <v>0</v>
      </c>
      <c r="O870" s="3">
        <v>0</v>
      </c>
      <c r="P870" s="4"/>
      <c r="Q870" s="4"/>
      <c r="S870" t="s">
        <v>436</v>
      </c>
      <c r="T870" s="51" t="s">
        <v>769</v>
      </c>
      <c r="U870" s="51"/>
      <c r="V870" t="s">
        <v>438</v>
      </c>
      <c r="W870" s="3">
        <v>0</v>
      </c>
      <c r="X870" s="123">
        <f>IF(Faturamento!$V100="Pago",IFERROR(W870-R870,0),0)</f>
        <v>0</v>
      </c>
      <c r="Y870" s="4"/>
      <c r="Z870" s="4"/>
      <c r="AA870" s="5"/>
      <c r="AB870" s="5"/>
      <c r="AI870"/>
    </row>
    <row r="871" spans="1:35" hidden="1" x14ac:dyDescent="0.3">
      <c r="A871" s="5" t="str">
        <f>VLOOKUP(B871,base!A:M,11,FALSE)</f>
        <v>BIFÁSICO</v>
      </c>
      <c r="B871" t="s">
        <v>208</v>
      </c>
      <c r="C871" s="1">
        <v>67996711972</v>
      </c>
      <c r="D871" s="60">
        <v>62955505016594</v>
      </c>
      <c r="E871" s="63" t="s">
        <v>433</v>
      </c>
      <c r="F871" t="s">
        <v>434</v>
      </c>
      <c r="G871" s="4">
        <v>45689</v>
      </c>
      <c r="H871" s="4" t="str">
        <f>Faturamento!$B225&amp;Faturamento!$G225</f>
        <v>10/3030784-745901</v>
      </c>
      <c r="I871" t="s">
        <v>435</v>
      </c>
      <c r="J871" s="37">
        <v>0</v>
      </c>
      <c r="K871" s="53"/>
      <c r="L871" s="53"/>
      <c r="M871" s="5" t="str">
        <f>IF(Faturamento!$S225&lt;&gt;"","Não emitido",IF(Faturamento!$I225="NÃO","Pendente Fatura", IF(Faturamento!$R225&lt;&gt;"","Aprovado",IF(Faturamento!$O225&lt;&gt;0,"Pendente Emissão","Processo de Calculo"))))</f>
        <v>Aprovado</v>
      </c>
      <c r="N871" s="3">
        <v>0</v>
      </c>
      <c r="O871" s="3">
        <v>0</v>
      </c>
      <c r="P871" s="4"/>
      <c r="Q871" s="4"/>
      <c r="S871" t="s">
        <v>436</v>
      </c>
      <c r="T871" s="51" t="s">
        <v>771</v>
      </c>
      <c r="U871" s="51"/>
      <c r="V871" t="s">
        <v>438</v>
      </c>
      <c r="W871" s="3">
        <v>0</v>
      </c>
      <c r="X871" s="123">
        <f>IF(Faturamento!$V101="Pago",IFERROR(W871-R871,0),0)</f>
        <v>0</v>
      </c>
      <c r="Y871" s="4"/>
      <c r="Z871" s="4"/>
      <c r="AA871" s="5"/>
      <c r="AB871" s="5"/>
      <c r="AI871"/>
    </row>
    <row r="872" spans="1:35" hidden="1" x14ac:dyDescent="0.3">
      <c r="A872" s="5" t="str">
        <f>VLOOKUP(B872,base!A:M,11,FALSE)</f>
        <v>BIFÁSICO</v>
      </c>
      <c r="B872" t="s">
        <v>130</v>
      </c>
      <c r="C872" s="1" t="s">
        <v>132</v>
      </c>
      <c r="D872" s="60">
        <v>62955505000167</v>
      </c>
      <c r="E872" s="63" t="s">
        <v>433</v>
      </c>
      <c r="F872" t="s">
        <v>434</v>
      </c>
      <c r="G872" s="4">
        <v>45689</v>
      </c>
      <c r="H872" s="4" t="str">
        <f>Faturamento!$B227&amp;Faturamento!$G227</f>
        <v>10/1939035-045931</v>
      </c>
      <c r="I872" t="s">
        <v>435</v>
      </c>
      <c r="J872" s="37">
        <v>0</v>
      </c>
      <c r="K872" s="53"/>
      <c r="L872" s="53"/>
      <c r="M872" s="5" t="str">
        <f>IF(Faturamento!$S227&lt;&gt;"","Não emitido",IF(Faturamento!$I227="NÃO","Pendente Fatura", IF(Faturamento!$R227&lt;&gt;"","Aprovado",IF(Faturamento!$O227&lt;&gt;0,"Pendente Emissão","Processo de Calculo"))))</f>
        <v>Aprovado</v>
      </c>
      <c r="N872" s="3">
        <v>0</v>
      </c>
      <c r="O872" s="3">
        <v>0</v>
      </c>
      <c r="P872" s="4"/>
      <c r="Q872" s="4"/>
      <c r="S872" t="s">
        <v>436</v>
      </c>
      <c r="T872" s="51" t="s">
        <v>535</v>
      </c>
      <c r="U872" s="51"/>
      <c r="V872" t="s">
        <v>438</v>
      </c>
      <c r="W872" s="3">
        <v>0</v>
      </c>
      <c r="X872" s="123">
        <f>IF(Faturamento!$V102="Pago",IFERROR(W872-R872,0),0)</f>
        <v>0</v>
      </c>
      <c r="Y872" s="4"/>
      <c r="Z872" s="4"/>
      <c r="AA872" s="5"/>
      <c r="AB872" s="5"/>
      <c r="AI872"/>
    </row>
    <row r="873" spans="1:35" hidden="1" x14ac:dyDescent="0.3">
      <c r="A873" s="5" t="str">
        <f>VLOOKUP(B873,base!A:M,11,FALSE)</f>
        <v>BIFÁSICO</v>
      </c>
      <c r="B873" s="37" t="s">
        <v>137</v>
      </c>
      <c r="C873" s="56">
        <v>67992637973</v>
      </c>
      <c r="D873" s="59">
        <v>62955505040894</v>
      </c>
      <c r="E873" s="37" t="s">
        <v>433</v>
      </c>
      <c r="F873" s="37" t="s">
        <v>434</v>
      </c>
      <c r="G873" s="52">
        <v>45689</v>
      </c>
      <c r="H873" s="52" t="str">
        <f>Faturamento!$B228&amp;Faturamento!$G228</f>
        <v>10/511753-645931</v>
      </c>
      <c r="I873" s="37" t="s">
        <v>435</v>
      </c>
      <c r="J873" s="37">
        <v>0</v>
      </c>
      <c r="K873" s="53"/>
      <c r="L873" s="53"/>
      <c r="M873" s="5" t="str">
        <f>IF(Faturamento!$S228&lt;&gt;"","Não emitido",IF(Faturamento!$I228="NÃO","Pendente Fatura", IF(Faturamento!$R228&lt;&gt;"","Aprovado",IF(Faturamento!$O228&lt;&gt;0,"Pendente Emissão","Processo de Calculo"))))</f>
        <v>Aprovado</v>
      </c>
      <c r="N873" s="53">
        <v>0</v>
      </c>
      <c r="O873" s="53">
        <v>0</v>
      </c>
      <c r="P873" s="52"/>
      <c r="Q873" s="52"/>
      <c r="R873" s="53"/>
      <c r="S873" s="37" t="s">
        <v>436</v>
      </c>
      <c r="T873" s="51" t="s">
        <v>498</v>
      </c>
      <c r="U873" s="51"/>
      <c r="V873" s="37" t="s">
        <v>438</v>
      </c>
      <c r="W873" s="53">
        <v>0</v>
      </c>
      <c r="X873" s="123">
        <f>IF(Faturamento!$V103="Pago",IFERROR(W873-R873,0),0)</f>
        <v>0</v>
      </c>
      <c r="Y873" s="52"/>
      <c r="Z873" s="52"/>
      <c r="AA873" s="5"/>
      <c r="AB873" s="5"/>
      <c r="AI873"/>
    </row>
    <row r="874" spans="1:35" hidden="1" x14ac:dyDescent="0.3">
      <c r="A874" s="5" t="str">
        <f>VLOOKUP(B874,base!A:M,11,FALSE)</f>
        <v>TRIFÁSICO</v>
      </c>
      <c r="B874" t="s">
        <v>330</v>
      </c>
      <c r="C874" s="1" t="s">
        <v>332</v>
      </c>
      <c r="D874" s="60">
        <v>62955505016837</v>
      </c>
      <c r="E874" s="63" t="s">
        <v>433</v>
      </c>
      <c r="F874" t="s">
        <v>434</v>
      </c>
      <c r="G874" s="4">
        <v>45689</v>
      </c>
      <c r="H874" s="4" t="str">
        <f>Faturamento!$B229&amp;Faturamento!$G229</f>
        <v>10/276283-945931</v>
      </c>
      <c r="I874" t="s">
        <v>435</v>
      </c>
      <c r="J874" s="37">
        <v>0</v>
      </c>
      <c r="K874" s="53"/>
      <c r="L874" s="53"/>
      <c r="M874" s="5" t="str">
        <f>IF(Faturamento!$S229&lt;&gt;"","Não emitido",IF(Faturamento!$I229="NÃO","Pendente Fatura", IF(Faturamento!$R229&lt;&gt;"","Aprovado",IF(Faturamento!$O229&lt;&gt;0,"Pendente Emissão","Processo de Calculo"))))</f>
        <v>Aprovado</v>
      </c>
      <c r="N874" s="3">
        <v>0</v>
      </c>
      <c r="O874" s="3">
        <v>0</v>
      </c>
      <c r="P874" s="4"/>
      <c r="Q874" s="4"/>
      <c r="S874" t="s">
        <v>436</v>
      </c>
      <c r="T874" s="51" t="s">
        <v>773</v>
      </c>
      <c r="U874" s="51"/>
      <c r="V874" t="s">
        <v>438</v>
      </c>
      <c r="W874" s="3">
        <v>0</v>
      </c>
      <c r="X874" s="123">
        <f>IF(Faturamento!$V104="Pago",IFERROR(W874-R874,0),0)</f>
        <v>0</v>
      </c>
      <c r="Y874" s="4"/>
      <c r="Z874" s="4"/>
      <c r="AA874" s="5"/>
      <c r="AB874" s="5"/>
      <c r="AI874"/>
    </row>
    <row r="875" spans="1:35" hidden="1" x14ac:dyDescent="0.3">
      <c r="A875" s="5" t="str">
        <f>VLOOKUP(B875,base!A:M,11,FALSE)</f>
        <v>BIFÁSICO</v>
      </c>
      <c r="B875" t="s">
        <v>240</v>
      </c>
      <c r="C875" s="1">
        <v>67996135721</v>
      </c>
      <c r="D875" s="60">
        <v>62955505015431</v>
      </c>
      <c r="E875" s="63" t="s">
        <v>433</v>
      </c>
      <c r="F875" t="s">
        <v>434</v>
      </c>
      <c r="G875" s="4">
        <v>45689</v>
      </c>
      <c r="H875" s="4" t="str">
        <f>Faturamento!$B231&amp;Faturamento!$G231</f>
        <v>10/513413-545689</v>
      </c>
      <c r="I875" t="s">
        <v>435</v>
      </c>
      <c r="J875" s="37">
        <v>0</v>
      </c>
      <c r="K875" s="53"/>
      <c r="L875" s="53"/>
      <c r="M875" s="5" t="str">
        <f>IF(Faturamento!$S231&lt;&gt;"","Não emitido",IF(Faturamento!$I231="NÃO","Pendente Fatura", IF(Faturamento!$R231&lt;&gt;"","Aprovado",IF(Faturamento!$O231&lt;&gt;0,"Pendente Emissão","Processo de Calculo"))))</f>
        <v>Aprovado</v>
      </c>
      <c r="N875" s="3">
        <v>0</v>
      </c>
      <c r="O875" s="3">
        <v>0</v>
      </c>
      <c r="P875" s="4"/>
      <c r="Q875" s="4"/>
      <c r="S875" t="s">
        <v>436</v>
      </c>
      <c r="T875" s="51" t="s">
        <v>754</v>
      </c>
      <c r="U875" s="51"/>
      <c r="V875" t="s">
        <v>438</v>
      </c>
      <c r="W875" s="3">
        <v>0</v>
      </c>
      <c r="X875" s="123">
        <f>IF(Faturamento!$V105="Pago",IFERROR(W875-R875,0),0)</f>
        <v>0</v>
      </c>
      <c r="Y875" s="4"/>
      <c r="Z875" s="4"/>
      <c r="AA875" s="5"/>
      <c r="AB875" s="5"/>
      <c r="AI875"/>
    </row>
    <row r="876" spans="1:35" hidden="1" x14ac:dyDescent="0.3">
      <c r="A876" s="5" t="str">
        <f>VLOOKUP(B876,base!A:M,11,FALSE)</f>
        <v>TRIFÁSICO</v>
      </c>
      <c r="B876" s="37" t="s">
        <v>264</v>
      </c>
      <c r="C876" s="56">
        <v>67992876000</v>
      </c>
      <c r="D876" s="59">
        <v>62955505248886</v>
      </c>
      <c r="E876" s="37" t="s">
        <v>433</v>
      </c>
      <c r="F876" s="37" t="s">
        <v>434</v>
      </c>
      <c r="G876" s="52">
        <v>45689</v>
      </c>
      <c r="H876" s="52" t="str">
        <f>Faturamento!$B232&amp;Faturamento!$G232</f>
        <v>10/1698130-045689</v>
      </c>
      <c r="I876" s="37" t="s">
        <v>435</v>
      </c>
      <c r="J876" s="37">
        <v>0</v>
      </c>
      <c r="K876" s="53"/>
      <c r="L876" s="53"/>
      <c r="M876" s="5" t="str">
        <f>IF(Faturamento!$S232&lt;&gt;"","Não emitido",IF(Faturamento!$I232="NÃO","Pendente Fatura", IF(Faturamento!$R232&lt;&gt;"","Aprovado",IF(Faturamento!$O232&lt;&gt;0,"Pendente Emissão","Processo de Calculo"))))</f>
        <v>Aprovado</v>
      </c>
      <c r="N876" s="53">
        <v>0</v>
      </c>
      <c r="O876" s="53">
        <v>0</v>
      </c>
      <c r="P876" s="52"/>
      <c r="Q876" s="52"/>
      <c r="R876" s="53"/>
      <c r="S876" s="37" t="s">
        <v>436</v>
      </c>
      <c r="T876" s="51" t="s">
        <v>775</v>
      </c>
      <c r="U876" s="51"/>
      <c r="V876" s="37" t="s">
        <v>438</v>
      </c>
      <c r="W876" s="53">
        <v>0</v>
      </c>
      <c r="X876" s="123">
        <f>IF(Faturamento!$V106="Pago",IFERROR(W876-R876,0),0)</f>
        <v>0</v>
      </c>
      <c r="Y876" s="52"/>
      <c r="Z876" s="52"/>
      <c r="AA876" s="5"/>
      <c r="AB876" s="5"/>
      <c r="AI876"/>
    </row>
    <row r="877" spans="1:35" hidden="1" x14ac:dyDescent="0.3">
      <c r="A877" s="5" t="str">
        <f>VLOOKUP(B877,base!A:M,11,FALSE)</f>
        <v>BIFÁSICO</v>
      </c>
      <c r="B877" t="s">
        <v>250</v>
      </c>
      <c r="C877" s="1">
        <v>65999839279</v>
      </c>
      <c r="D877" s="60">
        <v>62955505015512</v>
      </c>
      <c r="E877" s="63" t="s">
        <v>433</v>
      </c>
      <c r="F877" t="s">
        <v>434</v>
      </c>
      <c r="G877" s="4">
        <v>45689</v>
      </c>
      <c r="H877" s="4" t="str">
        <f>Faturamento!$B233&amp;Faturamento!$G233</f>
        <v>10/1184751-445717</v>
      </c>
      <c r="I877" t="s">
        <v>435</v>
      </c>
      <c r="J877" s="37">
        <v>0</v>
      </c>
      <c r="K877" s="53"/>
      <c r="L877" s="53"/>
      <c r="M877" s="5" t="str">
        <f>IF(Faturamento!$S233&lt;&gt;"","Não emitido",IF(Faturamento!$I233="NÃO","Pendente Fatura", IF(Faturamento!$R233&lt;&gt;"","Aprovado",IF(Faturamento!$O233&lt;&gt;0,"Pendente Emissão","Processo de Calculo"))))</f>
        <v>Aprovado</v>
      </c>
      <c r="N877" s="3">
        <v>0</v>
      </c>
      <c r="O877" s="3">
        <v>0</v>
      </c>
      <c r="P877" s="4"/>
      <c r="Q877" s="4"/>
      <c r="S877" t="s">
        <v>436</v>
      </c>
      <c r="T877" s="51" t="s">
        <v>560</v>
      </c>
      <c r="U877" s="51"/>
      <c r="V877" t="s">
        <v>438</v>
      </c>
      <c r="W877" s="3">
        <v>0</v>
      </c>
      <c r="X877" s="123">
        <f>IF(Faturamento!$V107="Pago",IFERROR(W877-R877,0),0)</f>
        <v>0</v>
      </c>
      <c r="Y877" s="4"/>
      <c r="Z877" s="4"/>
      <c r="AA877" s="5"/>
      <c r="AB877" s="5"/>
      <c r="AI877"/>
    </row>
    <row r="878" spans="1:35" hidden="1" x14ac:dyDescent="0.3">
      <c r="A878" s="5" t="e">
        <f>VLOOKUP(B878,base!A:M,11,FALSE)</f>
        <v>#N/A</v>
      </c>
      <c r="B878" s="37" t="s">
        <v>696</v>
      </c>
      <c r="C878" s="56" t="e">
        <v>#N/A</v>
      </c>
      <c r="D878" s="59">
        <v>62955505135500</v>
      </c>
      <c r="E878" s="37" t="s">
        <v>433</v>
      </c>
      <c r="F878" s="37" t="s">
        <v>434</v>
      </c>
      <c r="G878" s="52">
        <v>45689</v>
      </c>
      <c r="H878" s="52" t="str">
        <f>Faturamento!$B234&amp;Faturamento!$G234</f>
        <v>10/511753-645717</v>
      </c>
      <c r="I878" s="37" t="s">
        <v>435</v>
      </c>
      <c r="J878" s="37">
        <v>0</v>
      </c>
      <c r="K878" s="53"/>
      <c r="L878" s="53"/>
      <c r="M878" s="5" t="str">
        <f>IF(Faturamento!$S234&lt;&gt;"","Não emitido",IF(Faturamento!$I234="NÃO","Pendente Fatura", IF(Faturamento!$R234&lt;&gt;"","Aprovado",IF(Faturamento!$O234&lt;&gt;0,"Pendente Emissão","Processo de Calculo"))))</f>
        <v>Aprovado</v>
      </c>
      <c r="N878" s="53">
        <v>0</v>
      </c>
      <c r="O878" s="53">
        <v>0</v>
      </c>
      <c r="P878" s="52"/>
      <c r="Q878" s="52"/>
      <c r="R878" s="53"/>
      <c r="S878" s="37" t="s">
        <v>436</v>
      </c>
      <c r="T878" s="51" t="s">
        <v>697</v>
      </c>
      <c r="U878" s="51"/>
      <c r="V878" s="37" t="s">
        <v>438</v>
      </c>
      <c r="W878" s="53">
        <v>0</v>
      </c>
      <c r="X878" s="123">
        <f>IF(Faturamento!$V108="Pago",IFERROR(W878-R878,0),0)</f>
        <v>0</v>
      </c>
      <c r="Y878" s="52"/>
      <c r="Z878" s="52"/>
      <c r="AA878" s="5"/>
      <c r="AB878" s="5"/>
      <c r="AI878"/>
    </row>
    <row r="879" spans="1:35" hidden="1" x14ac:dyDescent="0.3">
      <c r="A879" s="5">
        <f>VLOOKUP(B879,base!A:M,11,FALSE)</f>
        <v>0</v>
      </c>
      <c r="B879" s="37" t="s">
        <v>122</v>
      </c>
      <c r="C879" s="56">
        <v>67991767866</v>
      </c>
      <c r="D879" s="59">
        <v>62955505091456</v>
      </c>
      <c r="E879" s="37" t="s">
        <v>433</v>
      </c>
      <c r="F879" s="37" t="s">
        <v>434</v>
      </c>
      <c r="G879" s="52">
        <v>45717</v>
      </c>
      <c r="H879" s="52" t="str">
        <f>Faturamento!$B254&amp;Faturamento!$G254</f>
        <v>10/931327-145809</v>
      </c>
      <c r="I879" s="37" t="s">
        <v>435</v>
      </c>
      <c r="J879">
        <v>0</v>
      </c>
      <c r="M879" s="5" t="str">
        <f>IF(Faturamento!$S254&lt;&gt;"","Não emitido",IF(Faturamento!$I254="NÃO","Pendente Fatura", IF(Faturamento!$R254&lt;&gt;"","Aprovado",IF(Faturamento!$O254&lt;&gt;0,"Pendente Emissão","Processo de Calculo"))))</f>
        <v>Aprovado</v>
      </c>
      <c r="N879" s="53">
        <v>0</v>
      </c>
      <c r="O879" s="53">
        <v>0</v>
      </c>
      <c r="P879" s="52"/>
      <c r="Q879" s="52"/>
      <c r="R879" s="53"/>
      <c r="S879" s="37" t="s">
        <v>436</v>
      </c>
      <c r="T879" s="51" t="s">
        <v>562</v>
      </c>
      <c r="U879" s="51"/>
      <c r="V879" s="37" t="s">
        <v>438</v>
      </c>
      <c r="W879" s="53">
        <v>0</v>
      </c>
      <c r="X879" s="123">
        <f>IF(Faturamento!$V109="Pago",IFERROR(W879-R879,0),0)</f>
        <v>0</v>
      </c>
      <c r="Y879" s="52"/>
      <c r="Z879" s="52"/>
      <c r="AA879" s="5"/>
      <c r="AB879" s="5"/>
      <c r="AI879"/>
    </row>
    <row r="880" spans="1:35" hidden="1" x14ac:dyDescent="0.3">
      <c r="A880" s="5" t="e">
        <f>VLOOKUP(B880,base!A:M,11,FALSE)</f>
        <v>#N/A</v>
      </c>
      <c r="B880" t="s">
        <v>645</v>
      </c>
      <c r="C880" s="1" t="e">
        <v>#N/A</v>
      </c>
      <c r="D880" s="60">
        <v>62955505393207</v>
      </c>
      <c r="E880" s="63" t="s">
        <v>433</v>
      </c>
      <c r="F880" t="s">
        <v>434</v>
      </c>
      <c r="G880" s="4">
        <v>45717</v>
      </c>
      <c r="H880" s="4" t="str">
        <f>Faturamento!$B285&amp;Faturamento!$G285</f>
        <v>10/81222-245658</v>
      </c>
      <c r="I880" t="s">
        <v>435</v>
      </c>
      <c r="J880">
        <v>0</v>
      </c>
      <c r="M880" s="5" t="str">
        <f>IF(Faturamento!$S285&lt;&gt;"","Não emitido",IF(Faturamento!$I285="NÃO","Pendente Fatura", IF(Faturamento!$R285&lt;&gt;"","Aprovado",IF(Faturamento!$O285&lt;&gt;0,"Pendente Emissão","Processo de Calculo"))))</f>
        <v>Aprovado</v>
      </c>
      <c r="N880" s="3">
        <v>0</v>
      </c>
      <c r="O880" s="3">
        <v>0</v>
      </c>
      <c r="P880" s="4"/>
      <c r="Q880" s="4"/>
      <c r="S880" t="s">
        <v>436</v>
      </c>
      <c r="T880" s="51" t="s">
        <v>437</v>
      </c>
      <c r="U880" s="51"/>
      <c r="V880" t="s">
        <v>438</v>
      </c>
      <c r="W880" s="3">
        <v>0</v>
      </c>
      <c r="X880" s="123">
        <f>IF(Faturamento!$V113="Pago",IFERROR(W880-R880,0),0)</f>
        <v>0</v>
      </c>
      <c r="Y880" s="4"/>
      <c r="Z880" s="4"/>
      <c r="AA880" s="5"/>
      <c r="AB880" s="5"/>
      <c r="AI880"/>
    </row>
    <row r="881" spans="1:35" hidden="1" x14ac:dyDescent="0.3">
      <c r="A881" s="5" t="str">
        <f>VLOOKUP(B881,base!A:M,11,FALSE)</f>
        <v>TRIFÁSICO</v>
      </c>
      <c r="B881" s="37" t="s">
        <v>326</v>
      </c>
      <c r="C881" s="56" t="s">
        <v>328</v>
      </c>
      <c r="D881" s="59">
        <v>62955505058599</v>
      </c>
      <c r="E881" s="37" t="s">
        <v>433</v>
      </c>
      <c r="F881" s="37" t="s">
        <v>434</v>
      </c>
      <c r="G881" s="52">
        <v>45717</v>
      </c>
      <c r="H881" s="52" t="str">
        <f>Faturamento!$B286&amp;Faturamento!$G286</f>
        <v>10/341308-545778</v>
      </c>
      <c r="I881" s="37" t="s">
        <v>435</v>
      </c>
      <c r="J881">
        <v>0</v>
      </c>
      <c r="M881" s="5" t="str">
        <f>IF(Faturamento!$S286&lt;&gt;"","Não emitido",IF(Faturamento!$I286="NÃO","Pendente Fatura", IF(Faturamento!$R286&lt;&gt;"","Aprovado",IF(Faturamento!$O286&lt;&gt;0,"Pendente Emissão","Processo de Calculo"))))</f>
        <v>Aprovado</v>
      </c>
      <c r="N881" s="53">
        <v>0</v>
      </c>
      <c r="O881" s="53">
        <v>0</v>
      </c>
      <c r="P881" s="52"/>
      <c r="Q881" s="52"/>
      <c r="R881" s="53"/>
      <c r="S881" s="37" t="s">
        <v>436</v>
      </c>
      <c r="T881" s="51" t="s">
        <v>746</v>
      </c>
      <c r="U881" s="51"/>
      <c r="V881" s="37" t="s">
        <v>438</v>
      </c>
      <c r="W881" s="53">
        <v>0</v>
      </c>
      <c r="X881" s="123">
        <f>IF(Faturamento!$V114="Pago",IFERROR(W881-R881,0),0)</f>
        <v>0</v>
      </c>
      <c r="Y881" s="52"/>
      <c r="Z881" s="52"/>
      <c r="AA881" s="5"/>
      <c r="AB881" s="5"/>
      <c r="AI881"/>
    </row>
    <row r="882" spans="1:35" hidden="1" x14ac:dyDescent="0.3">
      <c r="A882" s="5" t="str">
        <f>VLOOKUP(B882,base!A:M,11,FALSE)</f>
        <v>BIFÁSICO</v>
      </c>
      <c r="B882" t="s">
        <v>161</v>
      </c>
      <c r="C882" s="1">
        <v>67992899434</v>
      </c>
      <c r="D882" s="60">
        <v>62955505113875</v>
      </c>
      <c r="E882" s="63" t="s">
        <v>433</v>
      </c>
      <c r="F882" t="s">
        <v>434</v>
      </c>
      <c r="G882" s="4">
        <v>45717</v>
      </c>
      <c r="H882" s="4" t="str">
        <f>Faturamento!$B287&amp;Faturamento!$G287</f>
        <v>10/1266128-645658</v>
      </c>
      <c r="I882" t="s">
        <v>435</v>
      </c>
      <c r="J882">
        <v>0</v>
      </c>
      <c r="M882" s="5" t="str">
        <f>IF(Faturamento!$S287&lt;&gt;"","Não emitido",IF(Faturamento!$I287="NÃO","Pendente Fatura", IF(Faturamento!$R287&lt;&gt;"","Aprovado",IF(Faturamento!$O287&lt;&gt;0,"Pendente Emissão","Processo de Calculo"))))</f>
        <v>Aprovado</v>
      </c>
      <c r="N882" s="3">
        <v>0</v>
      </c>
      <c r="O882" s="3">
        <v>0</v>
      </c>
      <c r="P882" s="4"/>
      <c r="Q882" s="4"/>
      <c r="S882" t="s">
        <v>436</v>
      </c>
      <c r="T882" s="51" t="s">
        <v>747</v>
      </c>
      <c r="U882" s="51"/>
      <c r="V882" t="s">
        <v>438</v>
      </c>
      <c r="W882" s="3">
        <v>0</v>
      </c>
      <c r="X882" s="123">
        <f>IF(Faturamento!$V115="Pago",IFERROR(W882-R882,0),0)</f>
        <v>0</v>
      </c>
      <c r="Y882" s="4"/>
      <c r="Z882" s="4"/>
      <c r="AA882" s="5"/>
      <c r="AB882" s="5"/>
      <c r="AI882"/>
    </row>
    <row r="883" spans="1:35" hidden="1" x14ac:dyDescent="0.3">
      <c r="A883" s="5" t="str">
        <f>VLOOKUP(B883,base!A:M,11,FALSE)</f>
        <v>BIFÁSICO</v>
      </c>
      <c r="B883" t="s">
        <v>127</v>
      </c>
      <c r="C883" s="1">
        <v>67996446178</v>
      </c>
      <c r="D883" s="60">
        <v>62955505016918</v>
      </c>
      <c r="E883" s="63" t="s">
        <v>433</v>
      </c>
      <c r="F883" t="s">
        <v>434</v>
      </c>
      <c r="G883" s="4">
        <v>45717</v>
      </c>
      <c r="H883" s="4" t="str">
        <f>Faturamento!$B289&amp;Faturamento!$G289</f>
        <v>10/510330-445748</v>
      </c>
      <c r="I883" t="s">
        <v>435</v>
      </c>
      <c r="J883">
        <v>0</v>
      </c>
      <c r="M883" s="5" t="str">
        <f>IF(Faturamento!$S289&lt;&gt;"","Não emitido",IF(Faturamento!$I289="NÃO","Pendente Fatura", IF(Faturamento!$R289&lt;&gt;"","Aprovado",IF(Faturamento!$O289&lt;&gt;0,"Pendente Emissão","Processo de Calculo"))))</f>
        <v>Aprovado</v>
      </c>
      <c r="N883" s="3">
        <v>0</v>
      </c>
      <c r="O883" s="3">
        <v>0</v>
      </c>
      <c r="P883" s="4"/>
      <c r="Q883" s="4"/>
      <c r="S883" t="s">
        <v>436</v>
      </c>
      <c r="T883" s="51" t="s">
        <v>749</v>
      </c>
      <c r="U883" s="51"/>
      <c r="V883" t="s">
        <v>438</v>
      </c>
      <c r="W883" s="3">
        <v>0</v>
      </c>
      <c r="X883" s="123">
        <f>IF(Faturamento!$V117="Pago",IFERROR(W883-R883,0),0)</f>
        <v>0</v>
      </c>
      <c r="Y883" s="4"/>
      <c r="Z883" s="4"/>
      <c r="AA883" s="5"/>
      <c r="AB883" s="5"/>
      <c r="AI883"/>
    </row>
    <row r="884" spans="1:35" hidden="1" x14ac:dyDescent="0.3">
      <c r="A884" s="5" t="str">
        <f>VLOOKUP(B884,base!A:M,11,FALSE)</f>
        <v>TRIFÁSICO</v>
      </c>
      <c r="B884" s="37" t="s">
        <v>171</v>
      </c>
      <c r="C884" s="56">
        <v>67996266684</v>
      </c>
      <c r="D884" s="59">
        <v>62955505312487</v>
      </c>
      <c r="E884" s="37" t="s">
        <v>433</v>
      </c>
      <c r="F884" s="37" t="s">
        <v>434</v>
      </c>
      <c r="G884" s="52">
        <v>45717</v>
      </c>
      <c r="H884" s="52" t="str">
        <f>Faturamento!$B290&amp;Faturamento!$G290</f>
        <v>10/280638-845717</v>
      </c>
      <c r="I884" s="37" t="s">
        <v>435</v>
      </c>
      <c r="J884">
        <v>0</v>
      </c>
      <c r="M884" s="5" t="str">
        <f>IF(Faturamento!$S290&lt;&gt;"","Não emitido",IF(Faturamento!$I290="NÃO","Pendente Fatura", IF(Faturamento!$R290&lt;&gt;"","Aprovado",IF(Faturamento!$O290&lt;&gt;0,"Pendente Emissão","Processo de Calculo"))))</f>
        <v>Aprovado</v>
      </c>
      <c r="N884" s="53">
        <v>0</v>
      </c>
      <c r="O884" s="53">
        <v>0</v>
      </c>
      <c r="P884" s="52"/>
      <c r="Q884" s="52"/>
      <c r="R884" s="53"/>
      <c r="S884" s="37" t="s">
        <v>436</v>
      </c>
      <c r="T884" s="51" t="s">
        <v>666</v>
      </c>
      <c r="U884" s="51"/>
      <c r="V884" s="37" t="s">
        <v>438</v>
      </c>
      <c r="W884" s="53">
        <v>0</v>
      </c>
      <c r="X884" s="123">
        <f>IF(Faturamento!$V118="Pago",IFERROR(W884-R884,0),0)</f>
        <v>0</v>
      </c>
      <c r="Y884" s="52"/>
      <c r="Z884" s="52"/>
      <c r="AA884" s="5"/>
      <c r="AB884" s="5"/>
      <c r="AI884"/>
    </row>
    <row r="885" spans="1:35" hidden="1" x14ac:dyDescent="0.3">
      <c r="A885" s="5" t="str">
        <f>VLOOKUP(B885,base!A:M,11,FALSE)</f>
        <v>TRIFÁSICO</v>
      </c>
      <c r="B885" t="s">
        <v>338</v>
      </c>
      <c r="C885" s="1" t="s">
        <v>341</v>
      </c>
      <c r="D885" s="60">
        <v>62955505122432</v>
      </c>
      <c r="E885" s="63" t="s">
        <v>433</v>
      </c>
      <c r="F885" t="s">
        <v>434</v>
      </c>
      <c r="G885" s="4">
        <v>45717</v>
      </c>
      <c r="H885" s="4" t="str">
        <f>Faturamento!$B291&amp;Faturamento!$G291</f>
        <v>10/3040565-845717</v>
      </c>
      <c r="I885" t="s">
        <v>435</v>
      </c>
      <c r="J885">
        <v>0</v>
      </c>
      <c r="M885" s="5" t="str">
        <f>IF(Faturamento!$S291&lt;&gt;"","Não emitido",IF(Faturamento!$I291="NÃO","Pendente Fatura", IF(Faturamento!$R291&lt;&gt;"","Aprovado",IF(Faturamento!$O291&lt;&gt;0,"Pendente Emissão","Processo de Calculo"))))</f>
        <v>Aprovado</v>
      </c>
      <c r="N885" s="3">
        <v>0</v>
      </c>
      <c r="O885" s="3">
        <v>0</v>
      </c>
      <c r="P885" s="4"/>
      <c r="Q885" s="4"/>
      <c r="S885" t="s">
        <v>436</v>
      </c>
      <c r="T885" s="51" t="s">
        <v>750</v>
      </c>
      <c r="U885" s="51"/>
      <c r="V885" t="s">
        <v>438</v>
      </c>
      <c r="W885" s="3">
        <v>0</v>
      </c>
      <c r="X885" s="123">
        <f>IF(Faturamento!$V119="Pago",IFERROR(W885-R885,0),0)</f>
        <v>0</v>
      </c>
      <c r="Y885" s="4"/>
      <c r="Z885" s="4"/>
      <c r="AA885" s="5"/>
      <c r="AB885" s="5"/>
      <c r="AI885"/>
    </row>
    <row r="886" spans="1:35" hidden="1" x14ac:dyDescent="0.3">
      <c r="A886" s="5" t="str">
        <f>VLOOKUP(B886,base!A:M,11,FALSE)</f>
        <v>TRIFÁSICO</v>
      </c>
      <c r="B886" s="37" t="s">
        <v>285</v>
      </c>
      <c r="C886" s="56">
        <v>67996266684</v>
      </c>
      <c r="D886" s="59">
        <v>62955505016080</v>
      </c>
      <c r="E886" s="37" t="s">
        <v>433</v>
      </c>
      <c r="F886" s="37" t="s">
        <v>434</v>
      </c>
      <c r="G886" s="52">
        <v>45717</v>
      </c>
      <c r="H886" s="52" t="str">
        <f>Faturamento!$B292&amp;Faturamento!$G292</f>
        <v>10/1130988-745931</v>
      </c>
      <c r="I886" s="37" t="s">
        <v>435</v>
      </c>
      <c r="J886">
        <v>0</v>
      </c>
      <c r="M886" s="5" t="str">
        <f>IF(Faturamento!$S292&lt;&gt;"","Não emitido",IF(Faturamento!$I292="NÃO","Pendente Fatura", IF(Faturamento!$R292&lt;&gt;"","Aprovado",IF(Faturamento!$O292&lt;&gt;0,"Pendente Emissão","Processo de Calculo"))))</f>
        <v>Aprovado</v>
      </c>
      <c r="N886" s="53">
        <v>0</v>
      </c>
      <c r="O886" s="53">
        <v>0</v>
      </c>
      <c r="P886" s="52"/>
      <c r="Q886" s="52"/>
      <c r="R886" s="53"/>
      <c r="S886" s="37" t="s">
        <v>436</v>
      </c>
      <c r="T886" s="51" t="s">
        <v>483</v>
      </c>
      <c r="U886" s="51"/>
      <c r="V886" s="37" t="s">
        <v>438</v>
      </c>
      <c r="W886" s="53">
        <v>0</v>
      </c>
      <c r="X886" s="123">
        <f>IF(Faturamento!$V120="Pago",IFERROR(W886-R886,0),0)</f>
        <v>0</v>
      </c>
      <c r="Y886" s="52"/>
      <c r="Z886" s="52"/>
      <c r="AA886" s="5"/>
      <c r="AB886" s="5"/>
      <c r="AI886"/>
    </row>
    <row r="887" spans="1:35" hidden="1" x14ac:dyDescent="0.3">
      <c r="A887" s="5" t="str">
        <f>VLOOKUP(B887,base!A:M,11,FALSE)</f>
        <v>TRIFÁSICO</v>
      </c>
      <c r="B887" t="s">
        <v>290</v>
      </c>
      <c r="C887" s="1">
        <v>67992637973</v>
      </c>
      <c r="D887" s="60">
        <v>62955505354481</v>
      </c>
      <c r="E887" s="63" t="s">
        <v>433</v>
      </c>
      <c r="F887" t="s">
        <v>434</v>
      </c>
      <c r="G887" s="4">
        <v>45717</v>
      </c>
      <c r="H887" s="4" t="str">
        <f>Faturamento!$B293&amp;Faturamento!$G293</f>
        <v>10/1035655-845748</v>
      </c>
      <c r="I887" t="s">
        <v>435</v>
      </c>
      <c r="J887">
        <v>0</v>
      </c>
      <c r="M887" s="5" t="str">
        <f>IF(Faturamento!$S293&lt;&gt;"","Não emitido",IF(Faturamento!$I293="NÃO","Pendente Fatura", IF(Faturamento!$R293&lt;&gt;"","Aprovado",IF(Faturamento!$O293&lt;&gt;0,"Pendente Emissão","Processo de Calculo"))))</f>
        <v>Aprovado</v>
      </c>
      <c r="N887" s="3">
        <v>0</v>
      </c>
      <c r="O887" s="3">
        <v>0</v>
      </c>
      <c r="P887" s="4"/>
      <c r="Q887" s="4"/>
      <c r="S887" t="s">
        <v>436</v>
      </c>
      <c r="T887" s="51" t="s">
        <v>751</v>
      </c>
      <c r="U887" s="51"/>
      <c r="V887" t="s">
        <v>438</v>
      </c>
      <c r="W887" s="3">
        <v>0</v>
      </c>
      <c r="X887" s="123">
        <f>IF(Faturamento!$V121="Pago",IFERROR(W887-R887,0),0)</f>
        <v>0</v>
      </c>
      <c r="Y887" s="4"/>
      <c r="Z887" s="4"/>
      <c r="AA887" s="5"/>
      <c r="AB887" s="5"/>
      <c r="AI887"/>
    </row>
    <row r="888" spans="1:35" hidden="1" x14ac:dyDescent="0.3">
      <c r="A888" s="5" t="str">
        <f>VLOOKUP(B888,base!A:M,11,FALSE)</f>
        <v>TRIFÁSICO</v>
      </c>
      <c r="B888" t="s">
        <v>322</v>
      </c>
      <c r="C888" s="1">
        <v>67998363594</v>
      </c>
      <c r="D888" s="60">
        <v>62955505182257</v>
      </c>
      <c r="E888" s="63" t="s">
        <v>433</v>
      </c>
      <c r="F888" t="s">
        <v>434</v>
      </c>
      <c r="G888" s="4">
        <v>45717</v>
      </c>
      <c r="H888" s="4" t="str">
        <f>Faturamento!$B295&amp;Faturamento!$G295</f>
        <v>10/489076-045901</v>
      </c>
      <c r="I888" t="s">
        <v>435</v>
      </c>
      <c r="J888">
        <v>0</v>
      </c>
      <c r="M888" s="5" t="str">
        <f>IF(Faturamento!$S295&lt;&gt;"","Não emitido",IF(Faturamento!$I295="NÃO","Pendente Fatura", IF(Faturamento!$R295&lt;&gt;"","Aprovado",IF(Faturamento!$O295&lt;&gt;0,"Pendente Emissão","Processo de Calculo"))))</f>
        <v>Aprovado</v>
      </c>
      <c r="N888" s="3">
        <v>0</v>
      </c>
      <c r="O888" s="3">
        <v>0</v>
      </c>
      <c r="P888" s="4"/>
      <c r="Q888" s="4"/>
      <c r="S888" t="s">
        <v>436</v>
      </c>
      <c r="T888" s="51" t="s">
        <v>442</v>
      </c>
      <c r="U888" s="51"/>
      <c r="V888" t="s">
        <v>438</v>
      </c>
      <c r="W888" s="3">
        <v>0</v>
      </c>
      <c r="X888" s="123">
        <f>IF(Faturamento!$V122="Pago",IFERROR(W888-R888,0),0)</f>
        <v>0</v>
      </c>
      <c r="Y888" s="4"/>
      <c r="Z888" s="4"/>
      <c r="AA888" s="5"/>
      <c r="AB888" s="5"/>
      <c r="AI888"/>
    </row>
    <row r="889" spans="1:35" hidden="1" x14ac:dyDescent="0.3">
      <c r="A889" s="5" t="str">
        <f>VLOOKUP(B889,base!A:M,11,FALSE)</f>
        <v>TRIFÁSICO</v>
      </c>
      <c r="B889" s="37" t="s">
        <v>283</v>
      </c>
      <c r="C889" s="56">
        <v>6796411024</v>
      </c>
      <c r="D889" s="59">
        <v>62955505182257</v>
      </c>
      <c r="E889" s="37" t="s">
        <v>433</v>
      </c>
      <c r="F889" s="37" t="s">
        <v>434</v>
      </c>
      <c r="G889" s="52">
        <v>45717</v>
      </c>
      <c r="H889" s="52" t="str">
        <f>Faturamento!$B296&amp;Faturamento!$G296</f>
        <v>10/532723-445870</v>
      </c>
      <c r="I889" s="37" t="s">
        <v>435</v>
      </c>
      <c r="J889">
        <v>0</v>
      </c>
      <c r="M889" s="5" t="str">
        <f>IF(Faturamento!$S296&lt;&gt;"","Não emitido",IF(Faturamento!$I296="NÃO","Pendente Fatura", IF(Faturamento!$R296&lt;&gt;"","Aprovado",IF(Faturamento!$O296&lt;&gt;0,"Pendente Emissão","Processo de Calculo"))))</f>
        <v>Aprovado</v>
      </c>
      <c r="N889" s="53">
        <v>0</v>
      </c>
      <c r="O889" s="53">
        <v>0</v>
      </c>
      <c r="P889" s="52"/>
      <c r="Q889" s="52"/>
      <c r="R889" s="53"/>
      <c r="S889" s="37" t="s">
        <v>436</v>
      </c>
      <c r="T889" s="51" t="s">
        <v>442</v>
      </c>
      <c r="U889" s="51"/>
      <c r="V889" s="37" t="s">
        <v>438</v>
      </c>
      <c r="W889" s="53">
        <v>0</v>
      </c>
      <c r="X889" s="123">
        <f>IF(Faturamento!$V123="Pago",IFERROR(W889-R889,0),0)</f>
        <v>0</v>
      </c>
      <c r="Y889" s="52"/>
      <c r="Z889" s="52"/>
      <c r="AA889" s="5"/>
      <c r="AB889" s="5"/>
      <c r="AI889"/>
    </row>
    <row r="890" spans="1:35" hidden="1" x14ac:dyDescent="0.3">
      <c r="A890" s="5" t="str">
        <f>VLOOKUP(B890,base!A:M,11,FALSE)</f>
        <v>TRIFÁSICO</v>
      </c>
      <c r="B890" t="s">
        <v>255</v>
      </c>
      <c r="C890" s="1">
        <v>67999361728</v>
      </c>
      <c r="D890" s="60">
        <v>62955505182257</v>
      </c>
      <c r="E890" s="63" t="s">
        <v>433</v>
      </c>
      <c r="F890" t="s">
        <v>434</v>
      </c>
      <c r="G890" s="4">
        <v>45717</v>
      </c>
      <c r="H890" s="4" t="str">
        <f>Faturamento!$B297&amp;Faturamento!$G297</f>
        <v>10/40190-145839</v>
      </c>
      <c r="I890" t="s">
        <v>435</v>
      </c>
      <c r="J890">
        <v>0</v>
      </c>
      <c r="M890" s="5" t="str">
        <f>IF(Faturamento!$S297&lt;&gt;"","Não emitido",IF(Faturamento!$I297="NÃO","Pendente Fatura", IF(Faturamento!$R297&lt;&gt;"","Aprovado",IF(Faturamento!$O297&lt;&gt;0,"Pendente Emissão","Processo de Calculo"))))</f>
        <v>Aprovado</v>
      </c>
      <c r="N890" s="3">
        <v>0</v>
      </c>
      <c r="O890" s="3">
        <v>0</v>
      </c>
      <c r="P890" s="4"/>
      <c r="Q890" s="4"/>
      <c r="S890" t="s">
        <v>436</v>
      </c>
      <c r="T890" s="51" t="s">
        <v>442</v>
      </c>
      <c r="U890" s="51"/>
      <c r="V890" t="s">
        <v>438</v>
      </c>
      <c r="W890" s="3">
        <v>0</v>
      </c>
      <c r="X890" s="123">
        <f>IF(Faturamento!$V124="Pago",IFERROR(W890-R890,0),0)</f>
        <v>0</v>
      </c>
      <c r="Y890" s="4"/>
      <c r="Z890" s="4"/>
      <c r="AA890" s="5"/>
      <c r="AB890" s="5"/>
      <c r="AI890"/>
    </row>
    <row r="891" spans="1:35" hidden="1" x14ac:dyDescent="0.3">
      <c r="A891" s="5" t="str">
        <f>VLOOKUP(B891,base!A:M,11,FALSE)</f>
        <v>TRIFÁSICO</v>
      </c>
      <c r="B891" s="37" t="s">
        <v>266</v>
      </c>
      <c r="C891" s="56">
        <v>67991060202</v>
      </c>
      <c r="D891" s="59">
        <v>62955505213233</v>
      </c>
      <c r="E891" s="37" t="s">
        <v>433</v>
      </c>
      <c r="F891" s="37" t="s">
        <v>434</v>
      </c>
      <c r="G891" s="52">
        <v>45717</v>
      </c>
      <c r="H891" s="52" t="str">
        <f>Faturamento!$B298&amp;Faturamento!$G298</f>
        <v>10/129490-945901</v>
      </c>
      <c r="I891" s="37" t="s">
        <v>435</v>
      </c>
      <c r="J891">
        <v>0</v>
      </c>
      <c r="M891" s="5" t="str">
        <f>IF(Faturamento!$S298&lt;&gt;"","Não emitido",IF(Faturamento!$I298="NÃO","Pendente Fatura", IF(Faturamento!$R298&lt;&gt;"","Aprovado",IF(Faturamento!$O298&lt;&gt;0,"Pendente Emissão","Processo de Calculo"))))</f>
        <v>Aprovado</v>
      </c>
      <c r="N891" s="53">
        <v>0</v>
      </c>
      <c r="O891" s="53">
        <v>0</v>
      </c>
      <c r="P891" s="52"/>
      <c r="Q891" s="52"/>
      <c r="R891" s="53"/>
      <c r="S891" s="37" t="s">
        <v>436</v>
      </c>
      <c r="T891" s="51" t="s">
        <v>753</v>
      </c>
      <c r="U891" s="51"/>
      <c r="V891" s="37" t="s">
        <v>438</v>
      </c>
      <c r="W891" s="53">
        <v>0</v>
      </c>
      <c r="X891" s="123">
        <f>IF(Faturamento!$V125="Pago",IFERROR(W891-R891,0),0)</f>
        <v>0</v>
      </c>
      <c r="Y891" s="52"/>
      <c r="Z891" s="52"/>
      <c r="AA891" s="5"/>
      <c r="AB891" s="5"/>
      <c r="AI891"/>
    </row>
    <row r="892" spans="1:35" hidden="1" x14ac:dyDescent="0.3">
      <c r="A892" s="5" t="str">
        <f>VLOOKUP(B892,base!A:M,11,FALSE)</f>
        <v>TRIFÁSICO</v>
      </c>
      <c r="B892" s="37" t="s">
        <v>213</v>
      </c>
      <c r="C892" s="56">
        <v>67992637973</v>
      </c>
      <c r="D892" s="59">
        <v>62955505274020</v>
      </c>
      <c r="E892" s="37" t="s">
        <v>433</v>
      </c>
      <c r="F892" s="37" t="s">
        <v>434</v>
      </c>
      <c r="G892" s="52">
        <v>45717</v>
      </c>
      <c r="H892" s="52" t="str">
        <f>Faturamento!$B300&amp;Faturamento!$G300</f>
        <v>10/3005226-045901</v>
      </c>
      <c r="I892" s="37" t="s">
        <v>435</v>
      </c>
      <c r="J892">
        <v>0</v>
      </c>
      <c r="M892" s="5" t="str">
        <f>IF(Faturamento!$S300&lt;&gt;"","Não emitido",IF(Faturamento!$I300="NÃO","Pendente Fatura", IF(Faturamento!$R300&lt;&gt;"","Aprovado",IF(Faturamento!$O300&lt;&gt;0,"Pendente Emissão","Processo de Calculo"))))</f>
        <v>Não emitido</v>
      </c>
      <c r="N892" s="53">
        <v>0</v>
      </c>
      <c r="O892" s="53">
        <v>0</v>
      </c>
      <c r="P892" s="52"/>
      <c r="Q892" s="52"/>
      <c r="R892" s="53"/>
      <c r="S892" s="37" t="s">
        <v>436</v>
      </c>
      <c r="T892" s="51" t="s">
        <v>755</v>
      </c>
      <c r="U892" s="51"/>
      <c r="V892" s="37" t="s">
        <v>438</v>
      </c>
      <c r="W892" s="53">
        <v>0</v>
      </c>
      <c r="X892" s="123">
        <f>IF(Faturamento!$V126="Pago",IFERROR(W892-R892,0),0)</f>
        <v>0</v>
      </c>
      <c r="Y892" s="52"/>
      <c r="Z892" s="52"/>
      <c r="AA892" s="5"/>
      <c r="AB892" s="5"/>
      <c r="AI892"/>
    </row>
    <row r="893" spans="1:35" hidden="1" x14ac:dyDescent="0.3">
      <c r="A893" s="5" t="str">
        <f>VLOOKUP(B893,base!A:M,11,FALSE)</f>
        <v>TRIFÁSICO</v>
      </c>
      <c r="B893" s="37" t="s">
        <v>334</v>
      </c>
      <c r="C893" s="56" t="s">
        <v>336</v>
      </c>
      <c r="D893" s="59">
        <v>62955505015946</v>
      </c>
      <c r="E893" s="37" t="s">
        <v>433</v>
      </c>
      <c r="F893" s="37" t="s">
        <v>434</v>
      </c>
      <c r="G893" s="52">
        <v>45717</v>
      </c>
      <c r="H893" s="52" t="str">
        <f>Faturamento!$B302&amp;Faturamento!$G302</f>
        <v>10/399338-345809</v>
      </c>
      <c r="I893" s="37" t="s">
        <v>435</v>
      </c>
      <c r="J893">
        <v>0</v>
      </c>
      <c r="M893" s="5" t="str">
        <f>IF(Faturamento!$S302&lt;&gt;"","Não emitido",IF(Faturamento!$I302="NÃO","Pendente Fatura", IF(Faturamento!$R302&lt;&gt;"","Aprovado",IF(Faturamento!$O302&lt;&gt;0,"Pendente Emissão","Processo de Calculo"))))</f>
        <v>Aprovado</v>
      </c>
      <c r="N893" s="53">
        <v>0</v>
      </c>
      <c r="O893" s="53">
        <v>0</v>
      </c>
      <c r="P893" s="52"/>
      <c r="Q893" s="52"/>
      <c r="R893" s="53"/>
      <c r="S893" s="37" t="s">
        <v>436</v>
      </c>
      <c r="T893" s="51" t="s">
        <v>757</v>
      </c>
      <c r="U893" s="51"/>
      <c r="V893" s="37" t="s">
        <v>438</v>
      </c>
      <c r="W893" s="53">
        <v>0</v>
      </c>
      <c r="X893" s="123">
        <f>IF(Faturamento!$V127="Pago",IFERROR(W893-R893,0),0)</f>
        <v>0</v>
      </c>
      <c r="Y893" s="52"/>
      <c r="Z893" s="52"/>
      <c r="AA893" s="5"/>
      <c r="AB893" s="5"/>
      <c r="AI893"/>
    </row>
    <row r="894" spans="1:35" hidden="1" x14ac:dyDescent="0.3">
      <c r="A894" s="5" t="str">
        <f>VLOOKUP(B894,base!A:M,11,FALSE)</f>
        <v>TRIFÁSICO</v>
      </c>
      <c r="B894" t="s">
        <v>186</v>
      </c>
      <c r="C894" s="1" t="s">
        <v>403</v>
      </c>
      <c r="D894" s="60">
        <v>62955505016160</v>
      </c>
      <c r="E894" s="63" t="s">
        <v>433</v>
      </c>
      <c r="F894" t="s">
        <v>434</v>
      </c>
      <c r="G894" s="4">
        <v>45717</v>
      </c>
      <c r="H894" s="4" t="str">
        <f>Faturamento!$B303&amp;Faturamento!$G303</f>
        <v>10/1184751-445809</v>
      </c>
      <c r="I894" t="s">
        <v>435</v>
      </c>
      <c r="J894">
        <v>0</v>
      </c>
      <c r="M894" s="5" t="str">
        <f>IF(Faturamento!$S303&lt;&gt;"","Não emitido",IF(Faturamento!$I303="NÃO","Pendente Fatura", IF(Faturamento!$R303&lt;&gt;"","Aprovado",IF(Faturamento!$O303&lt;&gt;0,"Pendente Emissão","Processo de Calculo"))))</f>
        <v>Aprovado</v>
      </c>
      <c r="N894" s="3">
        <v>0</v>
      </c>
      <c r="O894" s="3">
        <v>0</v>
      </c>
      <c r="P894" s="4"/>
      <c r="Q894" s="4"/>
      <c r="S894" t="s">
        <v>436</v>
      </c>
      <c r="T894" s="51" t="s">
        <v>758</v>
      </c>
      <c r="U894" s="51"/>
      <c r="V894" t="s">
        <v>438</v>
      </c>
      <c r="W894" s="3">
        <v>0</v>
      </c>
      <c r="X894" s="123">
        <f>IF(Faturamento!$V128="Pago",IFERROR(W894-R894,0),0)</f>
        <v>0</v>
      </c>
      <c r="Y894" s="4"/>
      <c r="Z894" s="4"/>
      <c r="AA894" s="5"/>
      <c r="AB894" s="5"/>
      <c r="AI894"/>
    </row>
    <row r="895" spans="1:35" hidden="1" x14ac:dyDescent="0.3">
      <c r="A895" s="5" t="str">
        <f>VLOOKUP(B895,base!A:M,11,FALSE)</f>
        <v>TRIFÁSICO</v>
      </c>
      <c r="B895" s="37" t="s">
        <v>324</v>
      </c>
      <c r="C895" s="56">
        <v>67996071169</v>
      </c>
      <c r="D895" s="59">
        <v>62955505136492</v>
      </c>
      <c r="E895" s="37" t="s">
        <v>433</v>
      </c>
      <c r="F895" s="37" t="s">
        <v>434</v>
      </c>
      <c r="G895" s="52">
        <v>45717</v>
      </c>
      <c r="H895" s="52" t="str">
        <f>Faturamento!$B304&amp;Faturamento!$G304</f>
        <v>10/395471-645931</v>
      </c>
      <c r="I895" s="37" t="s">
        <v>435</v>
      </c>
      <c r="J895">
        <v>0</v>
      </c>
      <c r="M895" s="5" t="str">
        <f>IF(Faturamento!$S304&lt;&gt;"","Não emitido",IF(Faturamento!$I304="NÃO","Pendente Fatura", IF(Faturamento!$R304&lt;&gt;"","Aprovado",IF(Faturamento!$O304&lt;&gt;0,"Pendente Emissão","Processo de Calculo"))))</f>
        <v>Aprovado</v>
      </c>
      <c r="N895" s="53">
        <v>0</v>
      </c>
      <c r="O895" s="53">
        <v>0</v>
      </c>
      <c r="P895" s="52"/>
      <c r="Q895" s="52"/>
      <c r="R895" s="53"/>
      <c r="S895" s="37" t="s">
        <v>436</v>
      </c>
      <c r="T895" s="51" t="s">
        <v>759</v>
      </c>
      <c r="U895" s="51"/>
      <c r="V895" s="37" t="s">
        <v>438</v>
      </c>
      <c r="W895" s="53">
        <v>0</v>
      </c>
      <c r="X895" s="123">
        <f>IF(Faturamento!$V129="Pago",IFERROR(W895-R895,0),0)</f>
        <v>0</v>
      </c>
      <c r="Y895" s="52"/>
      <c r="Z895" s="52"/>
      <c r="AA895" s="5"/>
      <c r="AB895" s="5"/>
      <c r="AI895"/>
    </row>
    <row r="896" spans="1:35" hidden="1" x14ac:dyDescent="0.3">
      <c r="A896" s="5" t="str">
        <f>VLOOKUP(B896,base!A:M,11,FALSE)</f>
        <v>BIFÁSICO</v>
      </c>
      <c r="B896" t="s">
        <v>268</v>
      </c>
      <c r="C896" s="1">
        <v>67996859014</v>
      </c>
      <c r="D896" s="60">
        <v>62955505177504</v>
      </c>
      <c r="E896" s="63" t="s">
        <v>433</v>
      </c>
      <c r="F896" t="s">
        <v>434</v>
      </c>
      <c r="G896" s="4">
        <v>45717</v>
      </c>
      <c r="H896" s="4" t="str">
        <f>Faturamento!$B305&amp;Faturamento!$G305</f>
        <v>10/13786-945901</v>
      </c>
      <c r="I896" t="s">
        <v>435</v>
      </c>
      <c r="J896">
        <v>0</v>
      </c>
      <c r="M896" s="5" t="str">
        <f>IF(Faturamento!$S305&lt;&gt;"","Não emitido",IF(Faturamento!$I305="NÃO","Pendente Fatura", IF(Faturamento!$R305&lt;&gt;"","Aprovado",IF(Faturamento!$O305&lt;&gt;0,"Pendente Emissão","Processo de Calculo"))))</f>
        <v>Aprovado</v>
      </c>
      <c r="N896" s="3">
        <v>0</v>
      </c>
      <c r="O896" s="3">
        <v>0</v>
      </c>
      <c r="P896" s="4"/>
      <c r="Q896" s="4"/>
      <c r="S896" t="s">
        <v>436</v>
      </c>
      <c r="T896" s="51" t="s">
        <v>513</v>
      </c>
      <c r="U896" s="51"/>
      <c r="V896" t="s">
        <v>438</v>
      </c>
      <c r="W896" s="3">
        <v>0</v>
      </c>
      <c r="X896" s="123">
        <f>IF(Faturamento!$V130="Pago",IFERROR(W896-R896,0),0)</f>
        <v>0</v>
      </c>
      <c r="Y896" s="4"/>
      <c r="Z896" s="4"/>
      <c r="AA896" s="5"/>
      <c r="AB896" s="5"/>
      <c r="AI896"/>
    </row>
    <row r="897" spans="1:35" hidden="1" x14ac:dyDescent="0.3">
      <c r="A897" s="5" t="str">
        <f>VLOOKUP(B897,base!A:M,11,FALSE)</f>
        <v>TRIFÁSICO</v>
      </c>
      <c r="B897" t="s">
        <v>148</v>
      </c>
      <c r="C897" s="1">
        <v>67996150274</v>
      </c>
      <c r="D897" s="60">
        <v>62955505331198</v>
      </c>
      <c r="E897" s="63" t="s">
        <v>433</v>
      </c>
      <c r="F897" t="s">
        <v>434</v>
      </c>
      <c r="G897" s="4">
        <v>45717</v>
      </c>
      <c r="H897" s="4" t="str">
        <f>Faturamento!$B309&amp;Faturamento!$G309</f>
        <v>10/480529-745931</v>
      </c>
      <c r="I897" t="s">
        <v>435</v>
      </c>
      <c r="J897">
        <v>0</v>
      </c>
      <c r="M897" s="5" t="str">
        <f>IF(Faturamento!$S309&lt;&gt;"","Não emitido",IF(Faturamento!$I309="NÃO","Pendente Fatura", IF(Faturamento!$R309&lt;&gt;"","Aprovado",IF(Faturamento!$O309&lt;&gt;0,"Pendente Emissão","Processo de Calculo"))))</f>
        <v>Aprovado</v>
      </c>
      <c r="N897" s="3">
        <v>0</v>
      </c>
      <c r="O897" s="3">
        <v>0</v>
      </c>
      <c r="P897" s="4"/>
      <c r="Q897" s="4"/>
      <c r="S897" t="s">
        <v>436</v>
      </c>
      <c r="T897" s="51" t="s">
        <v>761</v>
      </c>
      <c r="U897" s="51"/>
      <c r="V897" t="s">
        <v>438</v>
      </c>
      <c r="W897" s="3">
        <v>0</v>
      </c>
      <c r="X897" s="123">
        <f>IF(Faturamento!$V131="Pago",IFERROR(W897-R897,0),0)</f>
        <v>0</v>
      </c>
      <c r="Y897" s="4"/>
      <c r="Z897" s="4"/>
      <c r="AA897" s="5"/>
      <c r="AB897" s="5"/>
      <c r="AI897"/>
    </row>
    <row r="898" spans="1:35" hidden="1" x14ac:dyDescent="0.3">
      <c r="A898" s="5" t="str">
        <f>VLOOKUP(B898,base!A:M,11,FALSE)</f>
        <v>TRIFÁSICO</v>
      </c>
      <c r="B898" s="37" t="s">
        <v>211</v>
      </c>
      <c r="C898" s="56">
        <v>67996266684</v>
      </c>
      <c r="D898" s="59">
        <v>62955505157066</v>
      </c>
      <c r="E898" s="37" t="s">
        <v>433</v>
      </c>
      <c r="F898" s="37" t="s">
        <v>434</v>
      </c>
      <c r="G898" s="52">
        <v>45717</v>
      </c>
      <c r="H898" s="52" t="str">
        <f>Faturamento!$B310&amp;Faturamento!$G310</f>
        <v>10/41548-945931</v>
      </c>
      <c r="I898" s="37" t="s">
        <v>435</v>
      </c>
      <c r="J898">
        <v>0</v>
      </c>
      <c r="M898" s="5" t="str">
        <f>IF(Faturamento!$S310&lt;&gt;"","Não emitido",IF(Faturamento!$I310="NÃO","Pendente Fatura", IF(Faturamento!$R310&lt;&gt;"","Aprovado",IF(Faturamento!$O310&lt;&gt;0,"Pendente Emissão","Processo de Calculo"))))</f>
        <v>Aprovado</v>
      </c>
      <c r="N898" s="53">
        <v>0</v>
      </c>
      <c r="O898" s="53">
        <v>0</v>
      </c>
      <c r="P898" s="52"/>
      <c r="Q898" s="52"/>
      <c r="R898" s="53"/>
      <c r="S898" s="37" t="s">
        <v>436</v>
      </c>
      <c r="T898" s="51" t="s">
        <v>762</v>
      </c>
      <c r="U898" s="51"/>
      <c r="V898" s="37" t="s">
        <v>438</v>
      </c>
      <c r="W898" s="53">
        <v>0</v>
      </c>
      <c r="X898" s="123">
        <f>IF(Faturamento!$V132="Pago",IFERROR(W898-R898,0),0)</f>
        <v>0</v>
      </c>
      <c r="Y898" s="52"/>
      <c r="Z898" s="52"/>
      <c r="AA898" s="5"/>
      <c r="AB898" s="5"/>
      <c r="AI898"/>
    </row>
    <row r="899" spans="1:35" hidden="1" x14ac:dyDescent="0.3">
      <c r="A899" s="5" t="str">
        <f>VLOOKUP(B899,base!A:M,11,FALSE)</f>
        <v>BIFÁSICO</v>
      </c>
      <c r="B899" s="37" t="s">
        <v>158</v>
      </c>
      <c r="C899" s="56">
        <v>67996266684</v>
      </c>
      <c r="D899" s="59">
        <v>62955505197521</v>
      </c>
      <c r="E899" s="37" t="s">
        <v>433</v>
      </c>
      <c r="F899" s="37" t="s">
        <v>434</v>
      </c>
      <c r="G899" s="52">
        <v>45717</v>
      </c>
      <c r="H899" s="52" t="str">
        <f>Faturamento!$B312&amp;Faturamento!$G312</f>
        <v>10/1184751-445689</v>
      </c>
      <c r="I899" s="37" t="s">
        <v>435</v>
      </c>
      <c r="J899">
        <v>0</v>
      </c>
      <c r="M899" s="5" t="str">
        <f>IF(Faturamento!$S312&lt;&gt;"","Não emitido",IF(Faturamento!$I312="NÃO","Pendente Fatura", IF(Faturamento!$R312&lt;&gt;"","Aprovado",IF(Faturamento!$O312&lt;&gt;0,"Pendente Emissão","Processo de Calculo"))))</f>
        <v>Aprovado</v>
      </c>
      <c r="N899" s="53">
        <v>0</v>
      </c>
      <c r="O899" s="53">
        <v>0</v>
      </c>
      <c r="P899" s="52"/>
      <c r="Q899" s="52"/>
      <c r="R899" s="53"/>
      <c r="S899" s="37" t="s">
        <v>436</v>
      </c>
      <c r="T899" s="51" t="s">
        <v>764</v>
      </c>
      <c r="U899" s="51"/>
      <c r="V899" s="37" t="s">
        <v>438</v>
      </c>
      <c r="W899" s="53">
        <v>0</v>
      </c>
      <c r="X899" s="123">
        <f>IF(Faturamento!$V133="Pago",IFERROR(W899-R899,0),0)</f>
        <v>0</v>
      </c>
      <c r="Y899" s="52"/>
      <c r="Z899" s="52"/>
      <c r="AA899" s="5"/>
      <c r="AB899" s="5"/>
      <c r="AI899"/>
    </row>
    <row r="900" spans="1:35" hidden="1" x14ac:dyDescent="0.3">
      <c r="A900" s="5" t="str">
        <f>VLOOKUP(B900,base!A:M,11,FALSE)</f>
        <v>TRIFÁSICO</v>
      </c>
      <c r="B900" t="s">
        <v>320</v>
      </c>
      <c r="C900" s="1">
        <v>67981263396</v>
      </c>
      <c r="D900" s="60">
        <v>62955505135500</v>
      </c>
      <c r="E900" s="63" t="s">
        <v>433</v>
      </c>
      <c r="F900" t="s">
        <v>434</v>
      </c>
      <c r="G900" s="4">
        <v>45717</v>
      </c>
      <c r="H900" s="4" t="str">
        <f>Faturamento!$B313&amp;Faturamento!$G313</f>
        <v>10/1184751-445748</v>
      </c>
      <c r="I900" t="s">
        <v>435</v>
      </c>
      <c r="J900">
        <v>0</v>
      </c>
      <c r="M900" s="5" t="str">
        <f>IF(Faturamento!$S313&lt;&gt;"","Não emitido",IF(Faturamento!$I313="NÃO","Pendente Fatura", IF(Faturamento!$R313&lt;&gt;"","Aprovado",IF(Faturamento!$O313&lt;&gt;0,"Pendente Emissão","Processo de Calculo"))))</f>
        <v>Aprovado</v>
      </c>
      <c r="N900" s="3">
        <v>0</v>
      </c>
      <c r="O900" s="3">
        <v>0</v>
      </c>
      <c r="P900" s="4"/>
      <c r="Q900" s="4"/>
      <c r="S900" t="s">
        <v>436</v>
      </c>
      <c r="T900" s="51" t="s">
        <v>697</v>
      </c>
      <c r="U900" s="51"/>
      <c r="V900" t="s">
        <v>438</v>
      </c>
      <c r="W900" s="3">
        <v>0</v>
      </c>
      <c r="X900" s="123">
        <f>IF(Faturamento!$V134="Pago",IFERROR(W900-R900,0),0)</f>
        <v>0</v>
      </c>
      <c r="Y900" s="4"/>
      <c r="Z900" s="4"/>
      <c r="AA900" s="5"/>
      <c r="AB900" s="5"/>
      <c r="AI900"/>
    </row>
    <row r="901" spans="1:35" hidden="1" x14ac:dyDescent="0.3">
      <c r="A901" s="5" t="e">
        <f>VLOOKUP(B901,base!A:M,11,FALSE)</f>
        <v>#N/A</v>
      </c>
      <c r="B901" s="37" t="s">
        <v>698</v>
      </c>
      <c r="C901" s="56" t="e">
        <v>#N/A</v>
      </c>
      <c r="D901" s="59">
        <v>62955505017213</v>
      </c>
      <c r="E901" s="37" t="s">
        <v>433</v>
      </c>
      <c r="F901" s="37" t="s">
        <v>434</v>
      </c>
      <c r="G901" s="52">
        <v>45717</v>
      </c>
      <c r="H901" s="52" t="str">
        <f>Faturamento!$B316&amp;Faturamento!$G316</f>
        <v>10/1017804-445839</v>
      </c>
      <c r="I901" s="37" t="s">
        <v>435</v>
      </c>
      <c r="J901">
        <v>0</v>
      </c>
      <c r="M901" s="5" t="str">
        <f>IF(Faturamento!$S316&lt;&gt;"","Não emitido",IF(Faturamento!$I316="NÃO","Pendente Fatura", IF(Faturamento!$R316&lt;&gt;"","Aprovado",IF(Faturamento!$O316&lt;&gt;0,"Pendente Emissão","Processo de Calculo"))))</f>
        <v>Aprovado</v>
      </c>
      <c r="N901" s="53">
        <v>0</v>
      </c>
      <c r="O901" s="53">
        <v>0</v>
      </c>
      <c r="P901" s="52"/>
      <c r="Q901" s="52"/>
      <c r="R901" s="53"/>
      <c r="S901" s="37" t="s">
        <v>436</v>
      </c>
      <c r="T901" s="51" t="s">
        <v>474</v>
      </c>
      <c r="U901" s="51"/>
      <c r="V901" s="37" t="s">
        <v>438</v>
      </c>
      <c r="W901" s="53">
        <v>0</v>
      </c>
      <c r="X901" s="123">
        <f>IF(Faturamento!$V135="Pago",IFERROR(W901-R901,0),0)</f>
        <v>0</v>
      </c>
      <c r="Y901" s="52"/>
      <c r="Z901" s="52"/>
      <c r="AA901" s="5"/>
      <c r="AB901" s="5"/>
      <c r="AI901"/>
    </row>
    <row r="902" spans="1:35" hidden="1" x14ac:dyDescent="0.3">
      <c r="A902" s="5" t="str">
        <f>VLOOKUP(B902,base!A:M,11,FALSE)</f>
        <v>BIFÁSICO</v>
      </c>
      <c r="B902" t="s">
        <v>271</v>
      </c>
      <c r="C902" s="1">
        <v>67996687077</v>
      </c>
      <c r="D902" s="60">
        <v>62955505269026</v>
      </c>
      <c r="E902" s="63" t="s">
        <v>433</v>
      </c>
      <c r="F902" t="s">
        <v>434</v>
      </c>
      <c r="G902" s="4">
        <v>45717</v>
      </c>
      <c r="H902" s="4" t="str">
        <f>Faturamento!$B317&amp;Faturamento!$G317</f>
        <v>10/18015-845748</v>
      </c>
      <c r="I902" t="s">
        <v>435</v>
      </c>
      <c r="J902">
        <v>0</v>
      </c>
      <c r="M902" s="5" t="str">
        <f>IF(Faturamento!$S317&lt;&gt;"","Não emitido",IF(Faturamento!$I317="NÃO","Pendente Fatura", IF(Faturamento!$R317&lt;&gt;"","Aprovado",IF(Faturamento!$O317&lt;&gt;0,"Pendente Emissão","Processo de Calculo"))))</f>
        <v>Aprovado</v>
      </c>
      <c r="N902" s="3">
        <v>0</v>
      </c>
      <c r="O902" s="3">
        <v>0</v>
      </c>
      <c r="P902" s="4"/>
      <c r="Q902" s="4"/>
      <c r="S902" t="s">
        <v>436</v>
      </c>
      <c r="T902" s="51" t="s">
        <v>767</v>
      </c>
      <c r="U902" s="51"/>
      <c r="V902" t="s">
        <v>438</v>
      </c>
      <c r="W902" s="3">
        <v>0</v>
      </c>
      <c r="X902" s="123">
        <f>IF(Faturamento!$V136="Pago",IFERROR(W902-R902,0),0)</f>
        <v>0</v>
      </c>
      <c r="Y902" s="4"/>
      <c r="Z902" s="4"/>
      <c r="AA902" s="5"/>
      <c r="AB902" s="5"/>
      <c r="AI902"/>
    </row>
    <row r="903" spans="1:35" hidden="1" x14ac:dyDescent="0.3">
      <c r="A903" s="5" t="str">
        <f>VLOOKUP(B903,base!A:M,11,FALSE)</f>
        <v>TRIFÁSICO</v>
      </c>
      <c r="B903" s="37" t="s">
        <v>307</v>
      </c>
      <c r="C903" s="56">
        <v>67996983476</v>
      </c>
      <c r="D903" s="59">
        <v>62955505182257</v>
      </c>
      <c r="E903" s="37" t="s">
        <v>433</v>
      </c>
      <c r="F903" s="37" t="s">
        <v>434</v>
      </c>
      <c r="G903" s="52">
        <v>45717</v>
      </c>
      <c r="H903" s="52" t="str">
        <f>Faturamento!$B318&amp;Faturamento!$G318</f>
        <v>10/1672452-845658</v>
      </c>
      <c r="I903" s="37" t="s">
        <v>435</v>
      </c>
      <c r="J903">
        <v>0</v>
      </c>
      <c r="M903" s="5" t="str">
        <f>IF(Faturamento!$S318&lt;&gt;"","Não emitido",IF(Faturamento!$I318="NÃO","Pendente Fatura", IF(Faturamento!$R318&lt;&gt;"","Aprovado",IF(Faturamento!$O318&lt;&gt;0,"Pendente Emissão","Processo de Calculo"))))</f>
        <v>Aprovado</v>
      </c>
      <c r="N903" s="53">
        <v>0</v>
      </c>
      <c r="O903" s="53">
        <v>0</v>
      </c>
      <c r="P903" s="52"/>
      <c r="Q903" s="52"/>
      <c r="R903" s="53"/>
      <c r="S903" s="37" t="s">
        <v>436</v>
      </c>
      <c r="T903" s="51" t="s">
        <v>442</v>
      </c>
      <c r="U903" s="51"/>
      <c r="V903" s="37" t="s">
        <v>438</v>
      </c>
      <c r="W903" s="53">
        <v>0</v>
      </c>
      <c r="X903" s="123">
        <f>IF(Faturamento!$V137="Pago",IFERROR(W903-R903,0),0)</f>
        <v>0</v>
      </c>
      <c r="Y903" s="52"/>
      <c r="Z903" s="52"/>
      <c r="AA903" s="5"/>
      <c r="AB903" s="5"/>
      <c r="AI903"/>
    </row>
    <row r="904" spans="1:35" hidden="1" x14ac:dyDescent="0.3">
      <c r="A904" s="5" t="str">
        <f>VLOOKUP(B904,base!A:M,11,FALSE)</f>
        <v>BIFÁSICO</v>
      </c>
      <c r="B904" t="s">
        <v>257</v>
      </c>
      <c r="C904" s="1">
        <v>67993249456</v>
      </c>
      <c r="D904" s="60">
        <v>62955505239119</v>
      </c>
      <c r="E904" s="63" t="s">
        <v>433</v>
      </c>
      <c r="F904" t="s">
        <v>434</v>
      </c>
      <c r="G904" s="4">
        <v>45717</v>
      </c>
      <c r="H904" s="4" t="str">
        <f>Faturamento!$B319&amp;Faturamento!$G319</f>
        <v>10/81222-245809</v>
      </c>
      <c r="I904" t="s">
        <v>435</v>
      </c>
      <c r="J904">
        <v>0</v>
      </c>
      <c r="M904" s="5" t="str">
        <f>IF(Faturamento!$S319&lt;&gt;"","Não emitido",IF(Faturamento!$I319="NÃO","Pendente Fatura", IF(Faturamento!$R319&lt;&gt;"","Aprovado",IF(Faturamento!$O319&lt;&gt;0,"Pendente Emissão","Processo de Calculo"))))</f>
        <v>Aprovado</v>
      </c>
      <c r="N904" s="3">
        <v>0</v>
      </c>
      <c r="O904" s="3">
        <v>0</v>
      </c>
      <c r="P904" s="4"/>
      <c r="Q904" s="4"/>
      <c r="S904" t="s">
        <v>436</v>
      </c>
      <c r="T904" s="51" t="s">
        <v>768</v>
      </c>
      <c r="U904" s="51"/>
      <c r="V904" t="s">
        <v>438</v>
      </c>
      <c r="W904" s="3">
        <v>0</v>
      </c>
      <c r="X904" s="123">
        <f>IF(Faturamento!$V138="Pago",IFERROR(W904-R904,0),0)</f>
        <v>0</v>
      </c>
      <c r="Y904" s="4"/>
      <c r="Z904" s="4"/>
      <c r="AA904" s="5"/>
      <c r="AB904" s="5"/>
      <c r="AI904"/>
    </row>
    <row r="905" spans="1:35" hidden="1" x14ac:dyDescent="0.3">
      <c r="A905" s="5" t="str">
        <f>VLOOKUP(B905,base!A:M,11,FALSE)</f>
        <v>TRIFÁSICO</v>
      </c>
      <c r="B905" s="37" t="s">
        <v>299</v>
      </c>
      <c r="C905" s="56" t="s">
        <v>175</v>
      </c>
      <c r="D905" s="59">
        <v>62955505189340</v>
      </c>
      <c r="E905" s="37" t="s">
        <v>433</v>
      </c>
      <c r="F905" s="37" t="s">
        <v>434</v>
      </c>
      <c r="G905" s="52">
        <v>45717</v>
      </c>
      <c r="H905" s="52" t="str">
        <f>Faturamento!$B320&amp;Faturamento!$G320</f>
        <v>10/237441-145717</v>
      </c>
      <c r="I905" s="37" t="s">
        <v>435</v>
      </c>
      <c r="J905">
        <v>0</v>
      </c>
      <c r="M905" s="5" t="str">
        <f>IF(Faturamento!$S320&lt;&gt;"","Não emitido",IF(Faturamento!$I320="NÃO","Pendente Fatura", IF(Faturamento!$R320&lt;&gt;"","Aprovado",IF(Faturamento!$O320&lt;&gt;0,"Pendente Emissão","Processo de Calculo"))))</f>
        <v>Aprovado</v>
      </c>
      <c r="N905" s="53">
        <v>0</v>
      </c>
      <c r="O905" s="53">
        <v>0</v>
      </c>
      <c r="P905" s="52"/>
      <c r="Q905" s="52"/>
      <c r="R905" s="53"/>
      <c r="S905" s="37" t="s">
        <v>436</v>
      </c>
      <c r="T905" s="51" t="s">
        <v>769</v>
      </c>
      <c r="U905" s="51"/>
      <c r="V905" s="37" t="s">
        <v>438</v>
      </c>
      <c r="W905" s="53">
        <v>0</v>
      </c>
      <c r="X905" s="123">
        <f>IF(Faturamento!$V139="Pago",IFERROR(W905-R905,0),0)</f>
        <v>0</v>
      </c>
      <c r="Y905" s="52"/>
      <c r="Z905" s="52"/>
      <c r="AA905" s="5"/>
      <c r="AB905" s="5"/>
      <c r="AI905"/>
    </row>
    <row r="906" spans="1:35" hidden="1" x14ac:dyDescent="0.3">
      <c r="A906" s="5" t="str">
        <f>VLOOKUP(B906,base!A:M,11,FALSE)</f>
        <v>BIFÁSICO</v>
      </c>
      <c r="B906" s="37" t="s">
        <v>208</v>
      </c>
      <c r="C906" s="56">
        <v>67996711972</v>
      </c>
      <c r="D906" s="59">
        <v>62955505016594</v>
      </c>
      <c r="E906" s="37" t="s">
        <v>433</v>
      </c>
      <c r="F906" s="37" t="s">
        <v>434</v>
      </c>
      <c r="G906" s="52">
        <v>45717</v>
      </c>
      <c r="H906" s="52" t="str">
        <f>Faturamento!$B322&amp;Faturamento!$G322</f>
        <v>10/156956-545748</v>
      </c>
      <c r="I906" s="37" t="s">
        <v>435</v>
      </c>
      <c r="J906">
        <v>0</v>
      </c>
      <c r="M906" s="5" t="str">
        <f>IF(Faturamento!$S322&lt;&gt;"","Não emitido",IF(Faturamento!$I322="NÃO","Pendente Fatura", IF(Faturamento!$R322&lt;&gt;"","Aprovado",IF(Faturamento!$O322&lt;&gt;0,"Pendente Emissão","Processo de Calculo"))))</f>
        <v>Aprovado</v>
      </c>
      <c r="N906" s="53">
        <v>0</v>
      </c>
      <c r="O906" s="53">
        <v>0</v>
      </c>
      <c r="P906" s="52"/>
      <c r="Q906" s="52"/>
      <c r="R906" s="53"/>
      <c r="S906" s="37" t="s">
        <v>436</v>
      </c>
      <c r="T906" s="51" t="s">
        <v>771</v>
      </c>
      <c r="U906" s="51"/>
      <c r="V906" s="37" t="s">
        <v>438</v>
      </c>
      <c r="W906" s="53">
        <v>0</v>
      </c>
      <c r="X906" s="123">
        <f>IF(Faturamento!$V141="Pago",IFERROR(W906-R906,0),0)</f>
        <v>0</v>
      </c>
      <c r="Y906" s="52"/>
      <c r="Z906" s="52"/>
      <c r="AA906" s="5"/>
      <c r="AB906" s="5"/>
      <c r="AI906"/>
    </row>
    <row r="907" spans="1:35" hidden="1" x14ac:dyDescent="0.3">
      <c r="A907" s="5" t="str">
        <f>VLOOKUP(B907,base!A:M,11,FALSE)</f>
        <v>BIFÁSICO</v>
      </c>
      <c r="B907" s="37" t="s">
        <v>130</v>
      </c>
      <c r="C907" s="56" t="s">
        <v>132</v>
      </c>
      <c r="D907" s="59">
        <v>62955505000167</v>
      </c>
      <c r="E907" s="37" t="s">
        <v>433</v>
      </c>
      <c r="F907" s="37" t="s">
        <v>434</v>
      </c>
      <c r="G907" s="52">
        <v>45717</v>
      </c>
      <c r="H907" s="52" t="str">
        <f>Faturamento!$B324&amp;Faturamento!$G324</f>
        <v>10/239312-245870</v>
      </c>
      <c r="I907" s="37" t="s">
        <v>435</v>
      </c>
      <c r="J907">
        <v>0</v>
      </c>
      <c r="M907" s="5" t="str">
        <f>IF(Faturamento!$S324&lt;&gt;"","Não emitido",IF(Faturamento!$I324="NÃO","Pendente Fatura", IF(Faturamento!$R324&lt;&gt;"","Aprovado",IF(Faturamento!$O324&lt;&gt;0,"Pendente Emissão","Processo de Calculo"))))</f>
        <v>Aprovado</v>
      </c>
      <c r="N907" s="53">
        <v>0</v>
      </c>
      <c r="O907" s="53">
        <v>0</v>
      </c>
      <c r="P907" s="52"/>
      <c r="Q907" s="52"/>
      <c r="R907" s="53"/>
      <c r="S907" s="37" t="s">
        <v>436</v>
      </c>
      <c r="T907" s="51" t="s">
        <v>535</v>
      </c>
      <c r="U907" s="51"/>
      <c r="V907" s="37" t="s">
        <v>438</v>
      </c>
      <c r="W907" s="53">
        <v>0</v>
      </c>
      <c r="X907" s="123">
        <f>IF(Faturamento!$V142="Pago",IFERROR(W907-R907,0),0)</f>
        <v>0</v>
      </c>
      <c r="Y907" s="52"/>
      <c r="Z907" s="52"/>
      <c r="AA907" s="5"/>
      <c r="AB907" s="5"/>
      <c r="AI907"/>
    </row>
    <row r="908" spans="1:35" hidden="1" x14ac:dyDescent="0.3">
      <c r="A908" s="5" t="str">
        <f>VLOOKUP(B908,base!A:M,11,FALSE)</f>
        <v>TRIFÁSICO</v>
      </c>
      <c r="B908" s="37" t="s">
        <v>330</v>
      </c>
      <c r="C908" s="56" t="s">
        <v>332</v>
      </c>
      <c r="D908" s="59">
        <v>62955505016837</v>
      </c>
      <c r="E908" s="37" t="s">
        <v>433</v>
      </c>
      <c r="F908" s="37" t="s">
        <v>434</v>
      </c>
      <c r="G908" s="52">
        <v>45717</v>
      </c>
      <c r="H908" s="52" t="str">
        <f>Faturamento!$B326&amp;Faturamento!$G326</f>
        <v>10/3005226-045870</v>
      </c>
      <c r="I908" s="37" t="s">
        <v>435</v>
      </c>
      <c r="J908">
        <v>0</v>
      </c>
      <c r="M908" s="5" t="str">
        <f>IF(Faturamento!$S326&lt;&gt;"","Não emitido",IF(Faturamento!$I326="NÃO","Pendente Fatura", IF(Faturamento!$R326&lt;&gt;"","Aprovado",IF(Faturamento!$O326&lt;&gt;0,"Pendente Emissão","Processo de Calculo"))))</f>
        <v>Não emitido</v>
      </c>
      <c r="N908" s="53">
        <v>0</v>
      </c>
      <c r="O908" s="53">
        <v>0</v>
      </c>
      <c r="P908" s="52"/>
      <c r="Q908" s="52"/>
      <c r="R908" s="53"/>
      <c r="S908" s="37" t="s">
        <v>436</v>
      </c>
      <c r="T908" s="51" t="s">
        <v>773</v>
      </c>
      <c r="U908" s="51"/>
      <c r="V908" s="37" t="s">
        <v>438</v>
      </c>
      <c r="W908" s="53">
        <v>0</v>
      </c>
      <c r="X908" s="123">
        <f>IF(Faturamento!$V143="Pago",IFERROR(W908-R908,0),0)</f>
        <v>0</v>
      </c>
      <c r="Y908" s="52"/>
      <c r="Z908" s="52"/>
      <c r="AA908" s="5"/>
      <c r="AB908" s="5"/>
      <c r="AI908"/>
    </row>
    <row r="909" spans="1:35" hidden="1" x14ac:dyDescent="0.3">
      <c r="A909" s="5" t="str">
        <f>VLOOKUP(B909,base!A:M,11,FALSE)</f>
        <v>TRIFÁSICO</v>
      </c>
      <c r="B909" t="s">
        <v>264</v>
      </c>
      <c r="C909" s="1">
        <v>67992876000</v>
      </c>
      <c r="D909" s="60">
        <v>62955505248886</v>
      </c>
      <c r="E909" s="63" t="s">
        <v>433</v>
      </c>
      <c r="F909" t="s">
        <v>434</v>
      </c>
      <c r="G909" s="4">
        <v>45717</v>
      </c>
      <c r="H909" s="4" t="str">
        <f>Faturamento!$B329&amp;Faturamento!$G329</f>
        <v>10/1081489-545809</v>
      </c>
      <c r="I909" t="s">
        <v>435</v>
      </c>
      <c r="J909">
        <v>0</v>
      </c>
      <c r="M909" s="5" t="str">
        <f>IF(Faturamento!$S329&lt;&gt;"","Não emitido",IF(Faturamento!$I329="NÃO","Pendente Fatura", IF(Faturamento!$R329&lt;&gt;"","Aprovado",IF(Faturamento!$O329&lt;&gt;0,"Pendente Emissão","Processo de Calculo"))))</f>
        <v>Aprovado</v>
      </c>
      <c r="N909" s="3">
        <v>0</v>
      </c>
      <c r="O909" s="3">
        <v>0</v>
      </c>
      <c r="P909" s="4"/>
      <c r="Q909" s="4"/>
      <c r="S909" t="s">
        <v>436</v>
      </c>
      <c r="T909" s="51" t="s">
        <v>775</v>
      </c>
      <c r="U909" s="51"/>
      <c r="V909" t="s">
        <v>438</v>
      </c>
      <c r="W909" s="3">
        <v>0</v>
      </c>
      <c r="X909" s="123">
        <f>IF(Faturamento!$V145="Pago",IFERROR(W909-R909,0),0)</f>
        <v>0</v>
      </c>
      <c r="Y909" s="4"/>
      <c r="Z909" s="4"/>
      <c r="AA909" s="5"/>
      <c r="AB909" s="5"/>
      <c r="AI909"/>
    </row>
    <row r="910" spans="1:35" hidden="1" x14ac:dyDescent="0.3">
      <c r="A910" s="5" t="str">
        <f>VLOOKUP(B910,base!A:M,11,FALSE)</f>
        <v>BIFÁSICO</v>
      </c>
      <c r="B910" s="37" t="s">
        <v>250</v>
      </c>
      <c r="C910" s="56">
        <v>65999839279</v>
      </c>
      <c r="D910" s="59">
        <v>62955505015512</v>
      </c>
      <c r="E910" s="37" t="s">
        <v>433</v>
      </c>
      <c r="F910" s="37" t="s">
        <v>434</v>
      </c>
      <c r="G910" s="52">
        <v>45717</v>
      </c>
      <c r="H910" s="52" t="str">
        <f>Faturamento!$B330&amp;Faturamento!$G330</f>
        <v>10/3139326-745809</v>
      </c>
      <c r="I910" s="37" t="s">
        <v>435</v>
      </c>
      <c r="J910">
        <v>0</v>
      </c>
      <c r="M910" s="5" t="str">
        <f>IF(Faturamento!$S330&lt;&gt;"","Não emitido",IF(Faturamento!$I330="NÃO","Pendente Fatura", IF(Faturamento!$R330&lt;&gt;"","Aprovado",IF(Faturamento!$O330&lt;&gt;0,"Pendente Emissão","Processo de Calculo"))))</f>
        <v>Aprovado</v>
      </c>
      <c r="N910" s="53">
        <v>0</v>
      </c>
      <c r="O910" s="53">
        <v>0</v>
      </c>
      <c r="P910" s="52"/>
      <c r="Q910" s="52"/>
      <c r="R910" s="53"/>
      <c r="S910" s="37" t="s">
        <v>436</v>
      </c>
      <c r="T910" s="51" t="s">
        <v>560</v>
      </c>
      <c r="U910" s="51"/>
      <c r="V910" s="37" t="s">
        <v>438</v>
      </c>
      <c r="W910" s="53">
        <v>0</v>
      </c>
      <c r="X910" s="123">
        <f>IF(Faturamento!$V146="Pago",IFERROR(W910-R910,0),0)</f>
        <v>0</v>
      </c>
      <c r="Y910" s="52"/>
      <c r="Z910" s="52"/>
      <c r="AA910" s="5"/>
      <c r="AB910" s="5"/>
      <c r="AI910"/>
    </row>
    <row r="911" spans="1:35" hidden="1" x14ac:dyDescent="0.3">
      <c r="A911" s="5" t="e">
        <f>VLOOKUP(B911,base!A:M,11,FALSE)</f>
        <v>#N/A</v>
      </c>
      <c r="B911" t="s">
        <v>696</v>
      </c>
      <c r="C911" s="1" t="e">
        <v>#N/A</v>
      </c>
      <c r="D911" s="60">
        <v>62955505135500</v>
      </c>
      <c r="E911" s="63" t="s">
        <v>433</v>
      </c>
      <c r="F911" t="s">
        <v>434</v>
      </c>
      <c r="G911" s="4">
        <v>45717</v>
      </c>
      <c r="H911" s="4" t="str">
        <f>Faturamento!$B331&amp;Faturamento!$G331</f>
        <v>10/532723-445809</v>
      </c>
      <c r="I911" t="s">
        <v>435</v>
      </c>
      <c r="J911">
        <v>0</v>
      </c>
      <c r="M911" s="5" t="str">
        <f>IF(Faturamento!$S331&lt;&gt;"","Não emitido",IF(Faturamento!$I331="NÃO","Pendente Fatura", IF(Faturamento!$R331&lt;&gt;"","Aprovado",IF(Faturamento!$O331&lt;&gt;0,"Pendente Emissão","Processo de Calculo"))))</f>
        <v>Aprovado</v>
      </c>
      <c r="N911" s="3">
        <v>0</v>
      </c>
      <c r="O911" s="3">
        <v>0</v>
      </c>
      <c r="P911" s="4"/>
      <c r="Q911" s="4"/>
      <c r="S911" t="s">
        <v>436</v>
      </c>
      <c r="T911" s="51" t="s">
        <v>697</v>
      </c>
      <c r="U911" s="51"/>
      <c r="V911" t="s">
        <v>438</v>
      </c>
      <c r="W911" s="3">
        <v>0</v>
      </c>
      <c r="X911" s="123">
        <f>IF(Faturamento!$V147="Pago",IFERROR(W911-R911,0),0)</f>
        <v>0</v>
      </c>
      <c r="Y911" s="4"/>
      <c r="Z911" s="4"/>
      <c r="AA911" s="5"/>
      <c r="AB911" s="5"/>
      <c r="AI911"/>
    </row>
    <row r="912" spans="1:35" hidden="1" x14ac:dyDescent="0.3">
      <c r="A912" s="5" t="str">
        <f>VLOOKUP(B912,base!A:M,11,FALSE)</f>
        <v>TRIFÁSICO</v>
      </c>
      <c r="B912" t="s">
        <v>343</v>
      </c>
      <c r="C912" s="1">
        <v>67992637973</v>
      </c>
      <c r="D912" s="60">
        <v>62955505358630</v>
      </c>
      <c r="E912" s="63" t="s">
        <v>433</v>
      </c>
      <c r="F912" t="s">
        <v>434</v>
      </c>
      <c r="G912" s="4">
        <v>45717</v>
      </c>
      <c r="H912" s="4" t="str">
        <f>Faturamento!$B335&amp;Faturamento!$G335</f>
        <v>10/3123706-845717</v>
      </c>
      <c r="I912" t="s">
        <v>435</v>
      </c>
      <c r="J912">
        <v>0</v>
      </c>
      <c r="M912" s="5" t="str">
        <f>IF(Faturamento!$S335&lt;&gt;"","Não emitido",IF(Faturamento!$I335="NÃO","Pendente Fatura", IF(Faturamento!$R335&lt;&gt;"","Aprovado",IF(Faturamento!$O335&lt;&gt;0,"Pendente Emissão","Processo de Calculo"))))</f>
        <v>Aprovado</v>
      </c>
      <c r="N912" s="3">
        <v>0</v>
      </c>
      <c r="O912" s="3">
        <v>0</v>
      </c>
      <c r="P912" s="4"/>
      <c r="Q912" s="4"/>
      <c r="S912" t="s">
        <v>436</v>
      </c>
      <c r="T912" s="51" t="s">
        <v>838</v>
      </c>
      <c r="U912" s="51"/>
      <c r="V912" t="s">
        <v>438</v>
      </c>
      <c r="W912" s="3">
        <v>0</v>
      </c>
      <c r="X912" s="123">
        <f>IF(Faturamento!$V151="Pago",IFERROR(W912-R912,0),0)</f>
        <v>0</v>
      </c>
      <c r="Y912" s="4"/>
      <c r="Z912" s="4"/>
      <c r="AA912" s="5"/>
      <c r="AB912" s="5"/>
      <c r="AI912"/>
    </row>
    <row r="913" spans="1:35" hidden="1" x14ac:dyDescent="0.3">
      <c r="A913" s="5" t="str">
        <f>VLOOKUP(B913,base!A:M,11,FALSE)</f>
        <v>TRIFÁSICO</v>
      </c>
      <c r="B913" s="37" t="s">
        <v>302</v>
      </c>
      <c r="C913" s="56">
        <v>67992637973</v>
      </c>
      <c r="D913" s="59">
        <v>62955505321630</v>
      </c>
      <c r="E913" s="37" t="s">
        <v>433</v>
      </c>
      <c r="F913" s="37" t="s">
        <v>434</v>
      </c>
      <c r="G913" s="52">
        <v>45748</v>
      </c>
      <c r="H913" s="52" t="str">
        <f>Faturamento!$B342&amp;Faturamento!$G342</f>
        <v>10/239312-245748</v>
      </c>
      <c r="I913" s="37" t="s">
        <v>435</v>
      </c>
      <c r="J913" s="37">
        <v>0</v>
      </c>
      <c r="K913" s="53"/>
      <c r="L913" s="53"/>
      <c r="M913" s="5" t="str">
        <f>IF(Faturamento!$S342&lt;&gt;"","Não emitido",IF(Faturamento!$I342="NÃO","Pendente Fatura", IF(Faturamento!$R342&lt;&gt;"","Aprovado",IF(Faturamento!$O342&lt;&gt;0,"Pendente Emissão","Processo de Calculo"))))</f>
        <v>Aprovado</v>
      </c>
      <c r="N913" s="53">
        <v>0</v>
      </c>
      <c r="O913" s="53">
        <v>0</v>
      </c>
      <c r="P913" s="52"/>
      <c r="Q913" s="52"/>
      <c r="R913" s="53"/>
      <c r="S913" s="37" t="s">
        <v>436</v>
      </c>
      <c r="T913" s="51" t="s">
        <v>548</v>
      </c>
      <c r="U913" s="51"/>
      <c r="V913" s="37" t="s">
        <v>438</v>
      </c>
      <c r="W913" s="53">
        <v>0</v>
      </c>
      <c r="X913" s="123">
        <f>IF(Faturamento!$V153="Pago",IFERROR(W913-R913,0),0)</f>
        <v>0</v>
      </c>
      <c r="Y913" s="52"/>
      <c r="Z913" s="52"/>
      <c r="AA913" s="5"/>
      <c r="AB913" s="5"/>
      <c r="AI913"/>
    </row>
    <row r="914" spans="1:35" hidden="1" x14ac:dyDescent="0.3">
      <c r="A914" s="5">
        <f>VLOOKUP(B914,base!A:M,11,FALSE)</f>
        <v>0</v>
      </c>
      <c r="B914" t="s">
        <v>122</v>
      </c>
      <c r="C914" s="1">
        <v>67991767866</v>
      </c>
      <c r="D914" s="60">
        <v>62955505091456</v>
      </c>
      <c r="E914" s="63" t="s">
        <v>433</v>
      </c>
      <c r="F914" t="s">
        <v>434</v>
      </c>
      <c r="G914" s="4">
        <v>45748</v>
      </c>
      <c r="H914" s="4" t="str">
        <f>Faturamento!$B351&amp;Faturamento!$G351</f>
        <v>10/511753-645809</v>
      </c>
      <c r="I914" t="s">
        <v>435</v>
      </c>
      <c r="J914" s="37">
        <v>0</v>
      </c>
      <c r="K914" s="53"/>
      <c r="L914" s="53"/>
      <c r="M914" s="5" t="str">
        <f>IF(Faturamento!$S351&lt;&gt;"","Não emitido",IF(Faturamento!$I351="NÃO","Pendente Fatura", IF(Faturamento!$R351&lt;&gt;"","Aprovado",IF(Faturamento!$O351&lt;&gt;0,"Pendente Emissão","Processo de Calculo"))))</f>
        <v>Aprovado</v>
      </c>
      <c r="N914" s="3">
        <v>0</v>
      </c>
      <c r="O914" s="3">
        <v>0</v>
      </c>
      <c r="P914" s="4"/>
      <c r="Q914" s="4"/>
      <c r="S914" t="s">
        <v>436</v>
      </c>
      <c r="T914" s="51" t="s">
        <v>562</v>
      </c>
      <c r="U914" s="51"/>
      <c r="V914" t="s">
        <v>438</v>
      </c>
      <c r="W914" s="3">
        <v>0</v>
      </c>
      <c r="X914" s="123">
        <f>IF(Faturamento!$V154="Pago",IFERROR(W914-R914,0),0)</f>
        <v>0</v>
      </c>
      <c r="Y914" s="4"/>
      <c r="Z914" s="4"/>
      <c r="AA914" s="5"/>
      <c r="AB914" s="5"/>
      <c r="AI914"/>
    </row>
    <row r="915" spans="1:35" hidden="1" x14ac:dyDescent="0.3">
      <c r="A915" s="5" t="str">
        <f>VLOOKUP(B915,base!A:M,11,FALSE)</f>
        <v>TRIFÁSICO</v>
      </c>
      <c r="B915" s="37" t="s">
        <v>140</v>
      </c>
      <c r="C915" s="56">
        <v>67996575782</v>
      </c>
      <c r="D915" s="59">
        <v>62955505015601</v>
      </c>
      <c r="E915" s="37" t="s">
        <v>433</v>
      </c>
      <c r="F915" s="37" t="s">
        <v>434</v>
      </c>
      <c r="G915" s="52">
        <v>45748</v>
      </c>
      <c r="H915" s="52" t="str">
        <f>Faturamento!$B356&amp;Faturamento!$G356</f>
        <v>10/480529-745901</v>
      </c>
      <c r="I915" s="37" t="s">
        <v>435</v>
      </c>
      <c r="J915" s="37">
        <v>0</v>
      </c>
      <c r="K915" s="53"/>
      <c r="L915" s="53"/>
      <c r="M915" s="5" t="str">
        <f>IF(Faturamento!$S356&lt;&gt;"","Não emitido",IF(Faturamento!$I356="NÃO","Pendente Fatura", IF(Faturamento!$R356&lt;&gt;"","Aprovado",IF(Faturamento!$O356&lt;&gt;0,"Pendente Emissão","Processo de Calculo"))))</f>
        <v>Aprovado</v>
      </c>
      <c r="N915" s="53">
        <v>0</v>
      </c>
      <c r="O915" s="53">
        <v>0</v>
      </c>
      <c r="P915" s="52"/>
      <c r="Q915" s="52"/>
      <c r="R915" s="53"/>
      <c r="S915" s="37" t="s">
        <v>436</v>
      </c>
      <c r="T915" s="51" t="s">
        <v>448</v>
      </c>
      <c r="U915" s="51"/>
      <c r="V915" s="37" t="s">
        <v>438</v>
      </c>
      <c r="W915" s="53">
        <v>0</v>
      </c>
      <c r="X915" s="123">
        <f>IF(Faturamento!$V156="Pago",IFERROR(W915-R915,0),0)</f>
        <v>0</v>
      </c>
      <c r="Y915" s="52"/>
      <c r="Z915" s="52"/>
      <c r="AA915" s="5"/>
      <c r="AB915" s="5"/>
      <c r="AI915"/>
    </row>
    <row r="916" spans="1:35" hidden="1" x14ac:dyDescent="0.3">
      <c r="A916" s="5" t="e">
        <f>VLOOKUP(B916,base!A:M,11,FALSE)</f>
        <v>#N/A</v>
      </c>
      <c r="B916" t="s">
        <v>699</v>
      </c>
      <c r="C916" s="1" t="e">
        <v>#N/A</v>
      </c>
      <c r="D916" s="60">
        <v>62955505035629</v>
      </c>
      <c r="E916" s="63" t="s">
        <v>433</v>
      </c>
      <c r="F916" t="s">
        <v>434</v>
      </c>
      <c r="G916" s="4">
        <v>45748</v>
      </c>
      <c r="H916" s="4" t="str">
        <f>Faturamento!$B379&amp;Faturamento!$G379</f>
        <v>10/1698130-045748</v>
      </c>
      <c r="I916" t="s">
        <v>435</v>
      </c>
      <c r="J916" s="37">
        <v>0</v>
      </c>
      <c r="K916" s="53"/>
      <c r="L916" s="53"/>
      <c r="M916" s="5" t="str">
        <f>IF(Faturamento!$S379&lt;&gt;"","Não emitido",IF(Faturamento!$I379="NÃO","Pendente Fatura", IF(Faturamento!$R379&lt;&gt;"","Aprovado",IF(Faturamento!$O379&lt;&gt;0,"Pendente Emissão","Processo de Calculo"))))</f>
        <v>Aprovado</v>
      </c>
      <c r="N916" s="3">
        <v>959.21</v>
      </c>
      <c r="O916" s="3">
        <v>0</v>
      </c>
      <c r="P916" s="4"/>
      <c r="Q916" s="4"/>
      <c r="S916" t="s">
        <v>436</v>
      </c>
      <c r="T916" s="51" t="s">
        <v>822</v>
      </c>
      <c r="U916" s="51"/>
      <c r="V916" t="s">
        <v>438</v>
      </c>
      <c r="W916" s="3">
        <v>0</v>
      </c>
      <c r="X916" s="123">
        <f>IF(Faturamento!$V159="Pago",IFERROR(W916-R916,0),0)</f>
        <v>0</v>
      </c>
      <c r="Y916" s="4"/>
      <c r="Z916" s="4"/>
      <c r="AA916" s="5"/>
      <c r="AB916" s="5"/>
      <c r="AI916"/>
    </row>
    <row r="917" spans="1:35" hidden="1" x14ac:dyDescent="0.3">
      <c r="A917" s="5" t="e">
        <f>VLOOKUP(B917,base!A:M,11,FALSE)</f>
        <v>#N/A</v>
      </c>
      <c r="B917" s="37" t="s">
        <v>645</v>
      </c>
      <c r="C917" s="56" t="e">
        <v>#N/A</v>
      </c>
      <c r="D917" s="59">
        <v>62955505393207</v>
      </c>
      <c r="E917" s="37" t="s">
        <v>433</v>
      </c>
      <c r="F917" s="37" t="s">
        <v>434</v>
      </c>
      <c r="G917" s="52">
        <v>45748</v>
      </c>
      <c r="H917" s="52" t="str">
        <f>Faturamento!$B382&amp;Faturamento!$G382</f>
        <v>10/1035655-845809</v>
      </c>
      <c r="I917" s="37" t="s">
        <v>435</v>
      </c>
      <c r="J917" s="37">
        <v>0</v>
      </c>
      <c r="K917" s="53"/>
      <c r="L917" s="53"/>
      <c r="M917" s="5" t="str">
        <f>IF(Faturamento!$S382&lt;&gt;"","Não emitido",IF(Faturamento!$I382="NÃO","Pendente Fatura", IF(Faturamento!$R382&lt;&gt;"","Aprovado",IF(Faturamento!$O382&lt;&gt;0,"Pendente Emissão","Processo de Calculo"))))</f>
        <v>Aprovado</v>
      </c>
      <c r="N917" s="53">
        <v>0</v>
      </c>
      <c r="O917" s="53">
        <v>0</v>
      </c>
      <c r="P917" s="52"/>
      <c r="Q917" s="52"/>
      <c r="R917" s="53"/>
      <c r="S917" s="37" t="s">
        <v>436</v>
      </c>
      <c r="T917" s="51" t="s">
        <v>437</v>
      </c>
      <c r="U917" s="51"/>
      <c r="V917" s="37" t="s">
        <v>438</v>
      </c>
      <c r="W917" s="53">
        <v>0</v>
      </c>
      <c r="X917" s="123">
        <f>IF(Faturamento!$V161="Pago",IFERROR(W917-R917,0),0)</f>
        <v>0</v>
      </c>
      <c r="Y917" s="52"/>
      <c r="Z917" s="52"/>
      <c r="AA917" s="5"/>
      <c r="AB917" s="5"/>
      <c r="AI917"/>
    </row>
    <row r="918" spans="1:35" hidden="1" x14ac:dyDescent="0.3">
      <c r="A918" s="5" t="str">
        <f>VLOOKUP(B918,base!A:M,11,FALSE)</f>
        <v>TRIFÁSICO</v>
      </c>
      <c r="B918" t="s">
        <v>292</v>
      </c>
      <c r="C918" s="1">
        <v>67996446178</v>
      </c>
      <c r="D918" s="60">
        <v>62955505887382</v>
      </c>
      <c r="E918" s="63" t="s">
        <v>433</v>
      </c>
      <c r="F918" t="s">
        <v>434</v>
      </c>
      <c r="G918" s="4">
        <v>45748</v>
      </c>
      <c r="H918" s="4" t="str">
        <f>Faturamento!$B405&amp;Faturamento!$G405</f>
        <v>10/3123706-845748</v>
      </c>
      <c r="I918" t="s">
        <v>435</v>
      </c>
      <c r="J918" s="37">
        <v>0</v>
      </c>
      <c r="K918" s="53"/>
      <c r="L918" s="53"/>
      <c r="M918" s="5" t="str">
        <f>IF(Faturamento!$S405&lt;&gt;"","Não emitido",IF(Faturamento!$I405="NÃO","Pendente Fatura", IF(Faturamento!$R405&lt;&gt;"","Aprovado",IF(Faturamento!$O405&lt;&gt;0,"Pendente Emissão","Processo de Calculo"))))</f>
        <v>Aprovado</v>
      </c>
      <c r="N918" s="3">
        <v>0</v>
      </c>
      <c r="O918" s="3">
        <v>0</v>
      </c>
      <c r="P918" s="4"/>
      <c r="Q918" s="4"/>
      <c r="S918" t="s">
        <v>436</v>
      </c>
      <c r="T918" s="51" t="s">
        <v>681</v>
      </c>
      <c r="U918" s="51"/>
      <c r="V918" t="s">
        <v>438</v>
      </c>
      <c r="W918" s="3">
        <v>0</v>
      </c>
      <c r="X918" s="123">
        <f>IF(Faturamento!$V164="Pago",IFERROR(W918-R918,0),0)</f>
        <v>0</v>
      </c>
      <c r="Y918" s="4"/>
      <c r="Z918" s="4"/>
      <c r="AA918" s="5"/>
      <c r="AB918" s="5"/>
      <c r="AI918"/>
    </row>
    <row r="919" spans="1:35" hidden="1" x14ac:dyDescent="0.3">
      <c r="A919" s="5" t="e">
        <f>VLOOKUP(B919,base!A:M,11,FALSE)</f>
        <v>#N/A</v>
      </c>
      <c r="B919" t="s">
        <v>698</v>
      </c>
      <c r="C919" s="1" t="e">
        <v>#N/A</v>
      </c>
      <c r="D919" s="60">
        <v>62955505017213</v>
      </c>
      <c r="E919" s="63" t="s">
        <v>433</v>
      </c>
      <c r="F919" t="s">
        <v>434</v>
      </c>
      <c r="G919" s="4">
        <v>45748</v>
      </c>
      <c r="H919" s="4" t="str">
        <f>Faturamento!$B413&amp;Faturamento!$G413</f>
        <v>10/69319-245901</v>
      </c>
      <c r="I919" t="s">
        <v>435</v>
      </c>
      <c r="J919" s="37">
        <v>0</v>
      </c>
      <c r="K919" s="53"/>
      <c r="L919" s="53"/>
      <c r="M919" s="5" t="str">
        <f>IF(Faturamento!$S413&lt;&gt;"","Não emitido",IF(Faturamento!$I413="NÃO","Pendente Fatura", IF(Faturamento!$R413&lt;&gt;"","Aprovado",IF(Faturamento!$O413&lt;&gt;0,"Pendente Emissão","Processo de Calculo"))))</f>
        <v>Aprovado</v>
      </c>
      <c r="N919" s="3">
        <v>0</v>
      </c>
      <c r="O919" s="3">
        <v>0</v>
      </c>
      <c r="P919" s="4"/>
      <c r="Q919" s="4"/>
      <c r="S919" t="s">
        <v>436</v>
      </c>
      <c r="T919" s="51" t="s">
        <v>474</v>
      </c>
      <c r="U919" s="51"/>
      <c r="V919" t="s">
        <v>438</v>
      </c>
      <c r="W919" s="3">
        <v>0</v>
      </c>
      <c r="X919" s="123">
        <f>IF(Faturamento!$V166="Pago",IFERROR(W919-R919,0),0)</f>
        <v>0</v>
      </c>
      <c r="Y919" s="4"/>
      <c r="Z919" s="4"/>
      <c r="AA919" s="5"/>
      <c r="AB919" s="5"/>
      <c r="AI919"/>
    </row>
    <row r="920" spans="1:35" hidden="1" x14ac:dyDescent="0.3">
      <c r="A920" s="5" t="str">
        <f>VLOOKUP(B920,base!A:M,11,FALSE)</f>
        <v>TRIFÁSICO</v>
      </c>
      <c r="B920" t="s">
        <v>299</v>
      </c>
      <c r="C920" s="1" t="s">
        <v>175</v>
      </c>
      <c r="D920" s="60">
        <v>62955505189340</v>
      </c>
      <c r="E920" s="63" t="s">
        <v>433</v>
      </c>
      <c r="F920" t="s">
        <v>434</v>
      </c>
      <c r="G920" s="4">
        <v>45748</v>
      </c>
      <c r="H920" s="4" t="str">
        <f>Faturamento!$B417&amp;Faturamento!$G417</f>
        <v>10/109074-545931</v>
      </c>
      <c r="I920" t="s">
        <v>435</v>
      </c>
      <c r="J920" s="37">
        <v>0</v>
      </c>
      <c r="K920" s="53"/>
      <c r="L920" s="53"/>
      <c r="M920" s="5" t="str">
        <f>IF(Faturamento!$S417&lt;&gt;"","Não emitido",IF(Faturamento!$I417="NÃO","Pendente Fatura", IF(Faturamento!$R417&lt;&gt;"","Aprovado",IF(Faturamento!$O417&lt;&gt;0,"Pendente Emissão","Processo de Calculo"))))</f>
        <v>Aprovado</v>
      </c>
      <c r="N920" s="3">
        <v>0</v>
      </c>
      <c r="O920" s="3">
        <v>0</v>
      </c>
      <c r="P920" s="4"/>
      <c r="Q920" s="4"/>
      <c r="S920" t="s">
        <v>436</v>
      </c>
      <c r="T920" s="51" t="s">
        <v>769</v>
      </c>
      <c r="U920" s="51"/>
      <c r="V920" t="s">
        <v>438</v>
      </c>
      <c r="W920" s="3">
        <v>0</v>
      </c>
      <c r="X920" s="123">
        <f>IF(Faturamento!$V169="Pago",IFERROR(W920-R920,0),0)</f>
        <v>0</v>
      </c>
      <c r="Y920" s="4"/>
      <c r="Z920" s="4"/>
      <c r="AA920" s="5"/>
      <c r="AB920" s="5"/>
      <c r="AI920"/>
    </row>
    <row r="921" spans="1:35" hidden="1" x14ac:dyDescent="0.3">
      <c r="A921" s="5" t="str">
        <f>VLOOKUP(B921,base!A:M,11,FALSE)</f>
        <v>TRIFÁSICO</v>
      </c>
      <c r="B921" s="37" t="s">
        <v>242</v>
      </c>
      <c r="C921" s="56">
        <v>67996266684</v>
      </c>
      <c r="D921" s="59">
        <v>62955505312487</v>
      </c>
      <c r="E921" s="37" t="s">
        <v>433</v>
      </c>
      <c r="F921" s="37" t="s">
        <v>434</v>
      </c>
      <c r="G921" s="52">
        <v>45748</v>
      </c>
      <c r="H921" s="52" t="str">
        <f>Faturamento!$B420&amp;Faturamento!$G420</f>
        <v>10/2247256-745748</v>
      </c>
      <c r="I921" s="37" t="s">
        <v>435</v>
      </c>
      <c r="J921" s="37">
        <v>0</v>
      </c>
      <c r="K921" s="53"/>
      <c r="L921" s="53"/>
      <c r="M921" s="5" t="str">
        <f>IF(Faturamento!$S420&lt;&gt;"","Não emitido",IF(Faturamento!$I420="NÃO","Pendente Fatura", IF(Faturamento!$R420&lt;&gt;"","Aprovado",IF(Faturamento!$O420&lt;&gt;0,"Pendente Emissão","Processo de Calculo"))))</f>
        <v>Aprovado</v>
      </c>
      <c r="N921" s="53">
        <v>0</v>
      </c>
      <c r="O921" s="53">
        <v>0</v>
      </c>
      <c r="P921" s="52"/>
      <c r="Q921" s="52"/>
      <c r="R921" s="53"/>
      <c r="S921" s="37" t="s">
        <v>436</v>
      </c>
      <c r="T921" s="51" t="s">
        <v>666</v>
      </c>
      <c r="U921" s="51"/>
      <c r="V921" s="37" t="s">
        <v>438</v>
      </c>
      <c r="W921" s="53">
        <v>99.811360544217678</v>
      </c>
      <c r="X921" s="123">
        <f>IF(Faturamento!$V171="Pago",IFERROR(W921-R921,0),0)</f>
        <v>99.811360544217678</v>
      </c>
      <c r="Y921" s="52"/>
      <c r="Z921" s="52"/>
      <c r="AA921" s="5"/>
      <c r="AB921" s="5"/>
      <c r="AI921"/>
    </row>
    <row r="922" spans="1:35" hidden="1" x14ac:dyDescent="0.3">
      <c r="A922" s="5" t="e">
        <f>VLOOKUP(B922,base!A:M,11,FALSE)</f>
        <v>#N/A</v>
      </c>
      <c r="B922" s="37" t="s">
        <v>696</v>
      </c>
      <c r="C922" s="56" t="e">
        <v>#N/A</v>
      </c>
      <c r="D922" s="59">
        <v>62955505135500</v>
      </c>
      <c r="E922" s="37" t="s">
        <v>433</v>
      </c>
      <c r="F922" s="37" t="s">
        <v>434</v>
      </c>
      <c r="G922" s="52">
        <v>45748</v>
      </c>
      <c r="H922" s="52" t="str">
        <f>Faturamento!$B428&amp;Faturamento!$G428</f>
        <v>10/931327-145901</v>
      </c>
      <c r="I922" s="37" t="s">
        <v>435</v>
      </c>
      <c r="J922" s="37">
        <v>0</v>
      </c>
      <c r="K922" s="53"/>
      <c r="L922" s="53"/>
      <c r="M922" s="5" t="str">
        <f>IF(Faturamento!$S428&lt;&gt;"","Não emitido",IF(Faturamento!$I428="NÃO","Pendente Fatura", IF(Faturamento!$R428&lt;&gt;"","Aprovado",IF(Faturamento!$O428&lt;&gt;0,"Pendente Emissão","Processo de Calculo"))))</f>
        <v>Aprovado</v>
      </c>
      <c r="N922" s="53">
        <v>0</v>
      </c>
      <c r="O922" s="53">
        <v>0</v>
      </c>
      <c r="P922" s="52"/>
      <c r="Q922" s="52"/>
      <c r="R922" s="53"/>
      <c r="S922" s="37" t="s">
        <v>436</v>
      </c>
      <c r="T922" s="51" t="s">
        <v>697</v>
      </c>
      <c r="U922" s="51"/>
      <c r="V922" s="37" t="s">
        <v>438</v>
      </c>
      <c r="W922" s="53">
        <v>91.55117647058826</v>
      </c>
      <c r="X922" s="123">
        <f>IF(Faturamento!$V173="Pago",IFERROR(W922-R922,0),0)</f>
        <v>91.55117647058826</v>
      </c>
      <c r="Y922" s="52"/>
      <c r="Z922" s="52"/>
      <c r="AA922" s="5"/>
      <c r="AB922" s="5"/>
      <c r="AI922"/>
    </row>
    <row r="923" spans="1:35" hidden="1" x14ac:dyDescent="0.3">
      <c r="A923" s="5" t="str">
        <f>VLOOKUP(B923,base!A:M,11,FALSE)</f>
        <v>TRIFÁSICO</v>
      </c>
      <c r="B923" t="s">
        <v>302</v>
      </c>
      <c r="C923" s="1">
        <v>67992637973</v>
      </c>
      <c r="D923" s="60">
        <v>62955505321630</v>
      </c>
      <c r="E923" s="63" t="s">
        <v>433</v>
      </c>
      <c r="F923" t="s">
        <v>434</v>
      </c>
      <c r="G923" s="4">
        <v>45778</v>
      </c>
      <c r="H923" s="4" t="str">
        <f>Faturamento!$B439&amp;Faturamento!$G439</f>
        <v>10/18015-845778</v>
      </c>
      <c r="I923" t="s">
        <v>435</v>
      </c>
      <c r="J923">
        <v>0</v>
      </c>
      <c r="M923" s="5" t="str">
        <f>IF(Faturamento!$S439&lt;&gt;"","Não emitido",IF(Faturamento!$I439="NÃO","Pendente Fatura", IF(Faturamento!$R439&lt;&gt;"","Aprovado",IF(Faturamento!$O439&lt;&gt;0,"Pendente Emissão","Processo de Calculo"))))</f>
        <v>Aprovado</v>
      </c>
      <c r="N923" s="3">
        <v>0</v>
      </c>
      <c r="O923" s="3">
        <v>0</v>
      </c>
      <c r="P923" s="4"/>
      <c r="Q923" s="4"/>
      <c r="R923" s="3" t="s">
        <v>934</v>
      </c>
      <c r="S923" t="s">
        <v>436</v>
      </c>
      <c r="T923" s="51" t="s">
        <v>548</v>
      </c>
      <c r="U923" s="51"/>
      <c r="V923" t="s">
        <v>438</v>
      </c>
      <c r="W923" s="3">
        <v>0</v>
      </c>
      <c r="X923" s="123">
        <f>IF(Faturamento!$V176="Pago",IFERROR(W923-R923,0),0)</f>
        <v>0</v>
      </c>
      <c r="Y923" s="4"/>
      <c r="Z923" s="4"/>
      <c r="AA923" s="5"/>
      <c r="AB923" s="5"/>
      <c r="AI923"/>
    </row>
    <row r="924" spans="1:35" hidden="1" x14ac:dyDescent="0.3">
      <c r="A924" s="5">
        <f>VLOOKUP(B924,base!A:M,11,FALSE)</f>
        <v>0</v>
      </c>
      <c r="B924" s="37" t="s">
        <v>122</v>
      </c>
      <c r="C924" s="56">
        <v>67991767866</v>
      </c>
      <c r="D924" s="59">
        <v>62955505091456</v>
      </c>
      <c r="E924" s="37" t="s">
        <v>433</v>
      </c>
      <c r="F924" s="37" t="s">
        <v>434</v>
      </c>
      <c r="G924" s="52">
        <v>45778</v>
      </c>
      <c r="H924" s="52" t="str">
        <f>Faturamento!$B448&amp;Faturamento!$G448</f>
        <v>10/162736-345931</v>
      </c>
      <c r="I924" s="37" t="s">
        <v>435</v>
      </c>
      <c r="J924">
        <v>0</v>
      </c>
      <c r="M924" s="5" t="str">
        <f>IF(Faturamento!$S448&lt;&gt;"","Não emitido",IF(Faturamento!$I448="NÃO","Pendente Fatura", IF(Faturamento!$R448&lt;&gt;"","Aprovado",IF(Faturamento!$O448&lt;&gt;0,"Pendente Emissão","Processo de Calculo"))))</f>
        <v>Aprovado</v>
      </c>
      <c r="N924" s="53">
        <v>0</v>
      </c>
      <c r="O924" s="53">
        <v>0</v>
      </c>
      <c r="P924" s="52"/>
      <c r="Q924" s="52"/>
      <c r="R924" s="53"/>
      <c r="S924" s="37" t="s">
        <v>436</v>
      </c>
      <c r="T924" s="51" t="s">
        <v>562</v>
      </c>
      <c r="U924" s="51"/>
      <c r="V924" s="37" t="s">
        <v>438</v>
      </c>
      <c r="W924" s="53">
        <v>0</v>
      </c>
      <c r="X924" s="123">
        <f>IF(Faturamento!$V178="Pago",IFERROR(W924-R924,0),0)</f>
        <v>0</v>
      </c>
      <c r="Y924" s="52"/>
      <c r="Z924" s="52"/>
      <c r="AA924" s="5"/>
      <c r="AB924" s="5"/>
      <c r="AI924"/>
    </row>
    <row r="925" spans="1:35" hidden="1" x14ac:dyDescent="0.3">
      <c r="A925" s="5" t="str">
        <f>VLOOKUP(B925,base!A:M,11,FALSE)</f>
        <v>TRIFÁSICO</v>
      </c>
      <c r="B925" t="s">
        <v>140</v>
      </c>
      <c r="C925" s="1">
        <v>67996575782</v>
      </c>
      <c r="D925" s="60">
        <v>62955505015601</v>
      </c>
      <c r="E925" s="63" t="s">
        <v>433</v>
      </c>
      <c r="F925" t="s">
        <v>434</v>
      </c>
      <c r="G925" s="4">
        <v>45778</v>
      </c>
      <c r="H925" s="4" t="str">
        <f>Faturamento!$B453&amp;Faturamento!$G453</f>
        <v>10/3556072-145839</v>
      </c>
      <c r="I925" t="s">
        <v>435</v>
      </c>
      <c r="J925">
        <v>0</v>
      </c>
      <c r="M925" s="5" t="str">
        <f>IF(Faturamento!$S453&lt;&gt;"","Não emitido",IF(Faturamento!$I453="NÃO","Pendente Fatura", IF(Faturamento!$R453&lt;&gt;"","Aprovado",IF(Faturamento!$O453&lt;&gt;0,"Pendente Emissão","Processo de Calculo"))))</f>
        <v>Não emitido</v>
      </c>
      <c r="N925" s="3">
        <v>0</v>
      </c>
      <c r="O925" s="3">
        <v>0</v>
      </c>
      <c r="P925" s="4"/>
      <c r="Q925" s="4"/>
      <c r="R925" s="3" t="s">
        <v>934</v>
      </c>
      <c r="S925" t="s">
        <v>436</v>
      </c>
      <c r="T925" s="51" t="s">
        <v>448</v>
      </c>
      <c r="U925" s="51"/>
      <c r="V925" t="s">
        <v>438</v>
      </c>
      <c r="W925" s="3">
        <v>0</v>
      </c>
      <c r="X925" s="123">
        <f>IF(Faturamento!$V180="Pago",IFERROR(W925-R925,0),0)</f>
        <v>0</v>
      </c>
      <c r="Y925" s="4"/>
      <c r="Z925" s="4"/>
      <c r="AA925" s="5"/>
      <c r="AB925" s="5"/>
      <c r="AI925"/>
    </row>
    <row r="926" spans="1:35" hidden="1" x14ac:dyDescent="0.3">
      <c r="A926" s="5" t="str">
        <f>VLOOKUP(B926,base!A:M,11,FALSE)</f>
        <v>TRIFÁSICO</v>
      </c>
      <c r="B926" t="s">
        <v>164</v>
      </c>
      <c r="C926" s="1" t="s">
        <v>166</v>
      </c>
      <c r="D926" s="60">
        <v>62955505419443</v>
      </c>
      <c r="E926" s="63" t="s">
        <v>433</v>
      </c>
      <c r="F926" t="s">
        <v>434</v>
      </c>
      <c r="G926" s="4">
        <v>45778</v>
      </c>
      <c r="H926" s="4" t="str">
        <f>Faturamento!$B457&amp;Faturamento!$G457</f>
        <v>10/10232-745748</v>
      </c>
      <c r="I926" t="s">
        <v>435</v>
      </c>
      <c r="J926">
        <v>0</v>
      </c>
      <c r="M926" s="5" t="str">
        <f>IF(Faturamento!$S457&lt;&gt;"","Não emitido",IF(Faturamento!$I457="NÃO","Pendente Fatura", IF(Faturamento!$R457&lt;&gt;"","Aprovado",IF(Faturamento!$O457&lt;&gt;0,"Pendente Emissão","Processo de Calculo"))))</f>
        <v>Aprovado</v>
      </c>
      <c r="N926" s="3">
        <v>0</v>
      </c>
      <c r="O926" s="3">
        <v>0</v>
      </c>
      <c r="P926" s="4"/>
      <c r="Q926" s="4"/>
      <c r="R926" s="3" t="s">
        <v>934</v>
      </c>
      <c r="S926" t="s">
        <v>436</v>
      </c>
      <c r="T926" s="51" t="s">
        <v>488</v>
      </c>
      <c r="U926" s="51"/>
      <c r="V926" t="s">
        <v>438</v>
      </c>
      <c r="W926" s="3">
        <v>0</v>
      </c>
      <c r="X926" s="123">
        <f>IF(Faturamento!$V181="Pago",IFERROR(W926-R926,0),0)</f>
        <v>0</v>
      </c>
      <c r="Y926" s="4"/>
      <c r="Z926" s="4"/>
      <c r="AA926" s="5"/>
      <c r="AB926" s="5"/>
      <c r="AI926"/>
    </row>
    <row r="927" spans="1:35" hidden="1" x14ac:dyDescent="0.3">
      <c r="A927" s="5" t="e">
        <f>VLOOKUP(B927,base!A:M,11,FALSE)</f>
        <v>#N/A</v>
      </c>
      <c r="B927" s="37" t="s">
        <v>699</v>
      </c>
      <c r="C927" s="56" t="e">
        <v>#N/A</v>
      </c>
      <c r="D927" s="59">
        <v>62955505035629</v>
      </c>
      <c r="E927" s="37" t="s">
        <v>433</v>
      </c>
      <c r="F927" s="37" t="s">
        <v>434</v>
      </c>
      <c r="G927" s="52">
        <v>45778</v>
      </c>
      <c r="H927" s="52" t="str">
        <f>Faturamento!$B476&amp;Faturamento!$G476</f>
        <v>10/40190-145809</v>
      </c>
      <c r="I927" s="37" t="s">
        <v>435</v>
      </c>
      <c r="J927">
        <v>0</v>
      </c>
      <c r="M927" s="5" t="str">
        <f>IF(Faturamento!$S476&lt;&gt;"","Não emitido",IF(Faturamento!$I476="NÃO","Pendente Fatura", IF(Faturamento!$R476&lt;&gt;"","Aprovado",IF(Faturamento!$O476&lt;&gt;0,"Pendente Emissão","Processo de Calculo"))))</f>
        <v>Aprovado</v>
      </c>
      <c r="N927" s="53">
        <v>959.21</v>
      </c>
      <c r="O927" s="53">
        <v>0</v>
      </c>
      <c r="P927" s="52"/>
      <c r="Q927" s="52"/>
      <c r="R927" s="53"/>
      <c r="S927" s="37" t="s">
        <v>436</v>
      </c>
      <c r="T927" s="51" t="s">
        <v>822</v>
      </c>
      <c r="U927" s="51"/>
      <c r="V927" s="37" t="s">
        <v>438</v>
      </c>
      <c r="W927" s="53">
        <v>0</v>
      </c>
      <c r="X927" s="123">
        <f>IF(Faturamento!$V186="Pago",IFERROR(W927-R927,0),0)</f>
        <v>0</v>
      </c>
      <c r="Y927" s="52"/>
      <c r="Z927" s="52"/>
      <c r="AA927" s="5"/>
      <c r="AB927" s="5"/>
      <c r="AI927"/>
    </row>
    <row r="928" spans="1:35" hidden="1" x14ac:dyDescent="0.3">
      <c r="A928" s="5" t="e">
        <f>VLOOKUP(B928,base!A:M,11,FALSE)</f>
        <v>#N/A</v>
      </c>
      <c r="B928" t="s">
        <v>658</v>
      </c>
      <c r="C928" s="1" t="e">
        <v>#N/A</v>
      </c>
      <c r="D928" s="60">
        <v>62955505015199</v>
      </c>
      <c r="E928" s="63" t="s">
        <v>433</v>
      </c>
      <c r="F928" t="s">
        <v>434</v>
      </c>
      <c r="G928" s="4">
        <v>45778</v>
      </c>
      <c r="H928" s="4" t="str">
        <f>Faturamento!$B477&amp;Faturamento!$G477</f>
        <v>10/257864-945748</v>
      </c>
      <c r="I928" t="s">
        <v>435</v>
      </c>
      <c r="J928">
        <v>0</v>
      </c>
      <c r="M928" s="5" t="str">
        <f>IF(Faturamento!$S477&lt;&gt;"","Não emitido",IF(Faturamento!$I477="NÃO","Pendente Fatura", IF(Faturamento!$R477&lt;&gt;"","Aprovado",IF(Faturamento!$O477&lt;&gt;0,"Pendente Emissão","Processo de Calculo"))))</f>
        <v>Aprovado</v>
      </c>
      <c r="N928" s="3">
        <v>0</v>
      </c>
      <c r="O928" s="3">
        <v>0</v>
      </c>
      <c r="P928" s="4"/>
      <c r="Q928" s="4"/>
      <c r="S928" t="s">
        <v>436</v>
      </c>
      <c r="T928" s="51" t="s">
        <v>466</v>
      </c>
      <c r="U928" s="51"/>
      <c r="V928" t="s">
        <v>438</v>
      </c>
      <c r="W928" s="3">
        <v>0</v>
      </c>
      <c r="X928" s="123">
        <f>IF(Faturamento!$V187="Pago",IFERROR(W928-R928,0),0)</f>
        <v>0</v>
      </c>
      <c r="Y928" s="4"/>
      <c r="Z928" s="4"/>
      <c r="AA928" s="5"/>
      <c r="AB928" s="5"/>
      <c r="AI928"/>
    </row>
    <row r="929" spans="1:35" hidden="1" x14ac:dyDescent="0.3">
      <c r="A929" s="5" t="e">
        <f>VLOOKUP(B929,base!A:M,11,FALSE)</f>
        <v>#N/A</v>
      </c>
      <c r="B929" s="37" t="s">
        <v>692</v>
      </c>
      <c r="C929" s="56" t="e">
        <v>#N/A</v>
      </c>
      <c r="D929" s="59">
        <v>62955505057789</v>
      </c>
      <c r="E929" s="37" t="s">
        <v>433</v>
      </c>
      <c r="F929" s="37" t="s">
        <v>434</v>
      </c>
      <c r="G929" s="52">
        <v>45778</v>
      </c>
      <c r="H929" s="52" t="str">
        <f>Faturamento!$B478&amp;Faturamento!$G478</f>
        <v>10/41548-945809</v>
      </c>
      <c r="I929" s="37" t="s">
        <v>435</v>
      </c>
      <c r="J929">
        <v>0</v>
      </c>
      <c r="M929" s="5" t="str">
        <f>IF(Faturamento!$S478&lt;&gt;"","Não emitido",IF(Faturamento!$I478="NÃO","Pendente Fatura", IF(Faturamento!$R478&lt;&gt;"","Aprovado",IF(Faturamento!$O478&lt;&gt;0,"Pendente Emissão","Processo de Calculo"))))</f>
        <v>Aprovado</v>
      </c>
      <c r="N929" s="53">
        <v>0</v>
      </c>
      <c r="O929" s="53">
        <v>0</v>
      </c>
      <c r="P929" s="52"/>
      <c r="Q929" s="52"/>
      <c r="R929" s="53"/>
      <c r="S929" s="37" t="s">
        <v>436</v>
      </c>
      <c r="T929" s="51" t="s">
        <v>521</v>
      </c>
      <c r="U929" s="51"/>
      <c r="V929" s="37" t="s">
        <v>438</v>
      </c>
      <c r="W929" s="53">
        <v>0</v>
      </c>
      <c r="X929" s="123">
        <f>IF(Faturamento!$V188="Pago",IFERROR(W929-R929,0),0)</f>
        <v>0</v>
      </c>
      <c r="Y929" s="52"/>
      <c r="Z929" s="52"/>
      <c r="AA929" s="5"/>
      <c r="AB929" s="5"/>
      <c r="AI929"/>
    </row>
    <row r="930" spans="1:35" hidden="1" x14ac:dyDescent="0.3">
      <c r="A930" s="5" t="e">
        <f>VLOOKUP(B930,base!A:M,11,FALSE)</f>
        <v>#N/A</v>
      </c>
      <c r="B930" t="s">
        <v>645</v>
      </c>
      <c r="C930" s="1" t="e">
        <v>#N/A</v>
      </c>
      <c r="D930" s="60">
        <v>62955505393207</v>
      </c>
      <c r="E930" s="63" t="s">
        <v>433</v>
      </c>
      <c r="F930" t="s">
        <v>434</v>
      </c>
      <c r="G930" s="4">
        <v>45778</v>
      </c>
      <c r="H930" s="4" t="str">
        <f>Faturamento!$B479&amp;Faturamento!$G479</f>
        <v>10/384823-145717</v>
      </c>
      <c r="I930" t="s">
        <v>435</v>
      </c>
      <c r="J930">
        <v>0</v>
      </c>
      <c r="M930" s="5" t="str">
        <f>IF(Faturamento!$S479&lt;&gt;"","Não emitido",IF(Faturamento!$I479="NÃO","Pendente Fatura", IF(Faturamento!$R479&lt;&gt;"","Aprovado",IF(Faturamento!$O479&lt;&gt;0,"Pendente Emissão","Processo de Calculo"))))</f>
        <v>Aprovado</v>
      </c>
      <c r="N930" s="3">
        <v>0</v>
      </c>
      <c r="O930" s="3">
        <v>0</v>
      </c>
      <c r="P930" s="4"/>
      <c r="Q930" s="4"/>
      <c r="S930" t="s">
        <v>436</v>
      </c>
      <c r="T930" s="51" t="s">
        <v>437</v>
      </c>
      <c r="U930" s="51"/>
      <c r="V930" t="s">
        <v>438</v>
      </c>
      <c r="W930" s="3">
        <v>0</v>
      </c>
      <c r="X930" s="123">
        <f>IF(Faturamento!$V189="Pago",IFERROR(W930-R930,0),0)</f>
        <v>0</v>
      </c>
      <c r="Y930" s="4"/>
      <c r="Z930" s="4"/>
      <c r="AA930" s="5"/>
      <c r="AB930" s="5"/>
      <c r="AI930"/>
    </row>
    <row r="931" spans="1:35" hidden="1" x14ac:dyDescent="0.3">
      <c r="A931" s="5" t="str">
        <f>VLOOKUP(B931,base!A:M,11,FALSE)</f>
        <v>TRIFÁSICO</v>
      </c>
      <c r="B931" s="37" t="s">
        <v>292</v>
      </c>
      <c r="C931" s="56">
        <v>67996446178</v>
      </c>
      <c r="D931" s="59">
        <v>62955505887382</v>
      </c>
      <c r="E931" s="37" t="s">
        <v>433</v>
      </c>
      <c r="F931" s="37" t="s">
        <v>434</v>
      </c>
      <c r="G931" s="52">
        <v>45778</v>
      </c>
      <c r="H931" s="52" t="str">
        <f>Faturamento!$B502&amp;Faturamento!$G502</f>
        <v>10/532081-745931</v>
      </c>
      <c r="I931" s="37" t="s">
        <v>435</v>
      </c>
      <c r="J931">
        <v>0</v>
      </c>
      <c r="M931" s="5" t="str">
        <f>IF(Faturamento!$S502&lt;&gt;"","Não emitido",IF(Faturamento!$I502="NÃO","Pendente Fatura", IF(Faturamento!$R502&lt;&gt;"","Aprovado",IF(Faturamento!$O502&lt;&gt;0,"Pendente Emissão","Processo de Calculo"))))</f>
        <v>Aprovado</v>
      </c>
      <c r="N931" s="53">
        <v>0</v>
      </c>
      <c r="O931" s="53">
        <v>0</v>
      </c>
      <c r="P931" s="52"/>
      <c r="Q931" s="52"/>
      <c r="R931" s="53" t="s">
        <v>934</v>
      </c>
      <c r="S931" s="37" t="s">
        <v>436</v>
      </c>
      <c r="T931" s="51" t="s">
        <v>681</v>
      </c>
      <c r="U931" s="51"/>
      <c r="V931" s="37" t="s">
        <v>438</v>
      </c>
      <c r="W931" s="53">
        <v>0</v>
      </c>
      <c r="X931" s="123">
        <f>IF(Faturamento!$V191="Pago",IFERROR(W931-R931,0),0)</f>
        <v>0</v>
      </c>
      <c r="Y931" s="52"/>
      <c r="Z931" s="52"/>
      <c r="AA931" s="5"/>
      <c r="AB931" s="5"/>
      <c r="AI931"/>
    </row>
    <row r="932" spans="1:35" hidden="1" x14ac:dyDescent="0.3">
      <c r="A932" s="5" t="e">
        <f>VLOOKUP(B932,base!A:M,11,FALSE)</f>
        <v>#N/A</v>
      </c>
      <c r="B932" s="37" t="s">
        <v>698</v>
      </c>
      <c r="C932" s="56" t="e">
        <v>#N/A</v>
      </c>
      <c r="D932" s="59">
        <v>62955505017213</v>
      </c>
      <c r="E932" s="37" t="s">
        <v>433</v>
      </c>
      <c r="F932" s="37" t="s">
        <v>434</v>
      </c>
      <c r="G932" s="52">
        <v>45778</v>
      </c>
      <c r="H932" s="52" t="str">
        <f>Faturamento!$B510&amp;Faturamento!$G510</f>
        <v>10/150263-245748</v>
      </c>
      <c r="I932" s="37" t="s">
        <v>435</v>
      </c>
      <c r="J932">
        <v>0</v>
      </c>
      <c r="M932" s="5" t="str">
        <f>IF(Faturamento!$S510&lt;&gt;"","Não emitido",IF(Faturamento!$I510="NÃO","Pendente Fatura", IF(Faturamento!$R510&lt;&gt;"","Aprovado",IF(Faturamento!$O510&lt;&gt;0,"Pendente Emissão","Processo de Calculo"))))</f>
        <v>Aprovado</v>
      </c>
      <c r="N932" s="53">
        <v>0</v>
      </c>
      <c r="O932" s="53">
        <v>0</v>
      </c>
      <c r="P932" s="52"/>
      <c r="Q932" s="52"/>
      <c r="R932" s="53"/>
      <c r="S932" s="37" t="s">
        <v>436</v>
      </c>
      <c r="T932" s="51" t="s">
        <v>474</v>
      </c>
      <c r="U932" s="51"/>
      <c r="V932" s="37" t="s">
        <v>438</v>
      </c>
      <c r="W932" s="53">
        <v>0</v>
      </c>
      <c r="X932" s="123">
        <f>IF(Faturamento!$V193="Pago",IFERROR(W932-R932,0),0)</f>
        <v>0</v>
      </c>
      <c r="Y932" s="52"/>
      <c r="Z932" s="52"/>
      <c r="AA932" s="5"/>
      <c r="AB932" s="5"/>
      <c r="AI932"/>
    </row>
    <row r="933" spans="1:35" hidden="1" x14ac:dyDescent="0.3">
      <c r="A933" s="5" t="str">
        <f>VLOOKUP(B933,base!A:M,11,FALSE)</f>
        <v>TRIFÁSICO</v>
      </c>
      <c r="B933" s="37" t="s">
        <v>299</v>
      </c>
      <c r="C933" s="56" t="s">
        <v>175</v>
      </c>
      <c r="D933" s="59">
        <v>62955505189340</v>
      </c>
      <c r="E933" s="37" t="s">
        <v>433</v>
      </c>
      <c r="F933" s="37" t="s">
        <v>434</v>
      </c>
      <c r="G933" s="52">
        <v>45778</v>
      </c>
      <c r="H933" s="52" t="str">
        <f>Faturamento!$B514&amp;Faturamento!$G514</f>
        <v>10/2794432-145689</v>
      </c>
      <c r="I933" s="37" t="s">
        <v>435</v>
      </c>
      <c r="J933">
        <v>0</v>
      </c>
      <c r="M933" s="5" t="str">
        <f>IF(Faturamento!$S514&lt;&gt;"","Não emitido",IF(Faturamento!$I514="NÃO","Pendente Fatura", IF(Faturamento!$R514&lt;&gt;"","Aprovado",IF(Faturamento!$O514&lt;&gt;0,"Pendente Emissão","Processo de Calculo"))))</f>
        <v>Aprovado</v>
      </c>
      <c r="N933" s="53">
        <v>0</v>
      </c>
      <c r="O933" s="53">
        <v>0</v>
      </c>
      <c r="P933" s="52"/>
      <c r="Q933" s="52"/>
      <c r="R933" s="53"/>
      <c r="S933" s="37" t="s">
        <v>436</v>
      </c>
      <c r="T933" s="51" t="s">
        <v>769</v>
      </c>
      <c r="U933" s="51"/>
      <c r="V933" s="37" t="s">
        <v>438</v>
      </c>
      <c r="W933" s="53">
        <v>0</v>
      </c>
      <c r="X933" s="123">
        <f>IF(Faturamento!$V195="Pago",IFERROR(W933-R933,0),0)</f>
        <v>0</v>
      </c>
      <c r="Y933" s="52"/>
      <c r="Z933" s="52"/>
      <c r="AA933" s="5"/>
      <c r="AB933" s="5"/>
      <c r="AI933"/>
    </row>
    <row r="934" spans="1:35" hidden="1" x14ac:dyDescent="0.3">
      <c r="A934" s="5" t="e">
        <f>VLOOKUP(B934,base!A:M,11,FALSE)</f>
        <v>#N/A</v>
      </c>
      <c r="B934" t="s">
        <v>696</v>
      </c>
      <c r="C934" s="1" t="e">
        <v>#N/A</v>
      </c>
      <c r="D934" s="60">
        <v>62955505135500</v>
      </c>
      <c r="E934" s="63" t="s">
        <v>433</v>
      </c>
      <c r="F934" t="s">
        <v>434</v>
      </c>
      <c r="G934" s="4">
        <v>45778</v>
      </c>
      <c r="H934" s="4" t="str">
        <f>Faturamento!$B525&amp;Faturamento!$G525</f>
        <v>10/63920-345658</v>
      </c>
      <c r="I934" t="s">
        <v>435</v>
      </c>
      <c r="J934">
        <v>0</v>
      </c>
      <c r="M934" s="5" t="str">
        <f>IF(Faturamento!$S525&lt;&gt;"","Não emitido",IF(Faturamento!$I525="NÃO","Pendente Fatura", IF(Faturamento!$R525&lt;&gt;"","Aprovado",IF(Faturamento!$O525&lt;&gt;0,"Pendente Emissão","Processo de Calculo"))))</f>
        <v>Aprovado</v>
      </c>
      <c r="N934" s="3">
        <v>0</v>
      </c>
      <c r="O934" s="3">
        <v>0</v>
      </c>
      <c r="P934" s="4"/>
      <c r="Q934" s="4"/>
      <c r="S934" t="s">
        <v>436</v>
      </c>
      <c r="T934" s="51" t="s">
        <v>697</v>
      </c>
      <c r="U934" s="51"/>
      <c r="V934" t="s">
        <v>438</v>
      </c>
      <c r="W934" s="3">
        <v>0</v>
      </c>
      <c r="X934" s="123">
        <f>IF(Faturamento!$V199="Pago",IFERROR(W934-R934,0),0)</f>
        <v>0</v>
      </c>
      <c r="Y934" s="4"/>
      <c r="Z934" s="4"/>
      <c r="AA934" s="5"/>
      <c r="AB934" s="5"/>
      <c r="AI934"/>
    </row>
    <row r="935" spans="1:35" hidden="1" x14ac:dyDescent="0.3">
      <c r="A935" s="5" t="str">
        <f>VLOOKUP(B935,base!A:M,11,FALSE)</f>
        <v>BIFÁSICO</v>
      </c>
      <c r="B935" s="37" t="s">
        <v>253</v>
      </c>
      <c r="C935" s="56">
        <v>67996266684</v>
      </c>
      <c r="D935" s="59">
        <v>62955505016080</v>
      </c>
      <c r="E935" s="37" t="s">
        <v>433</v>
      </c>
      <c r="F935" s="37" t="s">
        <v>434</v>
      </c>
      <c r="G935" s="52">
        <v>45778</v>
      </c>
      <c r="H935" s="52" t="str">
        <f>Faturamento!$B526&amp;Faturamento!$G526</f>
        <v>10/78338-145658</v>
      </c>
      <c r="I935" s="37" t="s">
        <v>435</v>
      </c>
      <c r="J935">
        <v>0</v>
      </c>
      <c r="M935" s="5" t="str">
        <f>IF(Faturamento!$S526&lt;&gt;"","Não emitido",IF(Faturamento!$I526="NÃO","Pendente Fatura", IF(Faturamento!$R526&lt;&gt;"","Aprovado",IF(Faturamento!$O526&lt;&gt;0,"Pendente Emissão","Processo de Calculo"))))</f>
        <v>Aprovado</v>
      </c>
      <c r="N935" s="53">
        <v>0</v>
      </c>
      <c r="O935" s="53">
        <v>0</v>
      </c>
      <c r="P935" s="52"/>
      <c r="Q935" s="52"/>
      <c r="R935" s="53"/>
      <c r="S935" s="37" t="s">
        <v>436</v>
      </c>
      <c r="T935" s="51" t="s">
        <v>483</v>
      </c>
      <c r="U935" s="51"/>
      <c r="V935" s="37" t="s">
        <v>438</v>
      </c>
      <c r="W935" s="53">
        <v>0</v>
      </c>
      <c r="X935" s="123">
        <f>IF(Faturamento!$V200="Pago",IFERROR(W935-R935,0),0)</f>
        <v>0</v>
      </c>
      <c r="Y935" s="52"/>
      <c r="Z935" s="52"/>
      <c r="AA935" s="5"/>
      <c r="AB935" s="5"/>
      <c r="AI935"/>
    </row>
    <row r="936" spans="1:35" hidden="1" x14ac:dyDescent="0.3">
      <c r="A936" s="5" t="str">
        <f>VLOOKUP(B936,base!A:M,11,FALSE)</f>
        <v>TRIFÁSICO</v>
      </c>
      <c r="B936" t="s">
        <v>194</v>
      </c>
      <c r="C936" s="1">
        <v>67996266684</v>
      </c>
      <c r="D936" s="60">
        <v>62955505016080</v>
      </c>
      <c r="E936" s="63" t="s">
        <v>433</v>
      </c>
      <c r="F936" t="s">
        <v>434</v>
      </c>
      <c r="G936" s="4">
        <v>45809</v>
      </c>
      <c r="H936" s="4" t="str">
        <f>Faturamento!$B595&amp;Faturamento!$G595</f>
        <v>10/135237-645717</v>
      </c>
      <c r="I936" t="s">
        <v>435</v>
      </c>
      <c r="J936" s="37">
        <v>0</v>
      </c>
      <c r="K936" s="53"/>
      <c r="L936" s="53"/>
      <c r="M936" s="5" t="str">
        <f>IF(Faturamento!$S595&lt;&gt;"","Não emitido",IF(Faturamento!$I595="NÃO","Pendente Fatura", IF(Faturamento!$R595&lt;&gt;"","Aprovado",IF(Faturamento!$O595&lt;&gt;0,"Pendente Emissão","Processo de Calculo"))))</f>
        <v>Aprovado</v>
      </c>
      <c r="N936" s="3">
        <v>0</v>
      </c>
      <c r="O936" s="3">
        <v>0</v>
      </c>
      <c r="P936" s="4"/>
      <c r="Q936" s="4"/>
      <c r="S936" t="s">
        <v>1149</v>
      </c>
      <c r="T936" s="51" t="s">
        <v>483</v>
      </c>
      <c r="U936" s="51"/>
      <c r="V936" t="s">
        <v>438</v>
      </c>
      <c r="W936" s="3">
        <v>0</v>
      </c>
      <c r="X936" s="123">
        <f>IF(Faturamento!$V209="Pago",IFERROR(W936-R936,0),0)</f>
        <v>0</v>
      </c>
      <c r="Y936" s="4"/>
      <c r="Z936" s="4"/>
      <c r="AA936" s="5"/>
      <c r="AB936" s="5"/>
      <c r="AI936"/>
    </row>
    <row r="937" spans="1:35" hidden="1" x14ac:dyDescent="0.3">
      <c r="A937" s="5" t="str">
        <f>VLOOKUP(B937,base!A:M,11,FALSE)</f>
        <v>TRIFÁSICO</v>
      </c>
      <c r="B937" s="37" t="s">
        <v>302</v>
      </c>
      <c r="C937" s="56">
        <v>67992637973</v>
      </c>
      <c r="D937" s="59">
        <v>62955505321630</v>
      </c>
      <c r="E937" s="37" t="s">
        <v>433</v>
      </c>
      <c r="F937" s="37" t="s">
        <v>434</v>
      </c>
      <c r="G937" s="52">
        <v>45809</v>
      </c>
      <c r="H937" s="52" t="str">
        <f>Faturamento!$B596&amp;Faturamento!$G596</f>
        <v>10/466560-045870</v>
      </c>
      <c r="I937" s="37" t="s">
        <v>435</v>
      </c>
      <c r="J937" s="37">
        <v>0</v>
      </c>
      <c r="K937" s="53"/>
      <c r="L937" s="53"/>
      <c r="M937" s="5" t="str">
        <f>IF(Faturamento!$S596&lt;&gt;"","Não emitido",IF(Faturamento!$I596="NÃO","Pendente Fatura", IF(Faturamento!$R596&lt;&gt;"","Aprovado",IF(Faturamento!$O596&lt;&gt;0,"Pendente Emissão","Processo de Calculo"))))</f>
        <v>Aprovado</v>
      </c>
      <c r="N937" s="53">
        <v>0</v>
      </c>
      <c r="O937" s="53">
        <v>0</v>
      </c>
      <c r="P937" s="52"/>
      <c r="Q937" s="52"/>
      <c r="R937" s="53"/>
      <c r="S937" s="37" t="s">
        <v>1149</v>
      </c>
      <c r="T937" s="51" t="s">
        <v>548</v>
      </c>
      <c r="U937" s="51"/>
      <c r="V937" s="37" t="s">
        <v>438</v>
      </c>
      <c r="W937" s="53">
        <v>0</v>
      </c>
      <c r="X937" s="123">
        <f>IF(Faturamento!$V210="Pago",IFERROR(W937-R937,0),0)</f>
        <v>0</v>
      </c>
      <c r="Y937" s="52"/>
      <c r="Z937" s="52"/>
      <c r="AA937" s="5"/>
      <c r="AB937" s="5"/>
      <c r="AI937"/>
    </row>
    <row r="938" spans="1:35" hidden="1" x14ac:dyDescent="0.3">
      <c r="A938" s="5" t="str">
        <f>VLOOKUP(B938,base!A:M,11,FALSE)</f>
        <v>TRIFÁSICO</v>
      </c>
      <c r="B938" t="s">
        <v>140</v>
      </c>
      <c r="C938" s="1">
        <v>67996575782</v>
      </c>
      <c r="D938" s="60">
        <v>62955505015601</v>
      </c>
      <c r="E938" s="63" t="s">
        <v>433</v>
      </c>
      <c r="F938" t="s">
        <v>434</v>
      </c>
      <c r="G938" s="4">
        <v>45809</v>
      </c>
      <c r="H938" s="4" t="str">
        <f>Faturamento!$B597&amp;Faturamento!$G597</f>
        <v>10/3125732-245839</v>
      </c>
      <c r="I938" t="s">
        <v>435</v>
      </c>
      <c r="J938" s="37">
        <v>0</v>
      </c>
      <c r="K938" s="53"/>
      <c r="L938" s="53"/>
      <c r="M938" s="5" t="str">
        <f>IF(Faturamento!$S597&lt;&gt;"","Não emitido",IF(Faturamento!$I597="NÃO","Pendente Fatura", IF(Faturamento!$R597&lt;&gt;"","Aprovado",IF(Faturamento!$O597&lt;&gt;0,"Pendente Emissão","Processo de Calculo"))))</f>
        <v>Aprovado</v>
      </c>
      <c r="N938" s="3">
        <v>0</v>
      </c>
      <c r="O938" s="3">
        <v>0</v>
      </c>
      <c r="P938" s="4"/>
      <c r="Q938" s="4"/>
      <c r="S938" t="s">
        <v>1149</v>
      </c>
      <c r="T938" s="51" t="s">
        <v>448</v>
      </c>
      <c r="U938" s="51"/>
      <c r="V938" t="s">
        <v>438</v>
      </c>
      <c r="W938" s="3">
        <v>0</v>
      </c>
      <c r="X938" s="123">
        <f>IF(Faturamento!$V211="Pago",IFERROR(W938-R938,0),0)</f>
        <v>0</v>
      </c>
      <c r="Y938" s="4"/>
      <c r="Z938" s="4"/>
      <c r="AA938" s="5"/>
      <c r="AB938" s="5"/>
      <c r="AI938"/>
    </row>
    <row r="939" spans="1:35" hidden="1" x14ac:dyDescent="0.3">
      <c r="A939" s="5" t="str">
        <f>VLOOKUP(B939,base!A:M,11,FALSE)</f>
        <v>TRIFÁSICO</v>
      </c>
      <c r="B939" s="37" t="s">
        <v>206</v>
      </c>
      <c r="C939" s="56">
        <v>67992637973</v>
      </c>
      <c r="D939" s="59">
        <v>62955505017213</v>
      </c>
      <c r="E939" s="37" t="s">
        <v>433</v>
      </c>
      <c r="F939" s="37" t="s">
        <v>434</v>
      </c>
      <c r="G939" s="52">
        <v>45809</v>
      </c>
      <c r="H939" s="52" t="str">
        <f>Faturamento!$B598&amp;Faturamento!$G598</f>
        <v>10/532081-745839</v>
      </c>
      <c r="I939" s="37" t="s">
        <v>435</v>
      </c>
      <c r="J939" s="37">
        <v>0</v>
      </c>
      <c r="K939" s="53"/>
      <c r="L939" s="53"/>
      <c r="M939" s="5" t="str">
        <f>IF(Faturamento!$S598&lt;&gt;"","Não emitido",IF(Faturamento!$I598="NÃO","Pendente Fatura", IF(Faturamento!$R598&lt;&gt;"","Aprovado",IF(Faturamento!$O598&lt;&gt;0,"Pendente Emissão","Processo de Calculo"))))</f>
        <v>Aprovado</v>
      </c>
      <c r="N939" s="53">
        <v>0</v>
      </c>
      <c r="O939" s="53">
        <v>0</v>
      </c>
      <c r="P939" s="52"/>
      <c r="Q939" s="52"/>
      <c r="R939" s="53"/>
      <c r="S939" s="37" t="s">
        <v>1149</v>
      </c>
      <c r="T939" s="51" t="s">
        <v>474</v>
      </c>
      <c r="U939" s="51"/>
      <c r="V939" s="37" t="s">
        <v>438</v>
      </c>
      <c r="W939" s="53">
        <v>0</v>
      </c>
      <c r="X939" s="123">
        <f>IF(Faturamento!$V212="Pago",IFERROR(W939-R939,0),0)</f>
        <v>0</v>
      </c>
      <c r="Y939" s="52"/>
      <c r="Z939" s="52"/>
      <c r="AA939" s="5"/>
      <c r="AB939" s="5"/>
      <c r="AI939"/>
    </row>
    <row r="940" spans="1:35" hidden="1" x14ac:dyDescent="0.3">
      <c r="A940" s="5" t="str">
        <f>VLOOKUP(B940,base!A:M,11,FALSE)</f>
        <v>TRIFÁSICO</v>
      </c>
      <c r="B940" t="s">
        <v>164</v>
      </c>
      <c r="C940" s="1" t="s">
        <v>166</v>
      </c>
      <c r="D940" s="60">
        <v>62955505419443</v>
      </c>
      <c r="E940" s="63" t="s">
        <v>433</v>
      </c>
      <c r="F940" t="s">
        <v>434</v>
      </c>
      <c r="G940" s="4">
        <v>45809</v>
      </c>
      <c r="H940" s="4" t="str">
        <f>Faturamento!$B599&amp;Faturamento!$G599</f>
        <v>10/1548741-645839</v>
      </c>
      <c r="I940" t="s">
        <v>435</v>
      </c>
      <c r="J940" s="37">
        <v>0</v>
      </c>
      <c r="K940" s="53"/>
      <c r="L940" s="53"/>
      <c r="M940" s="5" t="str">
        <f>IF(Faturamento!$S599&lt;&gt;"","Não emitido",IF(Faturamento!$I599="NÃO","Pendente Fatura", IF(Faturamento!$R599&lt;&gt;"","Aprovado",IF(Faturamento!$O599&lt;&gt;0,"Pendente Emissão","Processo de Calculo"))))</f>
        <v>Aprovado</v>
      </c>
      <c r="N940" s="3">
        <v>0</v>
      </c>
      <c r="O940" s="3">
        <v>0</v>
      </c>
      <c r="P940" s="4"/>
      <c r="Q940" s="4"/>
      <c r="S940" t="s">
        <v>1149</v>
      </c>
      <c r="T940" s="51" t="s">
        <v>488</v>
      </c>
      <c r="U940" s="51"/>
      <c r="V940" t="s">
        <v>438</v>
      </c>
      <c r="W940" s="3">
        <v>0</v>
      </c>
      <c r="X940" s="123">
        <f>IF(Faturamento!$V213="Pago",IFERROR(W940-R940,0),0)</f>
        <v>0</v>
      </c>
      <c r="Y940" s="4"/>
      <c r="Z940" s="4"/>
      <c r="AA940" s="5"/>
      <c r="AB940" s="5"/>
      <c r="AI940"/>
    </row>
    <row r="941" spans="1:35" hidden="1" x14ac:dyDescent="0.3">
      <c r="A941" s="5" t="str">
        <f>VLOOKUP(B941,base!A:M,11,FALSE)</f>
        <v>BIFÁSICO</v>
      </c>
      <c r="B941" s="37" t="s">
        <v>276</v>
      </c>
      <c r="C941" s="56" t="s">
        <v>278</v>
      </c>
      <c r="D941" s="59">
        <v>62955505000167</v>
      </c>
      <c r="E941" s="37" t="s">
        <v>433</v>
      </c>
      <c r="F941" s="37" t="s">
        <v>434</v>
      </c>
      <c r="G941" s="52">
        <v>45809</v>
      </c>
      <c r="H941" s="52" t="str">
        <f>Faturamento!$B600&amp;Faturamento!$G600</f>
        <v>10/1184751-445870</v>
      </c>
      <c r="I941" s="37" t="s">
        <v>435</v>
      </c>
      <c r="J941" s="37">
        <v>0</v>
      </c>
      <c r="K941" s="53"/>
      <c r="L941" s="53"/>
      <c r="M941" s="5" t="str">
        <f>IF(Faturamento!$S600&lt;&gt;"","Não emitido",IF(Faturamento!$I600="NÃO","Pendente Fatura", IF(Faturamento!$R600&lt;&gt;"","Aprovado",IF(Faturamento!$O600&lt;&gt;0,"Pendente Emissão","Processo de Calculo"))))</f>
        <v>Aprovado</v>
      </c>
      <c r="N941" s="53">
        <v>0</v>
      </c>
      <c r="O941" s="53">
        <v>0</v>
      </c>
      <c r="P941" s="52"/>
      <c r="Q941" s="52"/>
      <c r="R941" s="53"/>
      <c r="S941" s="37" t="s">
        <v>1149</v>
      </c>
      <c r="T941" s="51" t="s">
        <v>535</v>
      </c>
      <c r="U941" s="51"/>
      <c r="V941" s="37" t="s">
        <v>438</v>
      </c>
      <c r="W941" s="53">
        <v>0</v>
      </c>
      <c r="X941" s="123">
        <f>IF(Faturamento!$V214="Pago",IFERROR(W941-R941,0),0)</f>
        <v>0</v>
      </c>
      <c r="Y941" s="52"/>
      <c r="Z941" s="52"/>
      <c r="AA941" s="5"/>
      <c r="AB941" s="5"/>
      <c r="AI941"/>
    </row>
    <row r="942" spans="1:35" hidden="1" x14ac:dyDescent="0.3">
      <c r="A942" s="5" t="str">
        <f>VLOOKUP(B942,base!A:M,11,FALSE)</f>
        <v>TRIFÁSICO</v>
      </c>
      <c r="B942" t="s">
        <v>181</v>
      </c>
      <c r="C942" s="1">
        <v>67996150274</v>
      </c>
      <c r="D942" s="60">
        <v>62955505197360</v>
      </c>
      <c r="E942" s="63" t="s">
        <v>433</v>
      </c>
      <c r="F942" t="s">
        <v>434</v>
      </c>
      <c r="G942" s="4">
        <v>45809</v>
      </c>
      <c r="H942" s="4" t="str">
        <f>Faturamento!$B601&amp;Faturamento!$G601</f>
        <v>10/280638-845839</v>
      </c>
      <c r="I942" t="s">
        <v>435</v>
      </c>
      <c r="J942" s="37">
        <v>0</v>
      </c>
      <c r="K942" s="53"/>
      <c r="L942" s="53"/>
      <c r="M942" s="5" t="str">
        <f>IF(Faturamento!$S601&lt;&gt;"","Não emitido",IF(Faturamento!$I601="NÃO","Pendente Fatura", IF(Faturamento!$R601&lt;&gt;"","Aprovado",IF(Faturamento!$O601&lt;&gt;0,"Pendente Emissão","Processo de Calculo"))))</f>
        <v>Aprovado</v>
      </c>
      <c r="N942" s="3">
        <v>0</v>
      </c>
      <c r="O942" s="3">
        <v>0</v>
      </c>
      <c r="P942" s="4"/>
      <c r="Q942" s="4"/>
      <c r="S942" t="s">
        <v>1149</v>
      </c>
      <c r="T942" s="51" t="s">
        <v>470</v>
      </c>
      <c r="U942" s="51"/>
      <c r="V942" t="s">
        <v>438</v>
      </c>
      <c r="W942" s="3">
        <v>0</v>
      </c>
      <c r="X942" s="123">
        <f>IF(Faturamento!$V215="Pago",IFERROR(W942-R942,0),0)</f>
        <v>0</v>
      </c>
      <c r="Y942" s="4"/>
      <c r="Z942" s="4"/>
      <c r="AA942" s="5"/>
      <c r="AB942" s="5"/>
      <c r="AI942"/>
    </row>
    <row r="943" spans="1:35" hidden="1" x14ac:dyDescent="0.3">
      <c r="A943" s="5" t="str">
        <f>VLOOKUP(B943,base!A:M,11,FALSE)</f>
        <v>TRIFÁSICO</v>
      </c>
      <c r="B943" s="37" t="s">
        <v>156</v>
      </c>
      <c r="C943" s="56">
        <v>67996446178</v>
      </c>
      <c r="D943" s="59">
        <v>62955505080098</v>
      </c>
      <c r="E943" s="37" t="s">
        <v>433</v>
      </c>
      <c r="F943" s="37" t="s">
        <v>434</v>
      </c>
      <c r="G943" s="52">
        <v>45809</v>
      </c>
      <c r="H943" s="52" t="str">
        <f>Faturamento!$B602&amp;Faturamento!$G602</f>
        <v>10/78338-145870</v>
      </c>
      <c r="I943" s="37" t="s">
        <v>435</v>
      </c>
      <c r="J943" s="37">
        <v>0</v>
      </c>
      <c r="K943" s="53"/>
      <c r="L943" s="53"/>
      <c r="M943" s="5" t="str">
        <f>IF(Faturamento!$S602&lt;&gt;"","Não emitido",IF(Faturamento!$I602="NÃO","Pendente Fatura", IF(Faturamento!$R602&lt;&gt;"","Aprovado",IF(Faturamento!$O602&lt;&gt;0,"Pendente Emissão","Processo de Calculo"))))</f>
        <v>Aprovado</v>
      </c>
      <c r="N943" s="53">
        <v>0</v>
      </c>
      <c r="O943" s="53">
        <v>0</v>
      </c>
      <c r="P943" s="52"/>
      <c r="Q943" s="52"/>
      <c r="R943" s="53"/>
      <c r="S943" s="37" t="s">
        <v>1149</v>
      </c>
      <c r="T943" s="51" t="s">
        <v>456</v>
      </c>
      <c r="U943" s="51"/>
      <c r="V943" s="37" t="s">
        <v>438</v>
      </c>
      <c r="W943" s="53">
        <v>0</v>
      </c>
      <c r="X943" s="123">
        <f>IF(Faturamento!$V216="Pago",IFERROR(W943-R943,0),0)</f>
        <v>0</v>
      </c>
      <c r="Y943" s="52"/>
      <c r="Z943" s="52"/>
      <c r="AA943" s="5"/>
      <c r="AB943" s="5"/>
      <c r="AI943"/>
    </row>
    <row r="944" spans="1:35" hidden="1" x14ac:dyDescent="0.3">
      <c r="A944" s="5" t="str">
        <f>VLOOKUP(B944,base!A:M,11,FALSE)</f>
        <v>TRIFÁSICO</v>
      </c>
      <c r="B944" t="s">
        <v>350</v>
      </c>
      <c r="C944" s="1">
        <v>67993496482</v>
      </c>
      <c r="D944" s="60">
        <v>62955505015512</v>
      </c>
      <c r="E944" s="63" t="s">
        <v>433</v>
      </c>
      <c r="F944" t="s">
        <v>434</v>
      </c>
      <c r="G944" s="4">
        <v>45809</v>
      </c>
      <c r="H944" s="4" t="str">
        <f>Faturamento!$B603&amp;Faturamento!$G603</f>
        <v>10/156956-545809</v>
      </c>
      <c r="I944" t="s">
        <v>435</v>
      </c>
      <c r="J944" s="37">
        <v>0</v>
      </c>
      <c r="K944" s="53"/>
      <c r="L944" s="53"/>
      <c r="M944" s="5" t="str">
        <f>IF(Faturamento!$S603&lt;&gt;"","Não emitido",IF(Faturamento!$I603="NÃO","Pendente Fatura", IF(Faturamento!$R603&lt;&gt;"","Aprovado",IF(Faturamento!$O603&lt;&gt;0,"Pendente Emissão","Processo de Calculo"))))</f>
        <v>Aprovado</v>
      </c>
      <c r="N944" s="3">
        <v>0</v>
      </c>
      <c r="O944" s="3">
        <v>0</v>
      </c>
      <c r="P944" s="4"/>
      <c r="Q944" s="4"/>
      <c r="S944" t="s">
        <v>1149</v>
      </c>
      <c r="T944" s="51" t="s">
        <v>560</v>
      </c>
      <c r="U944" s="51"/>
      <c r="V944" t="s">
        <v>438</v>
      </c>
      <c r="W944" s="3">
        <v>0</v>
      </c>
      <c r="X944" s="123">
        <f>IF(Faturamento!$V217="Pago",IFERROR(W944-R944,0),0)</f>
        <v>0</v>
      </c>
      <c r="Y944" s="4"/>
      <c r="Z944" s="4"/>
      <c r="AA944" s="5"/>
      <c r="AB944" s="5"/>
      <c r="AI944"/>
    </row>
    <row r="945" spans="1:35" hidden="1" x14ac:dyDescent="0.3">
      <c r="A945" s="5" t="str">
        <f>VLOOKUP(B945,base!A:M,11,FALSE)</f>
        <v>TRIFÁSICO</v>
      </c>
      <c r="B945" s="37" t="s">
        <v>228</v>
      </c>
      <c r="C945" s="56">
        <v>67991162146</v>
      </c>
      <c r="D945" s="59">
        <v>62955505015199</v>
      </c>
      <c r="E945" s="37" t="s">
        <v>433</v>
      </c>
      <c r="F945" s="37" t="s">
        <v>434</v>
      </c>
      <c r="G945" s="52">
        <v>45809</v>
      </c>
      <c r="H945" s="52" t="str">
        <f>Faturamento!$B604&amp;Faturamento!$G604</f>
        <v>10/276283-945748</v>
      </c>
      <c r="I945" s="37" t="s">
        <v>435</v>
      </c>
      <c r="J945" s="37">
        <v>0</v>
      </c>
      <c r="K945" s="53"/>
      <c r="L945" s="53"/>
      <c r="M945" s="5" t="str">
        <f>IF(Faturamento!$S604&lt;&gt;"","Não emitido",IF(Faturamento!$I604="NÃO","Pendente Fatura", IF(Faturamento!$R604&lt;&gt;"","Aprovado",IF(Faturamento!$O604&lt;&gt;0,"Pendente Emissão","Processo de Calculo"))))</f>
        <v>Aprovado</v>
      </c>
      <c r="N945" s="53">
        <v>0</v>
      </c>
      <c r="O945" s="53">
        <v>0</v>
      </c>
      <c r="P945" s="52"/>
      <c r="Q945" s="52"/>
      <c r="R945" s="53"/>
      <c r="S945" s="37" t="s">
        <v>1149</v>
      </c>
      <c r="T945" s="51" t="s">
        <v>466</v>
      </c>
      <c r="U945" s="51"/>
      <c r="V945" s="37" t="s">
        <v>438</v>
      </c>
      <c r="W945" s="53">
        <v>0</v>
      </c>
      <c r="X945" s="123">
        <f>IF(Faturamento!$V218="Pago",IFERROR(W945-R945,0),0)</f>
        <v>0</v>
      </c>
      <c r="Y945" s="52"/>
      <c r="Z945" s="52"/>
      <c r="AA945" s="5"/>
      <c r="AB945" s="5"/>
      <c r="AI945"/>
    </row>
    <row r="946" spans="1:35" hidden="1" x14ac:dyDescent="0.3">
      <c r="A946" s="5" t="str">
        <f>VLOOKUP(B946,base!A:M,11,FALSE)</f>
        <v>TRIFÁSICO</v>
      </c>
      <c r="B946" t="s">
        <v>338</v>
      </c>
      <c r="C946" s="1" t="s">
        <v>341</v>
      </c>
      <c r="D946" s="60">
        <v>62955505122432</v>
      </c>
      <c r="E946" s="63" t="s">
        <v>433</v>
      </c>
      <c r="F946" t="s">
        <v>434</v>
      </c>
      <c r="G946" s="4">
        <v>45809</v>
      </c>
      <c r="H946" s="4" t="str">
        <f>Faturamento!$B605&amp;Faturamento!$G605</f>
        <v>10/31292-645658</v>
      </c>
      <c r="I946" t="s">
        <v>435</v>
      </c>
      <c r="J946" s="37">
        <v>0</v>
      </c>
      <c r="K946" s="53"/>
      <c r="L946" s="53"/>
      <c r="M946" s="5" t="str">
        <f>IF(Faturamento!$S605&lt;&gt;"","Não emitido",IF(Faturamento!$I605="NÃO","Pendente Fatura", IF(Faturamento!$R605&lt;&gt;"","Aprovado",IF(Faturamento!$O605&lt;&gt;0,"Pendente Emissão","Processo de Calculo"))))</f>
        <v>Aprovado</v>
      </c>
      <c r="N946" s="3">
        <v>0</v>
      </c>
      <c r="O946" s="3">
        <v>0</v>
      </c>
      <c r="P946" s="4"/>
      <c r="Q946" s="4"/>
      <c r="S946" t="s">
        <v>1149</v>
      </c>
      <c r="T946" s="51" t="s">
        <v>750</v>
      </c>
      <c r="U946" s="51"/>
      <c r="V946" t="s">
        <v>438</v>
      </c>
      <c r="W946" s="3">
        <v>0</v>
      </c>
      <c r="X946" s="123">
        <f>IF(Faturamento!$V219="Pago",IFERROR(W946-R946,0),0)</f>
        <v>0</v>
      </c>
      <c r="Y946" s="4"/>
      <c r="Z946" s="4"/>
      <c r="AA946" s="5"/>
      <c r="AB946" s="5"/>
      <c r="AI946"/>
    </row>
    <row r="947" spans="1:35" hidden="1" x14ac:dyDescent="0.3">
      <c r="A947" s="5" t="str">
        <f>VLOOKUP(B947,base!A:M,11,FALSE)</f>
        <v>TRIFÁSICO</v>
      </c>
      <c r="B947" s="37" t="s">
        <v>290</v>
      </c>
      <c r="C947" s="56">
        <v>67992637973</v>
      </c>
      <c r="D947" s="59">
        <v>62955505354481</v>
      </c>
      <c r="E947" s="37" t="s">
        <v>433</v>
      </c>
      <c r="F947" s="37" t="s">
        <v>434</v>
      </c>
      <c r="G947" s="52">
        <v>45809</v>
      </c>
      <c r="H947" s="52" t="str">
        <f>Faturamento!$B606&amp;Faturamento!$G606</f>
        <v>10/952579-145689</v>
      </c>
      <c r="I947" s="37" t="s">
        <v>435</v>
      </c>
      <c r="J947" s="37">
        <v>0</v>
      </c>
      <c r="K947" s="53"/>
      <c r="L947" s="53"/>
      <c r="M947" s="5" t="str">
        <f>IF(Faturamento!$S606&lt;&gt;"","Não emitido",IF(Faturamento!$I606="NÃO","Pendente Fatura", IF(Faturamento!$R606&lt;&gt;"","Aprovado",IF(Faturamento!$O606&lt;&gt;0,"Pendente Emissão","Processo de Calculo"))))</f>
        <v>Aprovado</v>
      </c>
      <c r="N947" s="53">
        <v>0</v>
      </c>
      <c r="O947" s="53">
        <v>0</v>
      </c>
      <c r="P947" s="52"/>
      <c r="Q947" s="52"/>
      <c r="R947" s="53"/>
      <c r="S947" s="37" t="s">
        <v>1149</v>
      </c>
      <c r="T947" s="51" t="s">
        <v>751</v>
      </c>
      <c r="U947" s="51"/>
      <c r="V947" s="37" t="s">
        <v>438</v>
      </c>
      <c r="W947" s="53">
        <v>0</v>
      </c>
      <c r="X947" s="123">
        <f>IF(Faturamento!$V220="Pago",IFERROR(W947-R947,0),0)</f>
        <v>0</v>
      </c>
      <c r="Y947" s="52"/>
      <c r="Z947" s="52"/>
      <c r="AA947" s="5"/>
      <c r="AB947" s="5"/>
      <c r="AI947"/>
    </row>
    <row r="948" spans="1:35" hidden="1" x14ac:dyDescent="0.3">
      <c r="A948" s="5" t="str">
        <f>VLOOKUP(B948,base!A:M,11,FALSE)</f>
        <v>TRIFÁSICO</v>
      </c>
      <c r="B948" t="s">
        <v>230</v>
      </c>
      <c r="C948" s="1" t="s">
        <v>175</v>
      </c>
      <c r="D948" s="60">
        <v>62955505843253</v>
      </c>
      <c r="E948" s="63" t="s">
        <v>433</v>
      </c>
      <c r="F948" t="s">
        <v>434</v>
      </c>
      <c r="G948" s="4">
        <v>45809</v>
      </c>
      <c r="H948" s="4" t="str">
        <f>Faturamento!$B607&amp;Faturamento!$G607</f>
        <v>10/113971-645870</v>
      </c>
      <c r="I948" t="s">
        <v>435</v>
      </c>
      <c r="J948" s="37">
        <v>0</v>
      </c>
      <c r="K948" s="53"/>
      <c r="L948" s="53"/>
      <c r="M948" s="5" t="str">
        <f>IF(Faturamento!$S607&lt;&gt;"","Não emitido",IF(Faturamento!$I607="NÃO","Pendente Fatura", IF(Faturamento!$R607&lt;&gt;"","Aprovado",IF(Faturamento!$O607&lt;&gt;0,"Pendente Emissão","Processo de Calculo"))))</f>
        <v>Aprovado</v>
      </c>
      <c r="N948" s="3">
        <v>0</v>
      </c>
      <c r="O948" s="3">
        <v>0</v>
      </c>
      <c r="P948" s="4"/>
      <c r="Q948" s="4"/>
      <c r="S948" t="s">
        <v>1149</v>
      </c>
      <c r="T948" s="51" t="s">
        <v>752</v>
      </c>
      <c r="U948" s="51"/>
      <c r="V948" t="s">
        <v>438</v>
      </c>
      <c r="W948" s="3">
        <v>0</v>
      </c>
      <c r="X948" s="123">
        <f>IF(Faturamento!$V221="Pago",IFERROR(W948-R948,0),0)</f>
        <v>0</v>
      </c>
      <c r="Y948" s="4"/>
      <c r="Z948" s="4"/>
      <c r="AA948" s="5"/>
      <c r="AB948" s="5"/>
      <c r="AI948"/>
    </row>
    <row r="949" spans="1:35" hidden="1" x14ac:dyDescent="0.3">
      <c r="A949" s="5" t="str">
        <f>VLOOKUP(B949,base!A:M,11,FALSE)</f>
        <v>BIFÁSICO</v>
      </c>
      <c r="B949" s="37" t="s">
        <v>318</v>
      </c>
      <c r="C949" s="56">
        <v>67999998719</v>
      </c>
      <c r="D949" s="59">
        <v>62955505015431</v>
      </c>
      <c r="E949" s="37" t="s">
        <v>433</v>
      </c>
      <c r="F949" s="37" t="s">
        <v>434</v>
      </c>
      <c r="G949" s="52">
        <v>45809</v>
      </c>
      <c r="H949" s="52" t="str">
        <f>Faturamento!$B608&amp;Faturamento!$G608</f>
        <v>10/72605-945809</v>
      </c>
      <c r="I949" s="37" t="s">
        <v>435</v>
      </c>
      <c r="J949" s="37">
        <v>0</v>
      </c>
      <c r="K949" s="53"/>
      <c r="L949" s="53"/>
      <c r="M949" s="5" t="str">
        <f>IF(Faturamento!$S608&lt;&gt;"","Não emitido",IF(Faturamento!$I608="NÃO","Pendente Fatura", IF(Faturamento!$R608&lt;&gt;"","Aprovado",IF(Faturamento!$O608&lt;&gt;0,"Pendente Emissão","Processo de Calculo"))))</f>
        <v>Aprovado</v>
      </c>
      <c r="N949" s="53">
        <v>0</v>
      </c>
      <c r="O949" s="53">
        <v>0</v>
      </c>
      <c r="P949" s="52"/>
      <c r="Q949" s="52"/>
      <c r="R949" s="53"/>
      <c r="S949" s="37" t="s">
        <v>1149</v>
      </c>
      <c r="T949" s="51" t="s">
        <v>754</v>
      </c>
      <c r="U949" s="51"/>
      <c r="V949" s="37" t="s">
        <v>438</v>
      </c>
      <c r="W949" s="53">
        <v>0</v>
      </c>
      <c r="X949" s="123">
        <f>IF(Faturamento!$V222="Pago",IFERROR(W949-R949,0),0)</f>
        <v>0</v>
      </c>
      <c r="Y949" s="52"/>
      <c r="Z949" s="52"/>
      <c r="AA949" s="5"/>
      <c r="AB949" s="5"/>
      <c r="AI949"/>
    </row>
    <row r="950" spans="1:35" hidden="1" x14ac:dyDescent="0.3">
      <c r="A950" s="5" t="str">
        <f>VLOOKUP(B950,base!A:M,11,FALSE)</f>
        <v>BIFÁSICO</v>
      </c>
      <c r="B950" t="s">
        <v>348</v>
      </c>
      <c r="C950" s="1">
        <v>67996150274</v>
      </c>
      <c r="D950" s="60">
        <v>62955505897930</v>
      </c>
      <c r="E950" s="63" t="s">
        <v>433</v>
      </c>
      <c r="F950" t="s">
        <v>434</v>
      </c>
      <c r="G950" s="4">
        <v>45809</v>
      </c>
      <c r="H950" s="4" t="str">
        <f>Faturamento!$B609&amp;Faturamento!$G609</f>
        <v>10/3125732-245778</v>
      </c>
      <c r="I950" t="s">
        <v>435</v>
      </c>
      <c r="J950" s="37">
        <v>0</v>
      </c>
      <c r="K950" s="53"/>
      <c r="L950" s="53"/>
      <c r="M950" s="5" t="str">
        <f>IF(Faturamento!$S609&lt;&gt;"","Não emitido",IF(Faturamento!$I609="NÃO","Pendente Fatura", IF(Faturamento!$R609&lt;&gt;"","Aprovado",IF(Faturamento!$O609&lt;&gt;0,"Pendente Emissão","Processo de Calculo"))))</f>
        <v>Aprovado</v>
      </c>
      <c r="N950" s="3">
        <v>0</v>
      </c>
      <c r="O950" s="3">
        <v>0</v>
      </c>
      <c r="P950" s="4"/>
      <c r="Q950" s="4"/>
      <c r="S950" t="s">
        <v>1149</v>
      </c>
      <c r="T950" s="51" t="s">
        <v>1150</v>
      </c>
      <c r="U950" s="51"/>
      <c r="V950" t="s">
        <v>438</v>
      </c>
      <c r="W950" s="3">
        <v>0</v>
      </c>
      <c r="X950" s="123">
        <f>IF(Faturamento!$V223="Pago",IFERROR(W950-R950,0),0)</f>
        <v>0</v>
      </c>
      <c r="Y950" s="4"/>
      <c r="Z950" s="4"/>
      <c r="AA950" s="5"/>
      <c r="AB950" s="5"/>
      <c r="AI950"/>
    </row>
    <row r="951" spans="1:35" hidden="1" x14ac:dyDescent="0.3">
      <c r="A951" s="5" t="str">
        <f>VLOOKUP(B951,base!A:M,11,FALSE)</f>
        <v>TRIFÁSICO</v>
      </c>
      <c r="B951" s="37" t="s">
        <v>292</v>
      </c>
      <c r="C951" s="56">
        <v>67996446178</v>
      </c>
      <c r="D951" s="59">
        <v>62955505887382</v>
      </c>
      <c r="E951" s="37" t="s">
        <v>433</v>
      </c>
      <c r="F951" s="37" t="s">
        <v>434</v>
      </c>
      <c r="G951" s="52">
        <v>45809</v>
      </c>
      <c r="H951" s="52" t="str">
        <f>Faturamento!$B610&amp;Faturamento!$G610</f>
        <v>10/1130988-745748</v>
      </c>
      <c r="I951" s="37" t="s">
        <v>435</v>
      </c>
      <c r="J951" s="37">
        <v>0</v>
      </c>
      <c r="K951" s="53"/>
      <c r="L951" s="53"/>
      <c r="M951" s="5" t="str">
        <f>IF(Faturamento!$S610&lt;&gt;"","Não emitido",IF(Faturamento!$I610="NÃO","Pendente Fatura", IF(Faturamento!$R610&lt;&gt;"","Aprovado",IF(Faturamento!$O610&lt;&gt;0,"Pendente Emissão","Processo de Calculo"))))</f>
        <v>Aprovado</v>
      </c>
      <c r="N951" s="53">
        <v>0</v>
      </c>
      <c r="O951" s="53">
        <v>0</v>
      </c>
      <c r="P951" s="52"/>
      <c r="Q951" s="52"/>
      <c r="R951" s="53"/>
      <c r="S951" s="37" t="s">
        <v>1149</v>
      </c>
      <c r="T951" s="51" t="s">
        <v>681</v>
      </c>
      <c r="U951" s="51"/>
      <c r="V951" s="37" t="s">
        <v>438</v>
      </c>
      <c r="W951" s="53">
        <v>0</v>
      </c>
      <c r="X951" s="123">
        <f>IF(Faturamento!$V224="Pago",IFERROR(W951-R951,0),0)</f>
        <v>0</v>
      </c>
      <c r="Y951" s="52"/>
      <c r="Z951" s="52"/>
      <c r="AA951" s="5"/>
      <c r="AB951" s="5"/>
      <c r="AI951"/>
    </row>
    <row r="952" spans="1:35" hidden="1" x14ac:dyDescent="0.3">
      <c r="A952" s="5" t="str">
        <f>VLOOKUP(B952,base!A:M,11,FALSE)</f>
        <v>TRIFÁSICO</v>
      </c>
      <c r="B952" t="s">
        <v>247</v>
      </c>
      <c r="C952" s="1">
        <v>67999516782</v>
      </c>
      <c r="D952" s="60">
        <v>62955505375721</v>
      </c>
      <c r="E952" s="63" t="s">
        <v>433</v>
      </c>
      <c r="F952" t="s">
        <v>434</v>
      </c>
      <c r="G952" s="4">
        <v>45809</v>
      </c>
      <c r="H952" s="4" t="str">
        <f>Faturamento!$B611&amp;Faturamento!$G611</f>
        <v>10/1288241-145778</v>
      </c>
      <c r="I952" t="s">
        <v>435</v>
      </c>
      <c r="J952" s="37">
        <v>0</v>
      </c>
      <c r="K952" s="53"/>
      <c r="L952" s="53"/>
      <c r="M952" s="5" t="str">
        <f>IF(Faturamento!$S611&lt;&gt;"","Não emitido",IF(Faturamento!$I611="NÃO","Pendente Fatura", IF(Faturamento!$R611&lt;&gt;"","Aprovado",IF(Faturamento!$O611&lt;&gt;0,"Pendente Emissão","Processo de Calculo"))))</f>
        <v>Aprovado</v>
      </c>
      <c r="N952" s="3">
        <v>0</v>
      </c>
      <c r="O952" s="3">
        <v>0</v>
      </c>
      <c r="P952" s="4"/>
      <c r="Q952" s="4"/>
      <c r="S952" t="s">
        <v>1149</v>
      </c>
      <c r="T952" s="51" t="s">
        <v>765</v>
      </c>
      <c r="U952" s="51"/>
      <c r="V952" t="s">
        <v>438</v>
      </c>
      <c r="W952" s="3">
        <v>0</v>
      </c>
      <c r="X952" s="123">
        <f>IF(Faturamento!$V225="Pago",IFERROR(W952-R952,0),0)</f>
        <v>0</v>
      </c>
      <c r="Y952" s="4"/>
      <c r="Z952" s="4"/>
      <c r="AA952" s="5"/>
      <c r="AB952" s="5"/>
      <c r="AI952"/>
    </row>
    <row r="953" spans="1:35" hidden="1" x14ac:dyDescent="0.3">
      <c r="A953" s="5" t="str">
        <f>VLOOKUP(B953,base!A:M,11,FALSE)</f>
        <v>BIFÁSICO</v>
      </c>
      <c r="B953" s="37" t="s">
        <v>153</v>
      </c>
      <c r="C953" s="56" t="s">
        <v>154</v>
      </c>
      <c r="D953" s="59">
        <v>62955505405140</v>
      </c>
      <c r="E953" s="37" t="s">
        <v>433</v>
      </c>
      <c r="F953" s="37" t="s">
        <v>434</v>
      </c>
      <c r="G953" s="52">
        <v>45809</v>
      </c>
      <c r="H953" s="52" t="str">
        <f>Faturamento!$B612&amp;Faturamento!$G612</f>
        <v>10/952579-145839</v>
      </c>
      <c r="I953" s="37" t="s">
        <v>435</v>
      </c>
      <c r="J953" s="37">
        <v>0</v>
      </c>
      <c r="K953" s="53"/>
      <c r="L953" s="53"/>
      <c r="M953" s="5" t="str">
        <f>IF(Faturamento!$S612&lt;&gt;"","Não emitido",IF(Faturamento!$I612="NÃO","Pendente Fatura", IF(Faturamento!$R612&lt;&gt;"","Aprovado",IF(Faturamento!$O612&lt;&gt;0,"Pendente Emissão","Processo de Calculo"))))</f>
        <v>Aprovado</v>
      </c>
      <c r="N953" s="53">
        <v>0</v>
      </c>
      <c r="O953" s="53">
        <v>0</v>
      </c>
      <c r="P953" s="52"/>
      <c r="Q953" s="52"/>
      <c r="R953" s="53"/>
      <c r="S953" s="37" t="s">
        <v>1149</v>
      </c>
      <c r="T953" s="51" t="s">
        <v>766</v>
      </c>
      <c r="U953" s="51"/>
      <c r="V953" s="37" t="s">
        <v>438</v>
      </c>
      <c r="W953" s="53">
        <v>0</v>
      </c>
      <c r="X953" s="123">
        <f>IF(Faturamento!$V226="Pago",IFERROR(W953-R953,0),0)</f>
        <v>0</v>
      </c>
      <c r="Y953" s="52"/>
      <c r="Z953" s="52"/>
      <c r="AA953" s="5"/>
      <c r="AB953" s="5"/>
      <c r="AI953"/>
    </row>
    <row r="954" spans="1:35" hidden="1" x14ac:dyDescent="0.3">
      <c r="A954" s="5" t="str">
        <f>VLOOKUP(B954,base!A:M,11,FALSE)</f>
        <v>TRIFÁSICO</v>
      </c>
      <c r="B954" t="s">
        <v>242</v>
      </c>
      <c r="C954" s="1">
        <v>67996266684</v>
      </c>
      <c r="D954" s="60">
        <v>62955505312487</v>
      </c>
      <c r="E954" s="63" t="s">
        <v>433</v>
      </c>
      <c r="F954" t="s">
        <v>434</v>
      </c>
      <c r="G954" s="4">
        <v>45809</v>
      </c>
      <c r="H954" s="4" t="str">
        <f>Faturamento!$B613&amp;Faturamento!$G613</f>
        <v>10/452884-045778</v>
      </c>
      <c r="I954" t="s">
        <v>435</v>
      </c>
      <c r="J954" s="37">
        <v>0</v>
      </c>
      <c r="K954" s="53"/>
      <c r="L954" s="53"/>
      <c r="M954" s="5" t="str">
        <f>IF(Faturamento!$S613&lt;&gt;"","Não emitido",IF(Faturamento!$I613="NÃO","Pendente Fatura", IF(Faturamento!$R613&lt;&gt;"","Aprovado",IF(Faturamento!$O613&lt;&gt;0,"Pendente Emissão","Processo de Calculo"))))</f>
        <v>Aprovado</v>
      </c>
      <c r="N954" s="3">
        <v>0</v>
      </c>
      <c r="O954" s="3">
        <v>0</v>
      </c>
      <c r="P954" s="4"/>
      <c r="Q954" s="4"/>
      <c r="S954" t="s">
        <v>1149</v>
      </c>
      <c r="T954" s="51" t="s">
        <v>666</v>
      </c>
      <c r="U954" s="51"/>
      <c r="V954" t="s">
        <v>438</v>
      </c>
      <c r="W954" s="3">
        <v>0</v>
      </c>
      <c r="X954" s="123">
        <f>IF(Faturamento!$V227="Pago",IFERROR(W954-R954,0),0)</f>
        <v>0</v>
      </c>
      <c r="Y954" s="4"/>
      <c r="Z954" s="4"/>
      <c r="AA954" s="5"/>
      <c r="AB954" s="5"/>
      <c r="AI954"/>
    </row>
    <row r="955" spans="1:35" hidden="1" x14ac:dyDescent="0.3">
      <c r="A955" s="5" t="str">
        <f>VLOOKUP(B955,base!A:M,11,FALSE)</f>
        <v>BIFÁSICO</v>
      </c>
      <c r="B955" s="37" t="s">
        <v>137</v>
      </c>
      <c r="C955" s="56">
        <v>67992637973</v>
      </c>
      <c r="D955" s="59">
        <v>62955505040894</v>
      </c>
      <c r="E955" s="37" t="s">
        <v>433</v>
      </c>
      <c r="F955" s="37" t="s">
        <v>434</v>
      </c>
      <c r="G955" s="52">
        <v>45809</v>
      </c>
      <c r="H955" s="52" t="str">
        <f>Faturamento!$B614&amp;Faturamento!$G614</f>
        <v>10/24514-245901</v>
      </c>
      <c r="I955" s="37" t="s">
        <v>435</v>
      </c>
      <c r="J955" s="37">
        <v>0</v>
      </c>
      <c r="K955" s="53"/>
      <c r="L955" s="53"/>
      <c r="M955" s="5" t="str">
        <f>IF(Faturamento!$S614&lt;&gt;"","Não emitido",IF(Faturamento!$I614="NÃO","Pendente Fatura", IF(Faturamento!$R614&lt;&gt;"","Aprovado",IF(Faturamento!$O614&lt;&gt;0,"Pendente Emissão","Processo de Calculo"))))</f>
        <v>Aprovado</v>
      </c>
      <c r="N955" s="53">
        <v>0</v>
      </c>
      <c r="O955" s="53">
        <v>0</v>
      </c>
      <c r="P955" s="52"/>
      <c r="Q955" s="52"/>
      <c r="R955" s="53"/>
      <c r="S955" s="37" t="s">
        <v>1149</v>
      </c>
      <c r="T955" s="51" t="s">
        <v>498</v>
      </c>
      <c r="U955" s="51"/>
      <c r="V955" s="37" t="s">
        <v>438</v>
      </c>
      <c r="W955" s="53">
        <v>0</v>
      </c>
      <c r="X955" s="123">
        <f>IF(Faturamento!$V228="Pago",IFERROR(W955-R955,0),0)</f>
        <v>0</v>
      </c>
      <c r="Y955" s="52"/>
      <c r="Z955" s="52"/>
      <c r="AA955" s="5"/>
      <c r="AB955" s="5"/>
      <c r="AI955"/>
    </row>
    <row r="956" spans="1:35" hidden="1" x14ac:dyDescent="0.3">
      <c r="A956" s="5" t="str">
        <f>VLOOKUP(B956,base!A:M,11,FALSE)</f>
        <v>BIFÁSICO</v>
      </c>
      <c r="B956" t="s">
        <v>240</v>
      </c>
      <c r="C956" s="1">
        <v>67996135721</v>
      </c>
      <c r="D956" s="60">
        <v>62955505015431</v>
      </c>
      <c r="E956" s="63" t="s">
        <v>433</v>
      </c>
      <c r="F956" t="s">
        <v>434</v>
      </c>
      <c r="G956" s="4">
        <v>45809</v>
      </c>
      <c r="H956" s="4" t="str">
        <f>Faturamento!$B615&amp;Faturamento!$G615</f>
        <v>10/202838-945809</v>
      </c>
      <c r="I956" t="s">
        <v>435</v>
      </c>
      <c r="J956" s="37">
        <v>0</v>
      </c>
      <c r="K956" s="53"/>
      <c r="L956" s="53"/>
      <c r="M956" s="5" t="str">
        <f>IF(Faturamento!$S615&lt;&gt;"","Não emitido",IF(Faturamento!$I615="NÃO","Pendente Fatura", IF(Faturamento!$R615&lt;&gt;"","Aprovado",IF(Faturamento!$O615&lt;&gt;0,"Pendente Emissão","Processo de Calculo"))))</f>
        <v>Aprovado</v>
      </c>
      <c r="N956" s="3">
        <v>0</v>
      </c>
      <c r="O956" s="3">
        <v>0</v>
      </c>
      <c r="P956" s="4"/>
      <c r="Q956" s="4"/>
      <c r="S956" t="s">
        <v>1149</v>
      </c>
      <c r="T956" s="51" t="s">
        <v>754</v>
      </c>
      <c r="U956" s="51"/>
      <c r="V956" t="s">
        <v>438</v>
      </c>
      <c r="W956" s="3">
        <v>0</v>
      </c>
      <c r="X956" s="123">
        <f>IF(Faturamento!$V229="Pago",IFERROR(W956-R956,0),0)</f>
        <v>0</v>
      </c>
      <c r="Y956" s="4"/>
      <c r="Z956" s="4"/>
      <c r="AA956" s="5"/>
      <c r="AB956" s="5"/>
      <c r="AI956"/>
    </row>
    <row r="957" spans="1:35" hidden="1" x14ac:dyDescent="0.3">
      <c r="A957" s="5" t="str">
        <f>VLOOKUP(B957,base!A:M,11,FALSE)</f>
        <v>TRIFÁSICO</v>
      </c>
      <c r="B957" s="37" t="s">
        <v>222</v>
      </c>
      <c r="C957" s="56">
        <v>67996150274</v>
      </c>
      <c r="D957" s="59">
        <v>62955505000167</v>
      </c>
      <c r="E957" s="37" t="s">
        <v>433</v>
      </c>
      <c r="F957" s="37" t="s">
        <v>434</v>
      </c>
      <c r="G957" s="52">
        <v>45809</v>
      </c>
      <c r="H957" s="52" t="str">
        <f>Faturamento!$B616&amp;Faturamento!$G616</f>
        <v>10/501586-245839</v>
      </c>
      <c r="I957" s="37" t="s">
        <v>435</v>
      </c>
      <c r="J957" s="37">
        <v>0</v>
      </c>
      <c r="K957" s="53"/>
      <c r="L957" s="53"/>
      <c r="M957" s="5" t="str">
        <f>IF(Faturamento!$S616&lt;&gt;"","Não emitido",IF(Faturamento!$I616="NÃO","Pendente Fatura", IF(Faturamento!$R616&lt;&gt;"","Aprovado",IF(Faturamento!$O616&lt;&gt;0,"Pendente Emissão","Processo de Calculo"))))</f>
        <v>Aprovado</v>
      </c>
      <c r="N957" s="53">
        <v>0</v>
      </c>
      <c r="O957" s="53">
        <v>0</v>
      </c>
      <c r="P957" s="52"/>
      <c r="Q957" s="52"/>
      <c r="R957" s="53"/>
      <c r="S957" s="37" t="s">
        <v>1149</v>
      </c>
      <c r="T957" s="51" t="s">
        <v>535</v>
      </c>
      <c r="U957" s="51"/>
      <c r="V957" s="37" t="s">
        <v>438</v>
      </c>
      <c r="W957" s="53">
        <v>0</v>
      </c>
      <c r="X957" s="123">
        <f>IF(Faturamento!$V230="Pago",IFERROR(W957-R957,0),0)</f>
        <v>0</v>
      </c>
      <c r="Y957" s="52"/>
      <c r="Z957" s="52"/>
      <c r="AA957" s="5"/>
      <c r="AB957" s="5"/>
      <c r="AI957"/>
    </row>
    <row r="958" spans="1:35" hidden="1" x14ac:dyDescent="0.3">
      <c r="A958" s="5" t="str">
        <f>VLOOKUP(B958,base!A:M,11,FALSE)</f>
        <v>TRIFÁSICO</v>
      </c>
      <c r="B958" t="s">
        <v>343</v>
      </c>
      <c r="C958" s="1">
        <v>67992637973</v>
      </c>
      <c r="D958" s="60">
        <v>62955505358630</v>
      </c>
      <c r="E958" s="63" t="s">
        <v>433</v>
      </c>
      <c r="F958" t="s">
        <v>434</v>
      </c>
      <c r="G958" s="4">
        <v>45809</v>
      </c>
      <c r="H958" s="4" t="str">
        <f>Faturamento!$B617&amp;Faturamento!$G617</f>
        <v>10/987178-145839</v>
      </c>
      <c r="I958" t="s">
        <v>435</v>
      </c>
      <c r="J958" s="37">
        <v>0</v>
      </c>
      <c r="K958" s="53"/>
      <c r="L958" s="53"/>
      <c r="M958" s="5" t="str">
        <f>IF(Faturamento!$S617&lt;&gt;"","Não emitido",IF(Faturamento!$I617="NÃO","Pendente Fatura", IF(Faturamento!$R617&lt;&gt;"","Aprovado",IF(Faturamento!$O617&lt;&gt;0,"Pendente Emissão","Processo de Calculo"))))</f>
        <v>Aprovado</v>
      </c>
      <c r="N958" s="3">
        <v>0</v>
      </c>
      <c r="O958" s="3">
        <v>0</v>
      </c>
      <c r="P958" s="4"/>
      <c r="Q958" s="4"/>
      <c r="S958" t="s">
        <v>1149</v>
      </c>
      <c r="T958" s="51" t="s">
        <v>838</v>
      </c>
      <c r="U958" s="51"/>
      <c r="V958" t="s">
        <v>438</v>
      </c>
      <c r="W958" s="3">
        <v>0</v>
      </c>
      <c r="X958" s="123">
        <f>IF(Faturamento!$V231="Pago",IFERROR(W958-R958,0),0)</f>
        <v>0</v>
      </c>
      <c r="Y958" s="4"/>
      <c r="Z958" s="4"/>
      <c r="AA958" s="5"/>
      <c r="AB958" s="5"/>
      <c r="AI958"/>
    </row>
    <row r="959" spans="1:35" hidden="1" x14ac:dyDescent="0.3">
      <c r="A959" s="5" t="str">
        <f>VLOOKUP(B959,base!A:M,11,FALSE)</f>
        <v>TRIFÁSICO</v>
      </c>
      <c r="B959" t="s">
        <v>228</v>
      </c>
      <c r="C959" s="1">
        <v>67991162146</v>
      </c>
      <c r="D959" s="60">
        <v>62955505015199</v>
      </c>
      <c r="E959" s="63" t="s">
        <v>433</v>
      </c>
      <c r="F959" t="s">
        <v>434</v>
      </c>
      <c r="G959" s="4">
        <v>45839</v>
      </c>
      <c r="H959" s="4" t="str">
        <f>Faturamento!$B631&amp;Faturamento!$G631</f>
        <v>10/280638-845870</v>
      </c>
      <c r="I959" t="s">
        <v>435</v>
      </c>
      <c r="J959" s="37">
        <v>0</v>
      </c>
      <c r="K959" s="53"/>
      <c r="L959" s="53"/>
      <c r="M959" s="5" t="str">
        <f>IF(Faturamento!$S631&lt;&gt;"","Não emitido",IF(Faturamento!$I631="NÃO","Pendente Fatura", IF(Faturamento!$R631&lt;&gt;"","Aprovado",IF(Faturamento!$O631&lt;&gt;0,"Pendente Emissão","Processo de Calculo"))))</f>
        <v>Aprovado</v>
      </c>
      <c r="N959" s="3">
        <v>0</v>
      </c>
      <c r="O959" s="3">
        <v>0</v>
      </c>
      <c r="P959" s="4">
        <v>45910</v>
      </c>
      <c r="Q959" s="4">
        <v>45920</v>
      </c>
      <c r="R959" s="3">
        <v>0</v>
      </c>
      <c r="S959" t="s">
        <v>436</v>
      </c>
      <c r="T959" s="51" t="s">
        <v>1177</v>
      </c>
      <c r="U959" s="51"/>
      <c r="V959" t="s">
        <v>438</v>
      </c>
      <c r="W959" s="3"/>
      <c r="X959" s="123">
        <f>IF(Faturamento!$V835="Pago",IFERROR(W959-R959,0),0)</f>
        <v>0</v>
      </c>
      <c r="Y959" s="4"/>
      <c r="Z959" s="4"/>
      <c r="AA959" s="5"/>
      <c r="AB959" s="5"/>
      <c r="AI959"/>
    </row>
    <row r="960" spans="1:35" hidden="1" x14ac:dyDescent="0.3">
      <c r="A960" s="5" t="str">
        <f>VLOOKUP(B960,base!A:M,11,FALSE)</f>
        <v>TRIFÁSICO</v>
      </c>
      <c r="B960" t="s">
        <v>164</v>
      </c>
      <c r="C960" s="1" t="s">
        <v>166</v>
      </c>
      <c r="D960" s="60">
        <v>62955505419443</v>
      </c>
      <c r="E960" s="63" t="s">
        <v>433</v>
      </c>
      <c r="F960" t="s">
        <v>434</v>
      </c>
      <c r="G960" s="4">
        <v>45839</v>
      </c>
      <c r="H960" s="4" t="str">
        <f>Faturamento!$B635&amp;Faturamento!$G635</f>
        <v>10/952579-145870</v>
      </c>
      <c r="I960" t="s">
        <v>435</v>
      </c>
      <c r="J960" s="37">
        <v>0</v>
      </c>
      <c r="K960" s="53"/>
      <c r="L960" s="53"/>
      <c r="M960" s="5" t="str">
        <f>IF(Faturamento!$S635&lt;&gt;"","Não emitido",IF(Faturamento!$I635="NÃO","Pendente Fatura", IF(Faturamento!$R635&lt;&gt;"","Aprovado",IF(Faturamento!$O635&lt;&gt;0,"Pendente Emissão","Processo de Calculo"))))</f>
        <v>Aprovado</v>
      </c>
      <c r="N960" s="3">
        <v>0</v>
      </c>
      <c r="O960" s="3">
        <v>0</v>
      </c>
      <c r="P960" s="4">
        <v>45910</v>
      </c>
      <c r="Q960" s="4">
        <v>45920</v>
      </c>
      <c r="R960" s="3">
        <v>0</v>
      </c>
      <c r="S960" t="s">
        <v>436</v>
      </c>
      <c r="T960" s="51" t="s">
        <v>1185</v>
      </c>
      <c r="U960" s="51"/>
      <c r="V960" t="s">
        <v>438</v>
      </c>
      <c r="W960" s="3"/>
      <c r="X960" s="123">
        <f>IF(Faturamento!$V837="Pago",IFERROR(W960-R960,0),0)</f>
        <v>0</v>
      </c>
      <c r="Y960" s="4"/>
      <c r="Z960" s="4"/>
      <c r="AA960" s="5"/>
      <c r="AB960" s="5"/>
      <c r="AI960"/>
    </row>
    <row r="961" spans="1:35" hidden="1" x14ac:dyDescent="0.3">
      <c r="A961" s="5" t="str">
        <f>VLOOKUP(B961,base!A:M,11,FALSE)</f>
        <v>TRIFÁSICO</v>
      </c>
      <c r="B961" s="37" t="s">
        <v>181</v>
      </c>
      <c r="C961" s="56">
        <v>67996150274</v>
      </c>
      <c r="D961" s="59">
        <v>62955505197360</v>
      </c>
      <c r="E961" s="37" t="s">
        <v>433</v>
      </c>
      <c r="F961" s="37" t="s">
        <v>434</v>
      </c>
      <c r="G961" s="52">
        <v>45839</v>
      </c>
      <c r="H961" s="52" t="str">
        <f>Faturamento!$B640&amp;Faturamento!$G640</f>
        <v>10/341308-545809</v>
      </c>
      <c r="I961" s="37" t="s">
        <v>435</v>
      </c>
      <c r="J961" s="37">
        <v>0</v>
      </c>
      <c r="K961" s="53"/>
      <c r="L961" s="53"/>
      <c r="M961" s="5" t="str">
        <f>IF(Faturamento!$S640&lt;&gt;"","Não emitido",IF(Faturamento!$I640="NÃO","Pendente Fatura", IF(Faturamento!$R640&lt;&gt;"","Aprovado",IF(Faturamento!$O640&lt;&gt;0,"Pendente Emissão","Processo de Calculo"))))</f>
        <v>Aprovado</v>
      </c>
      <c r="N961" s="53">
        <v>0</v>
      </c>
      <c r="O961" s="53">
        <v>0</v>
      </c>
      <c r="P961" s="52">
        <v>45910</v>
      </c>
      <c r="Q961" s="52">
        <v>45920</v>
      </c>
      <c r="R961" s="53">
        <v>0</v>
      </c>
      <c r="S961" s="37" t="s">
        <v>436</v>
      </c>
      <c r="T961" s="51" t="s">
        <v>1195</v>
      </c>
      <c r="U961" s="51"/>
      <c r="V961" s="37" t="s">
        <v>438</v>
      </c>
      <c r="W961" s="53"/>
      <c r="X961" s="123">
        <f>IF(Faturamento!$V838="Pago",IFERROR(W961-R961,0),0)</f>
        <v>0</v>
      </c>
      <c r="Y961" s="52"/>
      <c r="Z961" s="52"/>
      <c r="AA961" s="5"/>
      <c r="AB961" s="5"/>
      <c r="AI961"/>
    </row>
    <row r="962" spans="1:35" hidden="1" x14ac:dyDescent="0.3">
      <c r="A962" s="5">
        <f>VLOOKUP(B962,base!A:M,11,FALSE)</f>
        <v>0</v>
      </c>
      <c r="B962" t="s">
        <v>122</v>
      </c>
      <c r="C962" s="1">
        <v>67991767866</v>
      </c>
      <c r="D962" s="60">
        <v>62955505091456</v>
      </c>
      <c r="E962" s="63" t="s">
        <v>433</v>
      </c>
      <c r="F962" t="s">
        <v>434</v>
      </c>
      <c r="G962" s="4">
        <v>45839</v>
      </c>
      <c r="H962" s="4" t="str">
        <f>Faturamento!$B641&amp;Faturamento!$G641</f>
        <v>10/1117293-945748</v>
      </c>
      <c r="I962" t="s">
        <v>435</v>
      </c>
      <c r="J962" s="37">
        <v>0</v>
      </c>
      <c r="K962" s="53"/>
      <c r="L962" s="53"/>
      <c r="M962" s="5" t="str">
        <f>IF(Faturamento!$S641&lt;&gt;"","Não emitido",IF(Faturamento!$I641="NÃO","Pendente Fatura", IF(Faturamento!$R641&lt;&gt;"","Aprovado",IF(Faturamento!$O641&lt;&gt;0,"Pendente Emissão","Processo de Calculo"))))</f>
        <v>Aprovado</v>
      </c>
      <c r="N962" s="3">
        <v>0</v>
      </c>
      <c r="O962" s="3">
        <v>0</v>
      </c>
      <c r="P962" s="4">
        <v>45910</v>
      </c>
      <c r="Q962" s="4">
        <v>45920</v>
      </c>
      <c r="R962" s="3">
        <v>0</v>
      </c>
      <c r="S962" t="s">
        <v>436</v>
      </c>
      <c r="T962" s="51" t="s">
        <v>1196</v>
      </c>
      <c r="U962" s="51"/>
      <c r="V962" t="s">
        <v>438</v>
      </c>
      <c r="W962" s="3"/>
      <c r="X962" s="123">
        <f>IF(Faturamento!$V839="Pago",IFERROR(W962-R962,0),0)</f>
        <v>0</v>
      </c>
      <c r="Y962" s="4"/>
      <c r="Z962" s="4"/>
      <c r="AA962" s="5"/>
      <c r="AB962" s="5"/>
      <c r="AI962"/>
    </row>
    <row r="963" spans="1:35" hidden="1" x14ac:dyDescent="0.3">
      <c r="A963" s="5" t="str">
        <f>VLOOKUP(B963,base!A:M,11,FALSE)</f>
        <v>TRIFÁSICO</v>
      </c>
      <c r="B963" s="37" t="s">
        <v>299</v>
      </c>
      <c r="C963" s="56" t="s">
        <v>175</v>
      </c>
      <c r="D963" s="59">
        <v>62955505189340</v>
      </c>
      <c r="E963" s="37" t="s">
        <v>433</v>
      </c>
      <c r="F963" s="37" t="s">
        <v>434</v>
      </c>
      <c r="G963" s="52">
        <v>45839</v>
      </c>
      <c r="H963" s="52" t="str">
        <f>Faturamento!$B682&amp;Faturamento!$G682</f>
        <v>10/24514-245809</v>
      </c>
      <c r="I963" s="37" t="s">
        <v>435</v>
      </c>
      <c r="J963" s="37">
        <v>0</v>
      </c>
      <c r="K963" s="53"/>
      <c r="L963" s="53"/>
      <c r="M963" s="5" t="str">
        <f>IF(Faturamento!$S682&lt;&gt;"","Não emitido",IF(Faturamento!$I682="NÃO","Pendente Fatura", IF(Faturamento!$R682&lt;&gt;"","Aprovado",IF(Faturamento!$O682&lt;&gt;0,"Pendente Emissão","Processo de Calculo"))))</f>
        <v>Aprovado</v>
      </c>
      <c r="N963" s="53">
        <v>0</v>
      </c>
      <c r="O963" s="53">
        <v>0</v>
      </c>
      <c r="P963" s="52">
        <v>45910</v>
      </c>
      <c r="Q963" s="52">
        <v>45920</v>
      </c>
      <c r="R963" s="53">
        <v>0</v>
      </c>
      <c r="S963" s="37" t="s">
        <v>436</v>
      </c>
      <c r="T963" s="51" t="s">
        <v>1277</v>
      </c>
      <c r="U963" s="51"/>
      <c r="V963" s="37" t="s">
        <v>438</v>
      </c>
      <c r="W963" s="53"/>
      <c r="X963" s="123">
        <f>IF(Faturamento!$V847="Pago",IFERROR(W963-R963,0),0)</f>
        <v>0</v>
      </c>
      <c r="Y963" s="52"/>
      <c r="Z963" s="52"/>
      <c r="AA963" s="5"/>
      <c r="AB963" s="5"/>
      <c r="AI963"/>
    </row>
    <row r="964" spans="1:35" hidden="1" x14ac:dyDescent="0.3">
      <c r="A964" s="5" t="str">
        <f>VLOOKUP(B964,base!A:M,11,FALSE)</f>
        <v>BIFÁSICO</v>
      </c>
      <c r="B964" t="s">
        <v>253</v>
      </c>
      <c r="C964" s="1">
        <v>67996266684</v>
      </c>
      <c r="D964" s="60">
        <v>62955505016080</v>
      </c>
      <c r="E964" s="63" t="s">
        <v>433</v>
      </c>
      <c r="F964" t="s">
        <v>434</v>
      </c>
      <c r="G964" s="4">
        <v>45839</v>
      </c>
      <c r="H964" s="4" t="str">
        <f>Faturamento!$B687&amp;Faturamento!$G687</f>
        <v>10/257864-945778</v>
      </c>
      <c r="I964" t="s">
        <v>435</v>
      </c>
      <c r="J964" s="37">
        <v>0</v>
      </c>
      <c r="K964" s="53"/>
      <c r="L964" s="53"/>
      <c r="M964" s="5" t="str">
        <f>IF(Faturamento!$S687&lt;&gt;"","Não emitido",IF(Faturamento!$I687="NÃO","Pendente Fatura", IF(Faturamento!$R687&lt;&gt;"","Aprovado",IF(Faturamento!$O687&lt;&gt;0,"Pendente Emissão","Processo de Calculo"))))</f>
        <v>Aprovado</v>
      </c>
      <c r="N964" s="3">
        <v>0</v>
      </c>
      <c r="O964" s="3">
        <v>0</v>
      </c>
      <c r="P964" s="4">
        <v>45910</v>
      </c>
      <c r="Q964" s="4">
        <v>45920</v>
      </c>
      <c r="R964" s="3">
        <v>0</v>
      </c>
      <c r="S964" t="s">
        <v>436</v>
      </c>
      <c r="T964" s="51" t="s">
        <v>1286</v>
      </c>
      <c r="U964" s="51"/>
      <c r="V964" t="s">
        <v>438</v>
      </c>
      <c r="W964" s="3"/>
      <c r="X964" s="123">
        <f>IF(Faturamento!$V848="Pago",IFERROR(W964-R964,0),0)</f>
        <v>0</v>
      </c>
      <c r="Y964" s="4"/>
      <c r="Z964" s="4"/>
      <c r="AA964" s="5"/>
      <c r="AB964" s="5"/>
      <c r="AI964"/>
    </row>
    <row r="965" spans="1:35" hidden="1" x14ac:dyDescent="0.3">
      <c r="A965" s="5" t="str">
        <f>VLOOKUP(B965,base!A:M,11,FALSE)</f>
        <v>TRIFÁSICO</v>
      </c>
      <c r="B965" s="37" t="s">
        <v>343</v>
      </c>
      <c r="C965" s="56">
        <v>67992637973</v>
      </c>
      <c r="D965" s="59">
        <v>62955505358630</v>
      </c>
      <c r="E965" s="37" t="s">
        <v>433</v>
      </c>
      <c r="F965" s="37" t="s">
        <v>434</v>
      </c>
      <c r="G965" s="52">
        <v>45839</v>
      </c>
      <c r="H965" s="52" t="str">
        <f>Faturamento!$B690&amp;Faturamento!$G690</f>
        <v>10/501586-245931</v>
      </c>
      <c r="I965" s="37" t="s">
        <v>435</v>
      </c>
      <c r="J965" s="37">
        <v>0</v>
      </c>
      <c r="K965" s="53"/>
      <c r="L965" s="53"/>
      <c r="M965" s="5" t="str">
        <f>IF(Faturamento!$S690&lt;&gt;"","Não emitido",IF(Faturamento!$I690="NÃO","Pendente Fatura", IF(Faturamento!$R690&lt;&gt;"","Aprovado",IF(Faturamento!$O690&lt;&gt;0,"Pendente Emissão","Processo de Calculo"))))</f>
        <v>Aprovado</v>
      </c>
      <c r="N965" s="53">
        <v>0</v>
      </c>
      <c r="O965" s="53">
        <v>0</v>
      </c>
      <c r="P965" s="52">
        <v>45910</v>
      </c>
      <c r="Q965" s="52">
        <v>45920</v>
      </c>
      <c r="R965" s="53">
        <v>0</v>
      </c>
      <c r="S965" s="37" t="s">
        <v>436</v>
      </c>
      <c r="T965" s="51" t="s">
        <v>1290</v>
      </c>
      <c r="U965" s="51"/>
      <c r="V965" s="37" t="s">
        <v>438</v>
      </c>
      <c r="W965" s="53"/>
      <c r="X965" s="123">
        <f>IF(Faturamento!$V850="Pago",IFERROR(W965-R965,0),0)</f>
        <v>0</v>
      </c>
      <c r="Y965" s="52"/>
      <c r="Z965" s="52"/>
      <c r="AA965" s="5"/>
      <c r="AB965" s="5"/>
      <c r="AI965"/>
    </row>
    <row r="966" spans="1:35" hidden="1" x14ac:dyDescent="0.3">
      <c r="A966" s="5" t="str">
        <f>VLOOKUP(B966,base!A:M,11,FALSE)</f>
        <v>TRIFÁSICO</v>
      </c>
      <c r="B966" t="s">
        <v>292</v>
      </c>
      <c r="C966" s="1">
        <v>67996446178</v>
      </c>
      <c r="D966" s="60">
        <v>62955505887382</v>
      </c>
      <c r="E966" s="63" t="s">
        <v>433</v>
      </c>
      <c r="F966" t="s">
        <v>434</v>
      </c>
      <c r="G966" s="4">
        <v>45839</v>
      </c>
      <c r="H966" s="4" t="str">
        <f>Faturamento!$B691&amp;Faturamento!$G691</f>
        <v>10/237441-145748</v>
      </c>
      <c r="I966" t="s">
        <v>435</v>
      </c>
      <c r="J966" s="37">
        <v>0</v>
      </c>
      <c r="K966" s="53"/>
      <c r="L966" s="53"/>
      <c r="M966" s="5" t="str">
        <f>IF(Faturamento!$S691&lt;&gt;"","Não emitido",IF(Faturamento!$I691="NÃO","Pendente Fatura", IF(Faturamento!$R691&lt;&gt;"","Aprovado",IF(Faturamento!$O691&lt;&gt;0,"Pendente Emissão","Processo de Calculo"))))</f>
        <v>Aprovado</v>
      </c>
      <c r="N966" s="3">
        <v>0</v>
      </c>
      <c r="O966" s="3">
        <v>0</v>
      </c>
      <c r="P966" s="4">
        <v>45910</v>
      </c>
      <c r="Q966" s="4">
        <v>45920</v>
      </c>
      <c r="R966" s="3">
        <v>0</v>
      </c>
      <c r="S966" t="s">
        <v>436</v>
      </c>
      <c r="T966" s="51" t="s">
        <v>1291</v>
      </c>
      <c r="U966" s="51"/>
      <c r="V966" t="s">
        <v>438</v>
      </c>
      <c r="W966" s="3"/>
      <c r="X966" s="123">
        <f>IF(Faturamento!$V851="Pago",IFERROR(W966-R966,0),0)</f>
        <v>0</v>
      </c>
      <c r="Y966" s="4"/>
      <c r="Z966" s="4"/>
      <c r="AA966" s="5"/>
      <c r="AB966" s="5"/>
      <c r="AI966"/>
    </row>
    <row r="967" spans="1:35" hidden="1" x14ac:dyDescent="0.3">
      <c r="A967" s="5" t="str">
        <f>VLOOKUP(B967,base!A:M,11,FALSE)</f>
        <v>TRIFÁSICO</v>
      </c>
      <c r="B967" s="37" t="s">
        <v>206</v>
      </c>
      <c r="C967" s="56">
        <v>67992637973</v>
      </c>
      <c r="D967" s="59">
        <v>62955505017213</v>
      </c>
      <c r="E967" s="37" t="s">
        <v>433</v>
      </c>
      <c r="F967" s="37" t="s">
        <v>434</v>
      </c>
      <c r="G967" s="52">
        <v>45839</v>
      </c>
      <c r="H967" s="52" t="str">
        <f>Faturamento!$B698&amp;Faturamento!$G698</f>
        <v>10/510330-445809</v>
      </c>
      <c r="I967" s="37" t="s">
        <v>435</v>
      </c>
      <c r="J967" s="37">
        <v>0</v>
      </c>
      <c r="K967" s="53"/>
      <c r="L967" s="53"/>
      <c r="M967" s="5" t="str">
        <f>IF(Faturamento!$S698&lt;&gt;"","Não emitido",IF(Faturamento!$I698="NÃO","Pendente Fatura", IF(Faturamento!$R698&lt;&gt;"","Aprovado",IF(Faturamento!$O698&lt;&gt;0,"Pendente Emissão","Processo de Calculo"))))</f>
        <v>Aprovado</v>
      </c>
      <c r="N967" s="53">
        <v>0</v>
      </c>
      <c r="O967" s="53">
        <v>0</v>
      </c>
      <c r="P967" s="52">
        <v>45910</v>
      </c>
      <c r="Q967" s="52">
        <v>45920</v>
      </c>
      <c r="R967" s="53">
        <v>0</v>
      </c>
      <c r="S967" s="37" t="s">
        <v>436</v>
      </c>
      <c r="T967" s="51" t="s">
        <v>1303</v>
      </c>
      <c r="U967" s="51"/>
      <c r="V967" s="37" t="s">
        <v>438</v>
      </c>
      <c r="W967" s="53"/>
      <c r="X967" s="123">
        <f>IF(Faturamento!$V854="Pago",IFERROR(W967-R967,0),0)</f>
        <v>0</v>
      </c>
      <c r="Y967" s="52"/>
      <c r="Z967" s="52"/>
      <c r="AA967" s="5"/>
      <c r="AB967" s="5"/>
      <c r="AI967"/>
    </row>
    <row r="968" spans="1:35" hidden="1" x14ac:dyDescent="0.3">
      <c r="A968" s="5" t="str">
        <f>VLOOKUP(B968,base!A:M,11,FALSE)</f>
        <v>TRIFÁSICO</v>
      </c>
      <c r="B968" s="37" t="s">
        <v>156</v>
      </c>
      <c r="C968" s="56">
        <v>67996446178</v>
      </c>
      <c r="D968" s="59">
        <v>62955505080098</v>
      </c>
      <c r="E968" s="37" t="s">
        <v>433</v>
      </c>
      <c r="F968" s="37" t="s">
        <v>434</v>
      </c>
      <c r="G968" s="52">
        <v>45839</v>
      </c>
      <c r="H968" s="52" t="str">
        <f>Faturamento!$B702&amp;Faturamento!$G702</f>
        <v>10/1130988-745839</v>
      </c>
      <c r="I968" s="37" t="s">
        <v>435</v>
      </c>
      <c r="J968" s="37">
        <v>0</v>
      </c>
      <c r="K968" s="53"/>
      <c r="L968" s="53"/>
      <c r="M968" s="5" t="str">
        <f>IF(Faturamento!$S702&lt;&gt;"","Não emitido",IF(Faturamento!$I702="NÃO","Pendente Fatura", IF(Faturamento!$R702&lt;&gt;"","Aprovado",IF(Faturamento!$O702&lt;&gt;0,"Pendente Emissão","Processo de Calculo"))))</f>
        <v>Aprovado</v>
      </c>
      <c r="N968" s="53">
        <v>0</v>
      </c>
      <c r="O968" s="53">
        <v>0</v>
      </c>
      <c r="P968" s="52">
        <v>45910</v>
      </c>
      <c r="Q968" s="52">
        <v>45920</v>
      </c>
      <c r="R968" s="53">
        <v>0</v>
      </c>
      <c r="S968" s="37" t="s">
        <v>436</v>
      </c>
      <c r="T968" s="51" t="s">
        <v>1309</v>
      </c>
      <c r="U968" s="51"/>
      <c r="V968" s="37" t="s">
        <v>438</v>
      </c>
      <c r="W968" s="53"/>
      <c r="X968" s="123">
        <f>IF(Faturamento!$V856="Pago",IFERROR(W968-R968,0),0)</f>
        <v>0</v>
      </c>
      <c r="Y968" s="52"/>
      <c r="Z968" s="52"/>
      <c r="AA968" s="5"/>
      <c r="AB968" s="5"/>
      <c r="AI968"/>
    </row>
    <row r="969" spans="1:35" hidden="1" x14ac:dyDescent="0.3">
      <c r="A969" s="5" t="str">
        <f>VLOOKUP(B969,base!A:M,11,FALSE)</f>
        <v>TRIFÁSICO</v>
      </c>
      <c r="B969" s="37" t="s">
        <v>242</v>
      </c>
      <c r="C969" s="56">
        <v>67996266684</v>
      </c>
      <c r="D969" s="59">
        <v>62955505312487</v>
      </c>
      <c r="E969" s="37" t="s">
        <v>433</v>
      </c>
      <c r="F969" s="37" t="s">
        <v>434</v>
      </c>
      <c r="G969" s="52">
        <v>45839</v>
      </c>
      <c r="H969" s="52" t="str">
        <f>Faturamento!$B710&amp;Faturamento!$G710</f>
        <v>10/52987-545839</v>
      </c>
      <c r="I969" s="37" t="s">
        <v>435</v>
      </c>
      <c r="J969" s="37">
        <v>0</v>
      </c>
      <c r="K969" s="53"/>
      <c r="L969" s="53"/>
      <c r="M969" s="5" t="s">
        <v>1536</v>
      </c>
      <c r="N969" s="53">
        <v>0</v>
      </c>
      <c r="O969" s="53">
        <v>0</v>
      </c>
      <c r="P969" s="52"/>
      <c r="Q969" s="52"/>
      <c r="R969" s="53">
        <v>0</v>
      </c>
      <c r="S969" s="37"/>
      <c r="T969" s="51" t="s">
        <v>1324</v>
      </c>
      <c r="U969" s="51" t="e">
        <v>#N/A</v>
      </c>
      <c r="V969" s="37" t="s">
        <v>438</v>
      </c>
      <c r="W969" s="53"/>
      <c r="X969" s="123">
        <f>IF(Faturamento!$V859="Pago",IFERROR(W969-R969,0),0)</f>
        <v>0</v>
      </c>
      <c r="Y969" s="52"/>
      <c r="Z969" s="52"/>
      <c r="AA969" s="5"/>
      <c r="AB969" s="5"/>
      <c r="AI969"/>
    </row>
    <row r="970" spans="1:35" hidden="1" x14ac:dyDescent="0.3">
      <c r="A970" s="5" t="str">
        <f>VLOOKUP(B970,base!A:M,11,FALSE)</f>
        <v>TRIFÁSICO</v>
      </c>
      <c r="B970" s="37" t="s">
        <v>181</v>
      </c>
      <c r="C970" s="56" t="s">
        <v>131</v>
      </c>
      <c r="D970" s="59">
        <v>62955505197360</v>
      </c>
      <c r="E970" s="37" t="s">
        <v>433</v>
      </c>
      <c r="F970" s="37" t="s">
        <v>434</v>
      </c>
      <c r="G970" s="52">
        <v>45870</v>
      </c>
      <c r="H970" s="52" t="str">
        <f>Faturamento!$B734&amp;Faturamento!$G734</f>
        <v>10/218777-145839</v>
      </c>
      <c r="I970" s="37" t="s">
        <v>435</v>
      </c>
      <c r="J970">
        <v>0</v>
      </c>
      <c r="M970" s="5" t="str">
        <f>IF(Faturamento!$S734&lt;&gt;"","Não emitido",IF(Faturamento!$I734="NÃO","Pendente Fatura", IF(Faturamento!$R734&lt;&gt;"","Aprovado",IF(Faturamento!$O734&lt;&gt;0,"Pendente Emissão","Processo de Calculo"))))</f>
        <v>Aprovado</v>
      </c>
      <c r="N970" s="53">
        <v>0</v>
      </c>
      <c r="O970" s="53">
        <v>0</v>
      </c>
      <c r="P970" s="52"/>
      <c r="Q970" s="52"/>
      <c r="R970" s="53"/>
      <c r="S970" s="37" t="s">
        <v>436</v>
      </c>
      <c r="T970" s="51" t="s">
        <v>1195</v>
      </c>
      <c r="U970" s="51" t="e">
        <v>#N/A</v>
      </c>
      <c r="V970" s="37" t="s">
        <v>438</v>
      </c>
      <c r="W970" s="53"/>
      <c r="X970" s="123">
        <f>IF(Faturamento!$V860="Pago",IFERROR(W970-R970,0),0)</f>
        <v>0</v>
      </c>
      <c r="Y970" s="52"/>
      <c r="Z970" s="52"/>
      <c r="AA970" s="5"/>
      <c r="AB970" s="5"/>
      <c r="AI970"/>
    </row>
    <row r="971" spans="1:35" hidden="1" x14ac:dyDescent="0.3">
      <c r="A971" s="5" t="str">
        <f>VLOOKUP(B971,base!A:M,11,FALSE)</f>
        <v>TRIFÁSICO</v>
      </c>
      <c r="B971" t="s">
        <v>156</v>
      </c>
      <c r="C971" s="1">
        <v>0</v>
      </c>
      <c r="D971" s="60">
        <v>62955505080098</v>
      </c>
      <c r="E971" s="63" t="s">
        <v>433</v>
      </c>
      <c r="F971" t="s">
        <v>434</v>
      </c>
      <c r="G971" s="4">
        <v>45870</v>
      </c>
      <c r="H971" s="4" t="str">
        <f>Faturamento!$B743&amp;Faturamento!$G743</f>
        <v>10/3054052-045778</v>
      </c>
      <c r="I971" t="s">
        <v>435</v>
      </c>
      <c r="J971">
        <v>0</v>
      </c>
      <c r="M971" s="5" t="str">
        <f>IF(Faturamento!$S743&lt;&gt;"","Não emitido",IF(Faturamento!$I743="NÃO","Pendente Fatura", IF(Faturamento!$R743&lt;&gt;"","Aprovado",IF(Faturamento!$O743&lt;&gt;0,"Pendente Emissão","Processo de Calculo"))))</f>
        <v>Aprovado</v>
      </c>
      <c r="N971" s="3">
        <v>0</v>
      </c>
      <c r="O971" s="3">
        <v>0</v>
      </c>
      <c r="P971" s="4"/>
      <c r="Q971" s="4"/>
      <c r="S971" t="s">
        <v>436</v>
      </c>
      <c r="T971" s="51" t="s">
        <v>1309</v>
      </c>
      <c r="U971" s="51" t="e">
        <v>#N/A</v>
      </c>
      <c r="V971" t="s">
        <v>438</v>
      </c>
      <c r="W971" s="3"/>
      <c r="X971" s="123">
        <f>IF(Faturamento!$V861="Pago",IFERROR(W971-R971,0),0)</f>
        <v>0</v>
      </c>
      <c r="Y971" s="4"/>
      <c r="Z971" s="4"/>
      <c r="AA971" s="5"/>
      <c r="AB971" s="5"/>
      <c r="AI971"/>
    </row>
    <row r="972" spans="1:35" hidden="1" x14ac:dyDescent="0.3">
      <c r="A972" s="5" t="str">
        <f>VLOOKUP(B972,base!A:M,11,FALSE)</f>
        <v>TRIFÁSICO</v>
      </c>
      <c r="B972" t="s">
        <v>206</v>
      </c>
      <c r="C972" s="1">
        <v>0</v>
      </c>
      <c r="D972" s="60">
        <v>62955505017213</v>
      </c>
      <c r="E972" s="63" t="s">
        <v>433</v>
      </c>
      <c r="F972" t="s">
        <v>434</v>
      </c>
      <c r="G972" s="4">
        <v>45870</v>
      </c>
      <c r="H972" s="4" t="str">
        <f>Faturamento!$B747&amp;Faturamento!$G747</f>
        <v>10/501586-245901</v>
      </c>
      <c r="I972" t="s">
        <v>435</v>
      </c>
      <c r="J972">
        <v>0</v>
      </c>
      <c r="M972" s="5" t="str">
        <f>IF(Faturamento!$S747&lt;&gt;"","Não emitido",IF(Faturamento!$I747="NÃO","Pendente Fatura", IF(Faturamento!$R747&lt;&gt;"","Aprovado",IF(Faturamento!$O747&lt;&gt;0,"Pendente Emissão","Processo de Calculo"))))</f>
        <v>Aprovado</v>
      </c>
      <c r="N972" s="3">
        <v>0</v>
      </c>
      <c r="O972" s="3">
        <v>0</v>
      </c>
      <c r="P972" s="4"/>
      <c r="Q972" s="4"/>
      <c r="S972" t="s">
        <v>436</v>
      </c>
      <c r="T972" s="51" t="s">
        <v>1303</v>
      </c>
      <c r="U972" s="51" t="e">
        <v>#N/A</v>
      </c>
      <c r="V972" t="s">
        <v>438</v>
      </c>
      <c r="W972" s="3"/>
      <c r="X972" s="123">
        <f>IF(Faturamento!$V862="Pago",IFERROR(W972-R972,0),0)</f>
        <v>0</v>
      </c>
      <c r="Y972" s="4"/>
      <c r="Z972" s="4"/>
      <c r="AA972" s="5"/>
      <c r="AB972" s="5"/>
      <c r="AI972"/>
    </row>
    <row r="973" spans="1:35" hidden="1" x14ac:dyDescent="0.3">
      <c r="A973" s="5" t="str">
        <f>VLOOKUP(B973,base!A:M,11,FALSE)</f>
        <v>TRIFÁSICO</v>
      </c>
      <c r="B973" t="s">
        <v>299</v>
      </c>
      <c r="C973" s="1" t="s">
        <v>126</v>
      </c>
      <c r="D973" s="60">
        <v>62955505189340</v>
      </c>
      <c r="E973" s="63" t="s">
        <v>433</v>
      </c>
      <c r="F973" t="s">
        <v>434</v>
      </c>
      <c r="G973" s="4">
        <v>45870</v>
      </c>
      <c r="H973" s="4" t="str">
        <f>Faturamento!$B789&amp;Faturamento!$G789</f>
        <v>10/156956-545627</v>
      </c>
      <c r="I973" t="s">
        <v>435</v>
      </c>
      <c r="J973">
        <v>0</v>
      </c>
      <c r="M973" s="5" t="str">
        <f>IF(Faturamento!$S789&lt;&gt;"","Não emitido",IF(Faturamento!$I789="NÃO","Pendente Fatura", IF(Faturamento!$R789&lt;&gt;"","Aprovado",IF(Faturamento!$O789&lt;&gt;0,"Pendente Emissão","Processo de Calculo"))))</f>
        <v>Não emitido</v>
      </c>
      <c r="N973" s="3">
        <v>0</v>
      </c>
      <c r="O973" s="3">
        <v>0</v>
      </c>
      <c r="P973" s="4"/>
      <c r="Q973" s="4"/>
      <c r="S973" t="s">
        <v>436</v>
      </c>
      <c r="T973" s="51" t="s">
        <v>1277</v>
      </c>
      <c r="U973" s="51" t="e">
        <v>#N/A</v>
      </c>
      <c r="V973" t="s">
        <v>438</v>
      </c>
      <c r="W973" s="3"/>
      <c r="X973" s="123">
        <f>IF(Faturamento!$V865="Pago",IFERROR(W973-R973,0),0)</f>
        <v>0</v>
      </c>
      <c r="Y973" s="4"/>
      <c r="Z973" s="4"/>
      <c r="AA973" s="5"/>
      <c r="AB973" s="5"/>
      <c r="AI973"/>
    </row>
    <row r="974" spans="1:35" hidden="1" x14ac:dyDescent="0.3">
      <c r="A974" s="5" t="str">
        <f>VLOOKUP(B974,base!A:M,11,FALSE)</f>
        <v>BIFÁSICO</v>
      </c>
      <c r="B974" s="37" t="s">
        <v>253</v>
      </c>
      <c r="C974" s="56" t="s">
        <v>126</v>
      </c>
      <c r="D974" s="59">
        <v>62955505016080</v>
      </c>
      <c r="E974" s="37" t="s">
        <v>433</v>
      </c>
      <c r="F974" s="37" t="s">
        <v>434</v>
      </c>
      <c r="G974" s="52">
        <v>45870</v>
      </c>
      <c r="H974" s="52" t="str">
        <f>Faturamento!$B794&amp;Faturamento!$G794</f>
        <v>10/1698130-045627</v>
      </c>
      <c r="I974" s="37" t="s">
        <v>435</v>
      </c>
      <c r="J974">
        <v>0</v>
      </c>
      <c r="M974" s="5" t="str">
        <f>IF(Faturamento!$S794&lt;&gt;"","Não emitido",IF(Faturamento!$I794="NÃO","Pendente Fatura", IF(Faturamento!$R794&lt;&gt;"","Aprovado",IF(Faturamento!$O794&lt;&gt;0,"Pendente Emissão","Processo de Calculo"))))</f>
        <v>Não emitido</v>
      </c>
      <c r="N974" s="53">
        <v>0</v>
      </c>
      <c r="O974" s="53">
        <v>0</v>
      </c>
      <c r="P974" s="52"/>
      <c r="Q974" s="52"/>
      <c r="R974" s="53"/>
      <c r="S974" s="37" t="s">
        <v>436</v>
      </c>
      <c r="T974" s="51" t="s">
        <v>1286</v>
      </c>
      <c r="U974" s="51" t="e">
        <v>#N/A</v>
      </c>
      <c r="V974" s="37" t="s">
        <v>438</v>
      </c>
      <c r="W974" s="53"/>
      <c r="X974" s="123">
        <f>IF(Faturamento!$V867="Pago",IFERROR(W974-R974,0),0)</f>
        <v>0</v>
      </c>
      <c r="Y974" s="52"/>
      <c r="Z974" s="52"/>
      <c r="AA974" s="5"/>
      <c r="AB974" s="5"/>
      <c r="AI974"/>
    </row>
    <row r="975" spans="1:35" hidden="1" x14ac:dyDescent="0.3">
      <c r="A975" s="5" t="e">
        <f>VLOOKUP(B975,base!A:M,11,FALSE)</f>
        <v>#N/A</v>
      </c>
      <c r="B975" t="s">
        <v>692</v>
      </c>
      <c r="C975" s="1" t="e">
        <v>#N/A</v>
      </c>
      <c r="D975" s="60" t="s">
        <v>1180</v>
      </c>
      <c r="E975" s="63" t="s">
        <v>433</v>
      </c>
      <c r="F975" t="s">
        <v>434</v>
      </c>
      <c r="G975" s="4">
        <v>45870</v>
      </c>
      <c r="H975" s="4" t="str">
        <f>Faturamento!$B797&amp;Faturamento!$G797</f>
        <v>10/1939035-045627</v>
      </c>
      <c r="I975" t="s">
        <v>435</v>
      </c>
      <c r="J975">
        <v>0</v>
      </c>
      <c r="M975" s="5" t="str">
        <f>IF(Faturamento!$S797&lt;&gt;"","Não emitido",IF(Faturamento!$I797="NÃO","Pendente Fatura", IF(Faturamento!$R797&lt;&gt;"","Aprovado",IF(Faturamento!$O797&lt;&gt;0,"Pendente Emissão","Processo de Calculo"))))</f>
        <v>Não emitido</v>
      </c>
      <c r="N975" s="3">
        <v>0</v>
      </c>
      <c r="O975" s="3">
        <v>0</v>
      </c>
      <c r="P975" s="4"/>
      <c r="Q975" s="4"/>
      <c r="S975" t="s">
        <v>436</v>
      </c>
      <c r="T975" s="51" t="s">
        <v>1182</v>
      </c>
      <c r="U975" s="51" t="e">
        <v>#N/A</v>
      </c>
      <c r="V975" t="s">
        <v>438</v>
      </c>
      <c r="W975" s="3"/>
      <c r="X975" s="123">
        <f>IF(Faturamento!$V869="Pago",IFERROR(W975-R975,0),0)</f>
        <v>0</v>
      </c>
      <c r="Y975" s="4"/>
      <c r="Z975" s="4"/>
      <c r="AA975" s="5"/>
      <c r="AB975" s="5"/>
      <c r="AI975"/>
    </row>
    <row r="976" spans="1:35" hidden="1" x14ac:dyDescent="0.3">
      <c r="A976" s="5" t="str">
        <f>VLOOKUP(B976,base!A:M,11,FALSE)</f>
        <v>TRIFÁSICO</v>
      </c>
      <c r="B976" t="s">
        <v>292</v>
      </c>
      <c r="C976" s="1">
        <v>0</v>
      </c>
      <c r="D976" s="60">
        <v>62955505887382</v>
      </c>
      <c r="E976" s="63" t="s">
        <v>433</v>
      </c>
      <c r="F976" t="s">
        <v>434</v>
      </c>
      <c r="G976" s="4">
        <v>45870</v>
      </c>
      <c r="H976" s="4" t="str">
        <f>Faturamento!$B799&amp;Faturamento!$G799</f>
        <v>10/218777-145627</v>
      </c>
      <c r="I976" t="s">
        <v>435</v>
      </c>
      <c r="J976">
        <v>0</v>
      </c>
      <c r="M976" s="5" t="str">
        <f>IF(Faturamento!$S799&lt;&gt;"","Não emitido",IF(Faturamento!$I799="NÃO","Pendente Fatura", IF(Faturamento!$R799&lt;&gt;"","Aprovado",IF(Faturamento!$O799&lt;&gt;0,"Pendente Emissão","Processo de Calculo"))))</f>
        <v>Não emitido</v>
      </c>
      <c r="N976" s="3">
        <v>0</v>
      </c>
      <c r="O976" s="3">
        <v>0</v>
      </c>
      <c r="P976" s="4"/>
      <c r="Q976" s="4"/>
      <c r="S976" t="s">
        <v>436</v>
      </c>
      <c r="T976" s="51" t="s">
        <v>1291</v>
      </c>
      <c r="U976" s="51" t="e">
        <v>#N/A</v>
      </c>
      <c r="V976" t="s">
        <v>438</v>
      </c>
      <c r="W976" s="3"/>
      <c r="X976" s="123">
        <f>IF(Faturamento!$V870="Pago",IFERROR(W976-R976,0),0)</f>
        <v>0</v>
      </c>
      <c r="Y976" s="4"/>
      <c r="Z976" s="4"/>
      <c r="AA976" s="5"/>
      <c r="AB976" s="5"/>
      <c r="AI976"/>
    </row>
    <row r="977" spans="1:35" hidden="1" x14ac:dyDescent="0.3">
      <c r="A977" s="5" t="str">
        <f>VLOOKUP(B977,base!A:M,11,FALSE)</f>
        <v>TRIFÁSICO</v>
      </c>
      <c r="B977" t="s">
        <v>242</v>
      </c>
      <c r="C977" s="1">
        <v>0</v>
      </c>
      <c r="D977" s="60">
        <v>62955505312487</v>
      </c>
      <c r="E977" s="63" t="s">
        <v>433</v>
      </c>
      <c r="F977" t="s">
        <v>434</v>
      </c>
      <c r="G977" s="4">
        <v>45870</v>
      </c>
      <c r="H977" s="4" t="str">
        <f>Faturamento!$B801&amp;Faturamento!$G801</f>
        <v>10/237441-145627</v>
      </c>
      <c r="I977" t="s">
        <v>435</v>
      </c>
      <c r="J977">
        <v>0</v>
      </c>
      <c r="M977" s="5" t="str">
        <f>IF(Faturamento!$S801&lt;&gt;"","Não emitido",IF(Faturamento!$I801="NÃO","Pendente Fatura", IF(Faturamento!$R801&lt;&gt;"","Aprovado",IF(Faturamento!$O801&lt;&gt;0,"Pendente Emissão","Processo de Calculo"))))</f>
        <v>Não emitido</v>
      </c>
      <c r="N977" s="3">
        <v>0</v>
      </c>
      <c r="O977" s="3">
        <v>0</v>
      </c>
      <c r="P977" s="4"/>
      <c r="Q977" s="4"/>
      <c r="S977" t="s">
        <v>436</v>
      </c>
      <c r="T977" s="51" t="s">
        <v>1324</v>
      </c>
      <c r="U977" s="51" t="e">
        <v>#N/A</v>
      </c>
      <c r="V977" t="s">
        <v>438</v>
      </c>
      <c r="W977" s="3"/>
      <c r="X977" s="123">
        <f>IF(Faturamento!$V871="Pago",IFERROR(W977-R977,0),0)</f>
        <v>0</v>
      </c>
      <c r="Y977" s="4"/>
      <c r="Z977" s="4"/>
      <c r="AA977" s="5"/>
      <c r="AB977" s="5"/>
      <c r="AI977"/>
    </row>
    <row r="978" spans="1:35" hidden="1" x14ac:dyDescent="0.3">
      <c r="A978" s="5" t="str">
        <f>VLOOKUP(B978,base!A:M,11,FALSE)</f>
        <v>TRIFÁSICO</v>
      </c>
      <c r="B978" s="37" t="s">
        <v>343</v>
      </c>
      <c r="C978" s="56">
        <v>0</v>
      </c>
      <c r="D978" s="59">
        <v>62955505358630</v>
      </c>
      <c r="E978" s="37" t="s">
        <v>433</v>
      </c>
      <c r="F978" s="37" t="s">
        <v>434</v>
      </c>
      <c r="G978" s="52">
        <v>45870</v>
      </c>
      <c r="H978" s="52" t="str">
        <f>Faturamento!$B802&amp;Faturamento!$G802</f>
        <v>10/257864-945627</v>
      </c>
      <c r="I978" s="37" t="s">
        <v>435</v>
      </c>
      <c r="J978">
        <v>0</v>
      </c>
      <c r="M978" s="5" t="str">
        <f>IF(Faturamento!$S802&lt;&gt;"","Não emitido",IF(Faturamento!$I802="NÃO","Pendente Fatura", IF(Faturamento!$R802&lt;&gt;"","Aprovado",IF(Faturamento!$O802&lt;&gt;0,"Pendente Emissão","Processo de Calculo"))))</f>
        <v>Não emitido</v>
      </c>
      <c r="N978" s="53">
        <v>0</v>
      </c>
      <c r="O978" s="53">
        <v>0</v>
      </c>
      <c r="P978" s="52"/>
      <c r="Q978" s="52"/>
      <c r="R978" s="53"/>
      <c r="S978" s="37" t="s">
        <v>436</v>
      </c>
      <c r="T978" s="51" t="s">
        <v>1290</v>
      </c>
      <c r="U978" s="51" t="e">
        <v>#N/A</v>
      </c>
      <c r="V978" s="37" t="s">
        <v>438</v>
      </c>
      <c r="W978" s="53"/>
      <c r="X978" s="123">
        <f>IF(Faturamento!$V872="Pago",IFERROR(W978-R978,0),0)</f>
        <v>0</v>
      </c>
      <c r="Y978" s="52"/>
      <c r="Z978" s="52"/>
      <c r="AA978" s="5"/>
      <c r="AB978" s="5"/>
      <c r="AI978"/>
    </row>
    <row r="979" spans="1:35" hidden="1" x14ac:dyDescent="0.3">
      <c r="A979" s="5" t="str">
        <f>VLOOKUP(B979,base!A:M,11,FALSE)</f>
        <v>BIFÁSICO</v>
      </c>
      <c r="B979" s="37" t="s">
        <v>276</v>
      </c>
      <c r="C979" s="56">
        <v>0</v>
      </c>
      <c r="D979" s="59">
        <v>62955505000167</v>
      </c>
      <c r="E979" s="37" t="s">
        <v>433</v>
      </c>
      <c r="F979" s="37" t="s">
        <v>434</v>
      </c>
      <c r="G979" s="52">
        <v>45901</v>
      </c>
      <c r="H979" s="52" t="str">
        <f>Faturamento!$B826&amp;Faturamento!$G826</f>
        <v>10/3005226-045658</v>
      </c>
      <c r="I979" s="37" t="s">
        <v>435</v>
      </c>
      <c r="J979">
        <v>59</v>
      </c>
      <c r="M979" s="5" t="s">
        <v>1536</v>
      </c>
      <c r="N979" s="53">
        <v>-27.363600000000005</v>
      </c>
      <c r="O979" s="53">
        <v>0</v>
      </c>
      <c r="P979" s="52"/>
      <c r="Q979" s="52"/>
      <c r="R979" s="53"/>
      <c r="S979" s="37" t="s">
        <v>1537</v>
      </c>
      <c r="T979" s="51" t="s">
        <v>1538</v>
      </c>
      <c r="U979" s="51"/>
      <c r="V979" s="37" t="s">
        <v>438</v>
      </c>
      <c r="W979" s="53"/>
      <c r="X979" s="123">
        <f>IF(Faturamento!$V875="Pago",IFERROR(W979-R979,0),0)</f>
        <v>0</v>
      </c>
      <c r="Y979" s="52"/>
      <c r="Z979" s="52"/>
      <c r="AA979" s="5"/>
      <c r="AB979" s="5"/>
      <c r="AI979"/>
    </row>
    <row r="980" spans="1:35" hidden="1" x14ac:dyDescent="0.3">
      <c r="A980" s="5" t="str">
        <f>VLOOKUP(B980,base!A:M,11,FALSE)</f>
        <v>TRIFÁSICO</v>
      </c>
      <c r="B980" t="s">
        <v>143</v>
      </c>
      <c r="C980" s="1">
        <v>0</v>
      </c>
      <c r="D980" s="60">
        <v>62955505149047</v>
      </c>
      <c r="E980" s="63" t="s">
        <v>433</v>
      </c>
      <c r="F980" t="s">
        <v>434</v>
      </c>
      <c r="G980" s="4">
        <v>45901</v>
      </c>
      <c r="H980" s="4" t="str">
        <f>Faturamento!$B829&amp;Faturamento!$G829</f>
        <v>10/150263-245658</v>
      </c>
      <c r="I980" t="s">
        <v>435</v>
      </c>
      <c r="J980">
        <v>73</v>
      </c>
      <c r="M980" s="5" t="s">
        <v>1536</v>
      </c>
      <c r="N980" s="3">
        <v>-58.626499999999993</v>
      </c>
      <c r="O980" s="3">
        <v>0</v>
      </c>
      <c r="P980" s="4"/>
      <c r="Q980" s="4"/>
      <c r="S980" t="s">
        <v>1537</v>
      </c>
      <c r="T980" s="51" t="s">
        <v>1543</v>
      </c>
      <c r="U980" s="51"/>
      <c r="V980" s="37" t="s">
        <v>438</v>
      </c>
      <c r="W980" s="3"/>
      <c r="X980" s="123">
        <f>IF(Faturamento!$V877="Pago",IFERROR(W980-R980,0),0)</f>
        <v>0</v>
      </c>
      <c r="Y980" s="4"/>
      <c r="Z980" s="4"/>
      <c r="AA980" s="5"/>
      <c r="AB980" s="5"/>
      <c r="AI980"/>
    </row>
    <row r="981" spans="1:35" hidden="1" x14ac:dyDescent="0.3">
      <c r="A981" s="5" t="str">
        <f>VLOOKUP(B981,base!A:M,11,FALSE)</f>
        <v>BIFÁSICO</v>
      </c>
      <c r="B981" t="s">
        <v>192</v>
      </c>
      <c r="C981" s="1">
        <v>0</v>
      </c>
      <c r="D981" s="60">
        <v>62955505134449</v>
      </c>
      <c r="E981" s="63" t="s">
        <v>433</v>
      </c>
      <c r="F981" t="s">
        <v>434</v>
      </c>
      <c r="G981" s="4">
        <v>45901</v>
      </c>
      <c r="H981" s="4" t="str">
        <f>Faturamento!$B889&amp;Faturamento!$G889</f>
        <v>10/480529-745717</v>
      </c>
      <c r="I981" t="s">
        <v>435</v>
      </c>
      <c r="J981">
        <v>37</v>
      </c>
      <c r="M981" s="5" t="s">
        <v>1536</v>
      </c>
      <c r="N981" s="3">
        <v>-68.366918181818193</v>
      </c>
      <c r="O981" s="3">
        <v>0</v>
      </c>
      <c r="P981" s="4"/>
      <c r="Q981" s="4"/>
      <c r="S981" t="s">
        <v>1537</v>
      </c>
      <c r="T981" s="51" t="s">
        <v>1651</v>
      </c>
      <c r="U981" s="51"/>
      <c r="V981" s="37" t="s">
        <v>438</v>
      </c>
      <c r="W981" s="3"/>
      <c r="X981" s="123">
        <f>IF(Faturamento!$V891="Pago",IFERROR(W981-R981,0),0)</f>
        <v>0</v>
      </c>
      <c r="Y981" s="4"/>
      <c r="Z981" s="4"/>
      <c r="AA981" s="5"/>
      <c r="AB981" s="5"/>
      <c r="AI981"/>
    </row>
    <row r="982" spans="1:35" hidden="1" x14ac:dyDescent="0.3">
      <c r="A982" s="5" t="str">
        <f>VLOOKUP(B982,base!A:M,11,FALSE)</f>
        <v>TRIFÁSICO</v>
      </c>
      <c r="B982" t="s">
        <v>242</v>
      </c>
      <c r="C982" s="56">
        <v>67996266684</v>
      </c>
      <c r="D982">
        <v>62955505312487</v>
      </c>
      <c r="E982" s="37" t="s">
        <v>433</v>
      </c>
      <c r="F982" t="s">
        <v>108</v>
      </c>
      <c r="G982" s="4">
        <v>45932</v>
      </c>
      <c r="H982" s="52" t="str">
        <f>Faturamento!$B980&amp;Faturamento!$G980</f>
        <v>10/1184751-445901</v>
      </c>
      <c r="I982" s="37" t="s">
        <v>435</v>
      </c>
      <c r="J982">
        <v>0</v>
      </c>
      <c r="M982" s="5" t="s">
        <v>1536</v>
      </c>
      <c r="N982" s="53">
        <v>-1E-10</v>
      </c>
      <c r="O982" s="53">
        <v>0</v>
      </c>
      <c r="P982" s="53" t="s">
        <v>1684</v>
      </c>
      <c r="Q982" s="53" t="s">
        <v>1684</v>
      </c>
      <c r="R982" s="53" t="s">
        <v>1684</v>
      </c>
      <c r="S982" s="37" t="s">
        <v>1685</v>
      </c>
      <c r="T982" s="3" t="str">
        <f t="shared" ref="T982:T990" si="0">D982&amp;R982</f>
        <v>62955505312487-</v>
      </c>
      <c r="U982" s="3" t="e">
        <v>#N/A</v>
      </c>
      <c r="V982" s="37" t="s">
        <v>438</v>
      </c>
      <c r="X982" s="124">
        <f>IF(Faturamento!$V982="Pago",IFERROR(W982-R982,0),0)</f>
        <v>0</v>
      </c>
    </row>
    <row r="983" spans="1:35" hidden="1" x14ac:dyDescent="0.3">
      <c r="A983" s="5" t="str">
        <f>VLOOKUP(B983,base!A:M,11,FALSE)</f>
        <v>TRIFÁSICO</v>
      </c>
      <c r="B983" t="s">
        <v>292</v>
      </c>
      <c r="C983" s="56">
        <v>67996446178</v>
      </c>
      <c r="D983">
        <v>62955505887382</v>
      </c>
      <c r="E983" s="37" t="s">
        <v>433</v>
      </c>
      <c r="F983" t="s">
        <v>108</v>
      </c>
      <c r="G983" s="4">
        <v>45933</v>
      </c>
      <c r="H983" s="52" t="str">
        <f>Faturamento!$B981&amp;Faturamento!$G981</f>
        <v>10/175073-645901</v>
      </c>
      <c r="I983" s="37" t="s">
        <v>435</v>
      </c>
      <c r="J983">
        <v>0</v>
      </c>
      <c r="M983" s="5" t="s">
        <v>1536</v>
      </c>
      <c r="N983" s="53">
        <v>-1E-10</v>
      </c>
      <c r="O983" s="53">
        <v>0</v>
      </c>
      <c r="P983" s="53" t="s">
        <v>1684</v>
      </c>
      <c r="Q983" s="53" t="s">
        <v>1684</v>
      </c>
      <c r="R983" s="53" t="s">
        <v>1684</v>
      </c>
      <c r="S983" s="37" t="s">
        <v>1685</v>
      </c>
      <c r="T983" s="3" t="str">
        <f t="shared" si="0"/>
        <v>62955505887382-</v>
      </c>
      <c r="U983" s="3" t="e">
        <v>#N/A</v>
      </c>
      <c r="V983" s="37" t="s">
        <v>438</v>
      </c>
      <c r="X983" s="124">
        <f>IF(Faturamento!$V983="Pago",IFERROR(W983-R983,0),0)</f>
        <v>0</v>
      </c>
    </row>
    <row r="984" spans="1:35" hidden="1" x14ac:dyDescent="0.3">
      <c r="A984" s="5" t="str">
        <f>VLOOKUP(B984,base!A:M,11,FALSE)</f>
        <v>TRIFÁSICO</v>
      </c>
      <c r="B984" t="s">
        <v>338</v>
      </c>
      <c r="C984" s="56" t="s">
        <v>341</v>
      </c>
      <c r="D984">
        <v>62955505122432</v>
      </c>
      <c r="E984" s="37" t="s">
        <v>433</v>
      </c>
      <c r="F984" t="s">
        <v>108</v>
      </c>
      <c r="G984" s="4">
        <v>45934</v>
      </c>
      <c r="H984" s="52" t="str">
        <f>Faturamento!$B982&amp;Faturamento!$G982</f>
        <v>10/3054052-045932</v>
      </c>
      <c r="I984" s="37" t="s">
        <v>435</v>
      </c>
      <c r="J984">
        <v>0</v>
      </c>
      <c r="M984" s="5" t="s">
        <v>1536</v>
      </c>
      <c r="N984" s="53">
        <v>0</v>
      </c>
      <c r="O984" s="53">
        <v>0</v>
      </c>
      <c r="P984" s="53" t="s">
        <v>1684</v>
      </c>
      <c r="Q984" s="53" t="s">
        <v>1684</v>
      </c>
      <c r="R984" s="53" t="s">
        <v>1684</v>
      </c>
      <c r="S984" s="37" t="s">
        <v>1685</v>
      </c>
      <c r="T984" s="3" t="str">
        <f t="shared" si="0"/>
        <v>62955505122432-</v>
      </c>
      <c r="U984" s="3" t="e">
        <v>#N/A</v>
      </c>
      <c r="V984" s="37" t="s">
        <v>438</v>
      </c>
      <c r="X984" s="124">
        <f>IF(Faturamento!$V984="Pago",IFERROR(W984-R984,0),0)</f>
        <v>0</v>
      </c>
    </row>
    <row r="985" spans="1:35" hidden="1" x14ac:dyDescent="0.3">
      <c r="A985" s="5" t="e">
        <f>VLOOKUP(B985,base!A:M,11,FALSE)</f>
        <v>#N/A</v>
      </c>
      <c r="B985" t="s">
        <v>645</v>
      </c>
      <c r="C985" s="56" t="e">
        <v>#N/A</v>
      </c>
      <c r="D985" t="s">
        <v>1180</v>
      </c>
      <c r="E985" s="37" t="s">
        <v>433</v>
      </c>
      <c r="F985" t="s">
        <v>108</v>
      </c>
      <c r="G985" s="4">
        <v>45935</v>
      </c>
      <c r="H985" s="52" t="str">
        <f>Faturamento!$B983&amp;Faturamento!$G983</f>
        <v>10/505854-045933</v>
      </c>
      <c r="I985" s="37" t="s">
        <v>435</v>
      </c>
      <c r="J985">
        <v>0</v>
      </c>
      <c r="M985" s="5" t="s">
        <v>1536</v>
      </c>
      <c r="N985" s="53">
        <v>0</v>
      </c>
      <c r="O985" s="53">
        <v>0</v>
      </c>
      <c r="P985" s="53" t="s">
        <v>1684</v>
      </c>
      <c r="Q985" s="53" t="s">
        <v>1684</v>
      </c>
      <c r="R985" s="53" t="s">
        <v>1684</v>
      </c>
      <c r="S985" s="37" t="s">
        <v>1685</v>
      </c>
      <c r="T985" s="3" t="str">
        <f t="shared" si="0"/>
        <v>#ND-</v>
      </c>
      <c r="U985" s="3" t="e">
        <v>#N/A</v>
      </c>
      <c r="V985" s="37" t="s">
        <v>438</v>
      </c>
      <c r="X985" s="124">
        <f>IF(Faturamento!$V985="Pago",IFERROR(W985-R985,0),0)</f>
        <v>0</v>
      </c>
    </row>
    <row r="986" spans="1:35" hidden="1" x14ac:dyDescent="0.3">
      <c r="A986" s="5" t="str">
        <f>VLOOKUP(B986,base!A:M,11,FALSE)</f>
        <v>BIFÁSICO</v>
      </c>
      <c r="B986" t="s">
        <v>268</v>
      </c>
      <c r="C986" s="56">
        <v>67996859014</v>
      </c>
      <c r="D986">
        <v>62955505177504</v>
      </c>
      <c r="E986" s="37" t="s">
        <v>433</v>
      </c>
      <c r="F986" t="s">
        <v>108</v>
      </c>
      <c r="G986" s="4">
        <v>45936</v>
      </c>
      <c r="H986" s="52" t="str">
        <f>Faturamento!$B984&amp;Faturamento!$G984</f>
        <v>10/8777-545934</v>
      </c>
      <c r="I986" s="37" t="s">
        <v>435</v>
      </c>
      <c r="J986">
        <v>0</v>
      </c>
      <c r="M986" s="5" t="s">
        <v>1536</v>
      </c>
      <c r="N986" s="53">
        <v>0</v>
      </c>
      <c r="O986" s="53">
        <v>0</v>
      </c>
      <c r="P986" s="53" t="s">
        <v>1684</v>
      </c>
      <c r="Q986" s="53" t="s">
        <v>1684</v>
      </c>
      <c r="R986" s="53" t="s">
        <v>1684</v>
      </c>
      <c r="S986" s="37" t="s">
        <v>1685</v>
      </c>
      <c r="T986" s="3" t="str">
        <f t="shared" si="0"/>
        <v>62955505177504-</v>
      </c>
      <c r="U986" s="3" t="e">
        <v>#N/A</v>
      </c>
      <c r="V986" s="37" t="s">
        <v>438</v>
      </c>
      <c r="X986" s="124">
        <f>IF(Faturamento!$V986="Pago",IFERROR(W986-R986,0),0)</f>
        <v>0</v>
      </c>
    </row>
    <row r="987" spans="1:35" hidden="1" x14ac:dyDescent="0.3">
      <c r="A987" s="5" t="e">
        <f>VLOOKUP(B987,base!A:M,11,FALSE)</f>
        <v>#N/A</v>
      </c>
      <c r="B987" t="s">
        <v>698</v>
      </c>
      <c r="C987" s="56" t="e">
        <v>#N/A</v>
      </c>
      <c r="D987" t="s">
        <v>1180</v>
      </c>
      <c r="E987" s="37" t="s">
        <v>433</v>
      </c>
      <c r="F987" t="s">
        <v>108</v>
      </c>
      <c r="G987" s="4">
        <v>45937</v>
      </c>
      <c r="H987" s="52" t="str">
        <f>Faturamento!$B985&amp;Faturamento!$G985</f>
        <v>10/10731-845935</v>
      </c>
      <c r="I987" s="37" t="s">
        <v>435</v>
      </c>
      <c r="J987">
        <v>0</v>
      </c>
      <c r="M987" s="5" t="s">
        <v>1536</v>
      </c>
      <c r="N987" s="53">
        <v>0</v>
      </c>
      <c r="O987" s="53">
        <v>0</v>
      </c>
      <c r="P987" s="53" t="s">
        <v>1684</v>
      </c>
      <c r="Q987" s="53" t="s">
        <v>1684</v>
      </c>
      <c r="R987" s="53" t="s">
        <v>1684</v>
      </c>
      <c r="S987" s="37" t="s">
        <v>1685</v>
      </c>
      <c r="T987" s="3" t="str">
        <f t="shared" si="0"/>
        <v>#ND-</v>
      </c>
      <c r="U987" s="3" t="e">
        <v>#N/A</v>
      </c>
      <c r="V987" s="37" t="s">
        <v>438</v>
      </c>
      <c r="X987" s="124">
        <f>IF(Faturamento!$V987="Pago",IFERROR(W987-R987,0),0)</f>
        <v>0</v>
      </c>
    </row>
    <row r="988" spans="1:35" hidden="1" x14ac:dyDescent="0.3">
      <c r="A988" s="5" t="str">
        <f>VLOOKUP(B988,base!A:M,11,FALSE)</f>
        <v>TRIFÁSICO</v>
      </c>
      <c r="B988" t="s">
        <v>299</v>
      </c>
      <c r="C988" s="56" t="s">
        <v>175</v>
      </c>
      <c r="D988">
        <v>62955505189340</v>
      </c>
      <c r="E988" s="37" t="s">
        <v>433</v>
      </c>
      <c r="F988" t="s">
        <v>108</v>
      </c>
      <c r="G988" s="4">
        <v>45938</v>
      </c>
      <c r="H988" s="52" t="str">
        <f>Faturamento!$B986&amp;Faturamento!$G986</f>
        <v>10/40190-145936</v>
      </c>
      <c r="I988" s="37" t="s">
        <v>435</v>
      </c>
      <c r="J988">
        <v>0</v>
      </c>
      <c r="M988" s="5" t="s">
        <v>1536</v>
      </c>
      <c r="N988" s="53">
        <v>-1E-10</v>
      </c>
      <c r="O988" s="53">
        <v>0</v>
      </c>
      <c r="P988" s="53" t="s">
        <v>1684</v>
      </c>
      <c r="Q988" s="53" t="s">
        <v>1684</v>
      </c>
      <c r="R988" s="53" t="s">
        <v>1684</v>
      </c>
      <c r="S988" s="37" t="s">
        <v>1685</v>
      </c>
      <c r="T988" s="3" t="str">
        <f t="shared" si="0"/>
        <v>62955505189340-</v>
      </c>
      <c r="U988" s="3" t="e">
        <v>#N/A</v>
      </c>
      <c r="V988" s="37" t="s">
        <v>438</v>
      </c>
      <c r="X988" s="124">
        <f>IF(Faturamento!$V988="Pago",IFERROR(W988-R988,0),0)</f>
        <v>0</v>
      </c>
    </row>
    <row r="989" spans="1:35" hidden="1" x14ac:dyDescent="0.3">
      <c r="A989" s="5" t="e">
        <f>VLOOKUP(B989,base!A:M,11,FALSE)</f>
        <v>#N/A</v>
      </c>
      <c r="B989" t="s">
        <v>696</v>
      </c>
      <c r="C989" s="56" t="e">
        <v>#N/A</v>
      </c>
      <c r="D989" t="s">
        <v>1180</v>
      </c>
      <c r="E989" s="37" t="s">
        <v>433</v>
      </c>
      <c r="F989" t="s">
        <v>108</v>
      </c>
      <c r="G989" s="4">
        <v>45939</v>
      </c>
      <c r="H989" s="52" t="str">
        <f>Faturamento!$B987&amp;Faturamento!$G987</f>
        <v>10/2338577-645937</v>
      </c>
      <c r="I989" s="37" t="s">
        <v>435</v>
      </c>
      <c r="J989">
        <v>0</v>
      </c>
      <c r="M989" s="5" t="s">
        <v>1536</v>
      </c>
      <c r="N989" s="53">
        <v>0</v>
      </c>
      <c r="O989" s="53">
        <v>0</v>
      </c>
      <c r="P989" s="53" t="s">
        <v>1684</v>
      </c>
      <c r="Q989" s="53" t="s">
        <v>1684</v>
      </c>
      <c r="R989" s="53" t="s">
        <v>1684</v>
      </c>
      <c r="S989" s="37" t="s">
        <v>1685</v>
      </c>
      <c r="T989" s="3" t="str">
        <f t="shared" si="0"/>
        <v>#ND-</v>
      </c>
      <c r="U989" s="3" t="e">
        <v>#N/A</v>
      </c>
      <c r="V989" s="37" t="s">
        <v>438</v>
      </c>
      <c r="X989" s="124">
        <f>IF(Faturamento!$V989="Pago",IFERROR(W989-R989,0),0)</f>
        <v>0</v>
      </c>
    </row>
    <row r="990" spans="1:35" hidden="1" x14ac:dyDescent="0.3">
      <c r="A990" s="5" t="str">
        <f>VLOOKUP(B990,base!A:M,11,FALSE)</f>
        <v>BIFÁSICO</v>
      </c>
      <c r="B990" t="s">
        <v>253</v>
      </c>
      <c r="C990" s="56">
        <v>67996266684</v>
      </c>
      <c r="D990">
        <v>62955505016080</v>
      </c>
      <c r="E990" s="37" t="s">
        <v>433</v>
      </c>
      <c r="F990" t="s">
        <v>108</v>
      </c>
      <c r="G990" s="4">
        <v>45940</v>
      </c>
      <c r="H990" s="52" t="str">
        <f>Faturamento!$B988&amp;Faturamento!$G988</f>
        <v>10/512142-145938</v>
      </c>
      <c r="I990" s="37" t="s">
        <v>435</v>
      </c>
      <c r="J990">
        <v>0</v>
      </c>
      <c r="M990" s="5" t="s">
        <v>1536</v>
      </c>
      <c r="N990" s="53">
        <v>-1E-10</v>
      </c>
      <c r="O990" s="53">
        <v>0</v>
      </c>
      <c r="P990" s="53" t="s">
        <v>1684</v>
      </c>
      <c r="Q990" s="53" t="s">
        <v>1684</v>
      </c>
      <c r="R990" s="53" t="s">
        <v>1684</v>
      </c>
      <c r="S990" s="37" t="s">
        <v>1685</v>
      </c>
      <c r="T990" s="3" t="str">
        <f t="shared" si="0"/>
        <v>62955505016080-</v>
      </c>
      <c r="U990" s="3" t="e">
        <v>#N/A</v>
      </c>
      <c r="V990" s="37" t="s">
        <v>438</v>
      </c>
      <c r="X990" s="124">
        <f>IF(Faturamento!$V990="Pago",IFERROR(W990-R990,0),0)</f>
        <v>0</v>
      </c>
    </row>
    <row r="991" spans="1:35" hidden="1" x14ac:dyDescent="0.3">
      <c r="A991" t="str">
        <f>VLOOKUP(B991,base!A:K,11,0)</f>
        <v>TRIFÁSICO</v>
      </c>
      <c r="B991" s="32" t="s">
        <v>259</v>
      </c>
      <c r="C991" s="1">
        <f>VLOOKUP(B991,base!A:J,10,0)</f>
        <v>67991120875</v>
      </c>
      <c r="D991" t="str">
        <f>VLOOKUP(B991,base!A:C,3,0)</f>
        <v>62.955.505/0151-99</v>
      </c>
      <c r="E991" s="37" t="s">
        <v>433</v>
      </c>
      <c r="F991" t="s">
        <v>108</v>
      </c>
      <c r="G991" s="4">
        <v>45962</v>
      </c>
      <c r="I991" s="37" t="s">
        <v>435</v>
      </c>
      <c r="J991">
        <v>2564</v>
      </c>
      <c r="K991" s="3">
        <v>3230.6968000000002</v>
      </c>
      <c r="L991" s="3">
        <v>2577.7171720000006</v>
      </c>
      <c r="M991" t="s">
        <v>1489</v>
      </c>
      <c r="N991" s="3">
        <v>3109.4267999999997</v>
      </c>
      <c r="O991" s="3">
        <v>2456.4499999999998</v>
      </c>
      <c r="P991" s="4">
        <v>45996</v>
      </c>
      <c r="Q991" s="175">
        <v>46006</v>
      </c>
      <c r="R991" s="3">
        <v>2456.4499999999998</v>
      </c>
      <c r="V991" s="3" t="s">
        <v>568</v>
      </c>
      <c r="W991" s="13">
        <v>2456.4499999999998</v>
      </c>
      <c r="Y991" s="175">
        <v>46006</v>
      </c>
    </row>
    <row r="992" spans="1:35" hidden="1" x14ac:dyDescent="0.3">
      <c r="A992" t="str">
        <f>VLOOKUP(B992,base!A:K,11,0)</f>
        <v>TRIFÁSICO</v>
      </c>
      <c r="B992" s="32" t="s">
        <v>305</v>
      </c>
      <c r="C992" s="1" t="str">
        <f>VLOOKUP(B992,base!A:J,10,0)</f>
        <v>67 996469842</v>
      </c>
      <c r="D992" t="str">
        <f>VLOOKUP(B992,base!A:C,3,0)</f>
        <v>62.955.505/0161-60</v>
      </c>
      <c r="E992" s="37" t="s">
        <v>433</v>
      </c>
      <c r="F992" t="s">
        <v>108</v>
      </c>
      <c r="G992" s="4">
        <v>45962</v>
      </c>
      <c r="I992" s="37" t="s">
        <v>435</v>
      </c>
      <c r="J992">
        <v>2085</v>
      </c>
      <c r="K992" s="3">
        <v>2909.4491581353736</v>
      </c>
      <c r="L992" s="3">
        <v>2378.4832349269454</v>
      </c>
      <c r="M992" t="s">
        <v>1489</v>
      </c>
      <c r="N992" s="3">
        <v>2528.4091581353741</v>
      </c>
      <c r="O992" s="3">
        <v>1997.44</v>
      </c>
      <c r="P992" s="4">
        <v>45996</v>
      </c>
      <c r="Q992" s="175">
        <v>46006</v>
      </c>
      <c r="R992" s="3">
        <v>1997.44</v>
      </c>
      <c r="V992" s="3" t="s">
        <v>568</v>
      </c>
      <c r="W992" s="13">
        <v>1997.44</v>
      </c>
      <c r="Y992" s="175">
        <v>46006</v>
      </c>
    </row>
    <row r="993" spans="1:25" hidden="1" x14ac:dyDescent="0.3">
      <c r="A993" t="str">
        <f>VLOOKUP(B993,base!A:K,11,0)</f>
        <v>TRIFÁSICO</v>
      </c>
      <c r="B993" s="32" t="s">
        <v>189</v>
      </c>
      <c r="C993" s="1">
        <f>VLOOKUP(B993,base!A:J,10,0)</f>
        <v>67991767866</v>
      </c>
      <c r="D993" t="str">
        <f>VLOOKUP(B993,base!A:C,3,0)</f>
        <v>62.955.505/4612-10</v>
      </c>
      <c r="E993" s="37" t="s">
        <v>433</v>
      </c>
      <c r="F993" t="s">
        <v>108</v>
      </c>
      <c r="G993" s="4">
        <v>45962</v>
      </c>
      <c r="I993" s="37" t="s">
        <v>435</v>
      </c>
      <c r="J993">
        <v>753</v>
      </c>
      <c r="K993" s="3">
        <v>1160.7311</v>
      </c>
      <c r="L993" s="3">
        <v>968.96516899999995</v>
      </c>
      <c r="M993" t="s">
        <v>1489</v>
      </c>
      <c r="N993" s="3">
        <v>960.6810999999999</v>
      </c>
      <c r="O993" s="3">
        <v>845.34</v>
      </c>
      <c r="P993" s="4">
        <v>45999</v>
      </c>
      <c r="Q993" s="175">
        <v>46009</v>
      </c>
      <c r="R993" s="3">
        <v>845.34</v>
      </c>
      <c r="V993" s="3" t="s">
        <v>568</v>
      </c>
      <c r="W993" s="13">
        <v>845.34</v>
      </c>
      <c r="Y993" s="175">
        <v>46006</v>
      </c>
    </row>
    <row r="994" spans="1:25" hidden="1" x14ac:dyDescent="0.3">
      <c r="A994" t="str">
        <f>VLOOKUP(B994,base!A:K,11,0)</f>
        <v>TRIFÁSICO</v>
      </c>
      <c r="B994" s="32" t="s">
        <v>194</v>
      </c>
      <c r="C994" s="1">
        <f>VLOOKUP(B994,base!A:J,10,0)</f>
        <v>67996266684</v>
      </c>
      <c r="D994" t="str">
        <f>VLOOKUP(B994,base!A:C,3,0)</f>
        <v>62.955.505/0160-80</v>
      </c>
      <c r="E994" s="37" t="s">
        <v>433</v>
      </c>
      <c r="F994" t="s">
        <v>108</v>
      </c>
      <c r="G994" s="4">
        <v>45962</v>
      </c>
      <c r="I994" s="37" t="s">
        <v>435</v>
      </c>
      <c r="J994">
        <v>972</v>
      </c>
      <c r="K994" s="3">
        <v>1303.2263999999998</v>
      </c>
      <c r="L994" s="3">
        <v>1055.6854559999997</v>
      </c>
      <c r="M994" t="s">
        <v>1489</v>
      </c>
      <c r="N994" s="3">
        <v>1178.7664</v>
      </c>
      <c r="O994" s="3">
        <v>931.23</v>
      </c>
      <c r="P994" s="4">
        <v>45999</v>
      </c>
      <c r="Q994" s="175">
        <v>46009</v>
      </c>
      <c r="R994" s="3">
        <v>931.23</v>
      </c>
      <c r="V994" s="3" t="s">
        <v>1799</v>
      </c>
    </row>
    <row r="995" spans="1:25" hidden="1" x14ac:dyDescent="0.3">
      <c r="A995" t="str">
        <f>VLOOKUP(B995,base!A:K,11,0)</f>
        <v>TRIFÁSICO</v>
      </c>
      <c r="B995" s="32" t="s">
        <v>220</v>
      </c>
      <c r="C995" s="1">
        <f>VLOOKUP(B995,base!A:J,10,0)</f>
        <v>67992637973</v>
      </c>
      <c r="D995" t="str">
        <f>VLOOKUP(B995,base!A:C,3,0)</f>
        <v>62.955.505/0172-13</v>
      </c>
      <c r="E995" s="37" t="s">
        <v>433</v>
      </c>
      <c r="F995" t="s">
        <v>108</v>
      </c>
      <c r="G995" s="4">
        <v>45962</v>
      </c>
      <c r="I995" s="37" t="s">
        <v>435</v>
      </c>
      <c r="J995">
        <v>991</v>
      </c>
      <c r="K995" s="3">
        <v>1434.1016999999999</v>
      </c>
      <c r="L995" s="3">
        <v>1181.7233430000001</v>
      </c>
      <c r="M995" t="s">
        <v>1489</v>
      </c>
      <c r="N995" s="3">
        <v>1201.8017</v>
      </c>
      <c r="O995" s="3">
        <v>949.42</v>
      </c>
      <c r="P995" s="4">
        <v>45999</v>
      </c>
      <c r="Q995" s="175">
        <v>46009</v>
      </c>
      <c r="R995" s="3">
        <v>949.42</v>
      </c>
      <c r="V995" s="3" t="s">
        <v>568</v>
      </c>
      <c r="W995" s="13">
        <v>949.42</v>
      </c>
      <c r="Y995" s="175">
        <v>46006</v>
      </c>
    </row>
    <row r="996" spans="1:25" hidden="1" x14ac:dyDescent="0.3">
      <c r="A996" t="str">
        <f>VLOOKUP(B996,base!A:K,11,0)</f>
        <v>TRIFÁSICO</v>
      </c>
      <c r="B996" s="32" t="s">
        <v>200</v>
      </c>
      <c r="C996" s="1">
        <f>VLOOKUP(B996,base!A:J,10,0)</f>
        <v>67992637973</v>
      </c>
      <c r="D996" t="str">
        <f>VLOOKUP(B996,base!A:C,3,0)</f>
        <v>62.955.505/0164-03</v>
      </c>
      <c r="E996" s="37" t="s">
        <v>433</v>
      </c>
      <c r="F996" t="s">
        <v>108</v>
      </c>
      <c r="G996" s="4">
        <v>45962</v>
      </c>
      <c r="I996" s="37" t="s">
        <v>435</v>
      </c>
      <c r="J996">
        <v>700</v>
      </c>
      <c r="K996" s="3">
        <v>1156.1300000000001</v>
      </c>
      <c r="L996" s="3">
        <v>977.86310000000014</v>
      </c>
      <c r="M996" t="s">
        <v>1489</v>
      </c>
      <c r="N996" s="3">
        <v>848.79000000000019</v>
      </c>
      <c r="O996" s="3">
        <v>670.52</v>
      </c>
      <c r="P996" s="4">
        <v>45996</v>
      </c>
      <c r="Q996" s="175">
        <v>46006</v>
      </c>
      <c r="R996" s="3">
        <v>670.52</v>
      </c>
      <c r="V996" s="3" t="s">
        <v>568</v>
      </c>
      <c r="W996" s="13">
        <v>670.52</v>
      </c>
      <c r="Y996" s="175">
        <v>46006</v>
      </c>
    </row>
    <row r="997" spans="1:25" hidden="1" x14ac:dyDescent="0.3">
      <c r="A997" t="str">
        <f>VLOOKUP(B997,base!A:K,11,0)</f>
        <v>TRIFÁSICO</v>
      </c>
      <c r="B997" s="32" t="s">
        <v>196</v>
      </c>
      <c r="C997" s="1" t="str">
        <f>VLOOKUP(B997,base!A:J,10,0)</f>
        <v>67 81355403</v>
      </c>
      <c r="D997" t="str">
        <f>VLOOKUP(B997,base!A:C,3,0)</f>
        <v>62.955.505/2157-91</v>
      </c>
      <c r="E997" s="37" t="s">
        <v>433</v>
      </c>
      <c r="F997" t="s">
        <v>108</v>
      </c>
      <c r="G997" s="4">
        <v>45962</v>
      </c>
      <c r="I997" s="37" t="s">
        <v>435</v>
      </c>
      <c r="J997">
        <v>589</v>
      </c>
      <c r="K997" s="3">
        <v>961.43319999999994</v>
      </c>
      <c r="L997" s="3">
        <v>811.42112799999995</v>
      </c>
      <c r="M997" t="s">
        <v>1489</v>
      </c>
      <c r="N997" s="3">
        <v>714.34320000000002</v>
      </c>
      <c r="O997" s="3">
        <v>564.33000000000004</v>
      </c>
      <c r="P997" s="4">
        <v>45999</v>
      </c>
      <c r="Q997" s="175">
        <v>46009</v>
      </c>
      <c r="R997" s="3">
        <v>564.33000000000004</v>
      </c>
      <c r="V997" s="3" t="s">
        <v>568</v>
      </c>
      <c r="W997" s="13">
        <v>564.33000000000004</v>
      </c>
      <c r="Y997" s="175">
        <v>46002</v>
      </c>
    </row>
    <row r="998" spans="1:25" hidden="1" x14ac:dyDescent="0.3">
      <c r="A998" t="str">
        <f>VLOOKUP(B998,base!A:K,11,0)</f>
        <v>TRIFÁSICO</v>
      </c>
      <c r="B998" s="32" t="s">
        <v>228</v>
      </c>
      <c r="C998" s="1">
        <f>VLOOKUP(B998,base!A:J,10,0)</f>
        <v>67991162146</v>
      </c>
      <c r="D998" t="str">
        <f>VLOOKUP(B998,base!A:C,3,0)</f>
        <v>62.955.505/0151-99</v>
      </c>
      <c r="E998" s="37" t="s">
        <v>433</v>
      </c>
      <c r="F998" t="s">
        <v>108</v>
      </c>
      <c r="G998" s="4">
        <v>45962</v>
      </c>
      <c r="I998" s="37" t="s">
        <v>435</v>
      </c>
      <c r="J998">
        <v>387</v>
      </c>
      <c r="K998" s="3">
        <v>593.3569</v>
      </c>
      <c r="L998" s="3">
        <v>494.80035100000003</v>
      </c>
      <c r="M998" t="s">
        <v>1489</v>
      </c>
      <c r="N998" s="3">
        <v>469.31690000000003</v>
      </c>
      <c r="O998" s="3">
        <v>370.76</v>
      </c>
      <c r="P998" s="4">
        <v>45999</v>
      </c>
      <c r="Q998" s="175">
        <v>46009</v>
      </c>
      <c r="R998" s="3">
        <v>370.76</v>
      </c>
      <c r="V998" s="3" t="s">
        <v>1799</v>
      </c>
    </row>
    <row r="999" spans="1:25" hidden="1" x14ac:dyDescent="0.3">
      <c r="A999" t="str">
        <f>VLOOKUP(B999,base!A:K,11,0)</f>
        <v>TRIFÁSICO</v>
      </c>
      <c r="B999" s="32" t="s">
        <v>236</v>
      </c>
      <c r="C999" s="1">
        <f>VLOOKUP(B999,base!A:J,10,0)</f>
        <v>67996266684</v>
      </c>
      <c r="D999" t="str">
        <f>VLOOKUP(B999,base!A:C,3,0)</f>
        <v>62.955.505/0676-60</v>
      </c>
      <c r="E999" s="37" t="s">
        <v>433</v>
      </c>
      <c r="F999" t="s">
        <v>108</v>
      </c>
      <c r="G999" s="4">
        <v>45962</v>
      </c>
      <c r="I999" s="37" t="s">
        <v>435</v>
      </c>
      <c r="J999">
        <v>552</v>
      </c>
      <c r="K999" s="3">
        <v>794.22759999999994</v>
      </c>
      <c r="L999" s="3">
        <v>653.6394039999999</v>
      </c>
      <c r="M999" t="s">
        <v>1489</v>
      </c>
      <c r="N999" s="3">
        <v>669.46760000000006</v>
      </c>
      <c r="O999" s="3">
        <v>528.88</v>
      </c>
      <c r="P999" s="4">
        <v>45996</v>
      </c>
      <c r="Q999" s="175">
        <v>46006</v>
      </c>
      <c r="R999" s="3">
        <v>528.88</v>
      </c>
      <c r="V999" s="3" t="s">
        <v>1799</v>
      </c>
    </row>
    <row r="1000" spans="1:25" hidden="1" x14ac:dyDescent="0.3">
      <c r="A1000" t="str">
        <f>VLOOKUP(B1000,base!A:K,11,0)</f>
        <v>TRIFÁSICO</v>
      </c>
      <c r="B1000" s="32" t="s">
        <v>218</v>
      </c>
      <c r="C1000" s="1">
        <f>VLOOKUP(B1000,base!A:J,10,0)</f>
        <v>67991120875</v>
      </c>
      <c r="D1000" t="str">
        <f>VLOOKUP(B1000,base!A:C,3,0)</f>
        <v>62.955.505/3793-95</v>
      </c>
      <c r="E1000" s="37" t="s">
        <v>433</v>
      </c>
      <c r="F1000" t="s">
        <v>108</v>
      </c>
      <c r="G1000" s="4">
        <v>45962</v>
      </c>
      <c r="I1000" s="37" t="s">
        <v>435</v>
      </c>
      <c r="J1000">
        <v>909</v>
      </c>
      <c r="K1000" s="3">
        <v>1745.6048863636363</v>
      </c>
      <c r="L1000" s="3">
        <v>1514.1166602272729</v>
      </c>
      <c r="M1000" t="s">
        <v>1489</v>
      </c>
      <c r="N1000" s="3">
        <v>1102.3248863636363</v>
      </c>
      <c r="O1000" s="3">
        <v>870.84</v>
      </c>
      <c r="P1000" s="4">
        <v>45996</v>
      </c>
      <c r="Q1000" s="175">
        <v>46006</v>
      </c>
      <c r="R1000" s="3">
        <v>870.84</v>
      </c>
      <c r="V1000" s="3" t="s">
        <v>568</v>
      </c>
      <c r="W1000" s="13">
        <v>870.84</v>
      </c>
      <c r="Y1000" s="175">
        <v>46006</v>
      </c>
    </row>
    <row r="1001" spans="1:25" hidden="1" x14ac:dyDescent="0.3">
      <c r="A1001" t="str">
        <f>VLOOKUP(B1001,base!A:K,11,0)</f>
        <v>TRIFÁSICO</v>
      </c>
      <c r="B1001" s="32" t="s">
        <v>238</v>
      </c>
      <c r="C1001" s="1">
        <f>VLOOKUP(B1001,base!A:J,10,0)</f>
        <v>67996266684</v>
      </c>
      <c r="D1001" t="str">
        <f>VLOOKUP(B1001,base!A:C,3,0)</f>
        <v>62.955.505/0160-80</v>
      </c>
      <c r="E1001" s="37" t="s">
        <v>433</v>
      </c>
      <c r="F1001" t="s">
        <v>108</v>
      </c>
      <c r="G1001" s="4">
        <v>45962</v>
      </c>
      <c r="I1001" s="37" t="s">
        <v>435</v>
      </c>
      <c r="J1001">
        <v>401</v>
      </c>
      <c r="K1001" s="3">
        <v>618.70870000000002</v>
      </c>
      <c r="L1001" s="3">
        <v>516.58597300000008</v>
      </c>
      <c r="M1001" t="s">
        <v>1489</v>
      </c>
      <c r="N1001" s="3">
        <v>486.29869999999994</v>
      </c>
      <c r="O1001" s="3">
        <v>384.18</v>
      </c>
      <c r="P1001" s="4">
        <v>45996</v>
      </c>
      <c r="Q1001" s="175">
        <v>46006</v>
      </c>
      <c r="R1001" s="3">
        <v>384.18</v>
      </c>
      <c r="V1001" s="3" t="s">
        <v>568</v>
      </c>
      <c r="W1001" s="13">
        <v>384.18</v>
      </c>
      <c r="Y1001" s="175">
        <v>45999</v>
      </c>
    </row>
    <row r="1002" spans="1:25" hidden="1" x14ac:dyDescent="0.3">
      <c r="A1002" t="str">
        <f>VLOOKUP(B1002,base!A:K,11,0)</f>
        <v>TRIFÁSICO</v>
      </c>
      <c r="B1002" s="32" t="s">
        <v>184</v>
      </c>
      <c r="C1002" s="1">
        <f>VLOOKUP(B1002,base!A:J,10,0)</f>
        <v>67992637973</v>
      </c>
      <c r="D1002" t="str">
        <f>VLOOKUP(B1002,base!A:C,3,0)</f>
        <v>62.955.505/0172-13</v>
      </c>
      <c r="E1002" s="37" t="s">
        <v>433</v>
      </c>
      <c r="F1002" t="s">
        <v>108</v>
      </c>
      <c r="G1002" s="4">
        <v>45962</v>
      </c>
      <c r="I1002" s="37" t="s">
        <v>435</v>
      </c>
      <c r="J1002">
        <v>260</v>
      </c>
      <c r="K1002" s="3">
        <v>482.24599999999992</v>
      </c>
      <c r="L1002" s="3">
        <v>416.03804000000002</v>
      </c>
      <c r="M1002" t="s">
        <v>1489</v>
      </c>
      <c r="N1002" s="3">
        <v>315.13600000000002</v>
      </c>
      <c r="O1002" s="3">
        <v>248.93</v>
      </c>
      <c r="P1002" s="4">
        <v>45996</v>
      </c>
      <c r="Q1002" s="175">
        <v>46006</v>
      </c>
      <c r="R1002" s="3">
        <v>248.93</v>
      </c>
      <c r="V1002" s="3" t="s">
        <v>568</v>
      </c>
      <c r="W1002" s="13">
        <v>248.93</v>
      </c>
      <c r="Y1002" s="175">
        <v>46006</v>
      </c>
    </row>
    <row r="1003" spans="1:25" hidden="1" x14ac:dyDescent="0.3">
      <c r="A1003" t="str">
        <f>VLOOKUP(B1003,base!A:K,11,0)</f>
        <v>TRIFÁSICO</v>
      </c>
      <c r="B1003" s="32" t="s">
        <v>294</v>
      </c>
      <c r="C1003" s="1">
        <f>VLOOKUP(B1003,base!A:J,10,0)</f>
        <v>67992637973</v>
      </c>
      <c r="D1003" t="str">
        <f>VLOOKUP(B1003,base!A:C,3,0)</f>
        <v>62.955.505/3671-17</v>
      </c>
      <c r="E1003" s="37" t="s">
        <v>433</v>
      </c>
      <c r="F1003" t="s">
        <v>108</v>
      </c>
      <c r="G1003" s="4">
        <v>45962</v>
      </c>
      <c r="I1003" s="37" t="s">
        <v>435</v>
      </c>
      <c r="J1003">
        <v>396</v>
      </c>
      <c r="K1003" s="3">
        <v>682.15480000000002</v>
      </c>
      <c r="L1003" s="3">
        <v>581.29709200000002</v>
      </c>
      <c r="M1003" t="s">
        <v>1489</v>
      </c>
      <c r="N1003" s="3">
        <v>480.14480000000003</v>
      </c>
      <c r="O1003" s="3">
        <v>379.29</v>
      </c>
      <c r="P1003" s="4">
        <v>45996</v>
      </c>
      <c r="Q1003" s="175">
        <v>46006</v>
      </c>
      <c r="R1003" s="3">
        <v>379.29</v>
      </c>
      <c r="V1003" s="3" t="s">
        <v>1799</v>
      </c>
    </row>
    <row r="1004" spans="1:25" x14ac:dyDescent="0.3">
      <c r="A1004" t="str">
        <f>VLOOKUP(B1004,base!A:K,11,0)</f>
        <v>TRIFÁSICO</v>
      </c>
      <c r="B1004" s="32" t="s">
        <v>244</v>
      </c>
      <c r="C1004" s="1" t="str">
        <f>VLOOKUP(B1004,base!A:J,10,0)</f>
        <v>67 9967-7090</v>
      </c>
      <c r="D1004" t="str">
        <f>VLOOKUP(B1004,base!A:C,3,0)</f>
        <v>62.955.505/4194-43</v>
      </c>
      <c r="E1004" s="37" t="s">
        <v>433</v>
      </c>
      <c r="F1004" t="s">
        <v>108</v>
      </c>
      <c r="G1004" s="4">
        <v>45962</v>
      </c>
      <c r="I1004" s="37" t="s">
        <v>435</v>
      </c>
      <c r="J1004">
        <v>270</v>
      </c>
      <c r="K1004" s="3">
        <v>448.73600000000005</v>
      </c>
      <c r="L1004" s="3">
        <v>379.97024000000005</v>
      </c>
      <c r="M1004" t="s">
        <v>1489</v>
      </c>
      <c r="N1004" s="3">
        <v>327.45600000000002</v>
      </c>
      <c r="O1004" s="3">
        <v>258.69</v>
      </c>
      <c r="P1004" s="4">
        <v>45996</v>
      </c>
      <c r="Q1004" s="175">
        <v>46006</v>
      </c>
      <c r="R1004" s="3">
        <v>258.69</v>
      </c>
      <c r="V1004" s="3" t="s">
        <v>1799</v>
      </c>
    </row>
    <row r="1005" spans="1:25" hidden="1" x14ac:dyDescent="0.3">
      <c r="A1005" t="str">
        <f>VLOOKUP(B1005,base!A:K,11,0)</f>
        <v>TRIFÁSICO</v>
      </c>
      <c r="B1005" s="32" t="s">
        <v>143</v>
      </c>
      <c r="C1005" s="1" t="str">
        <f>VLOOKUP(B1005,base!A:J,10,0)</f>
        <v>67 96034976</v>
      </c>
      <c r="D1005" t="str">
        <f>VLOOKUP(B1005,base!A:C,3,0)</f>
        <v>62.955.505/1490-47</v>
      </c>
      <c r="E1005" s="37" t="s">
        <v>433</v>
      </c>
      <c r="F1005" t="s">
        <v>108</v>
      </c>
      <c r="G1005" s="4">
        <v>45962</v>
      </c>
      <c r="I1005" s="37" t="s">
        <v>435</v>
      </c>
      <c r="J1005">
        <v>189</v>
      </c>
      <c r="K1005" s="3">
        <v>409.98430000000002</v>
      </c>
      <c r="L1005" s="3">
        <v>361.85139700000002</v>
      </c>
      <c r="M1005" t="s">
        <v>1489</v>
      </c>
      <c r="N1005" s="3">
        <v>229.20430000000002</v>
      </c>
      <c r="O1005" s="3">
        <v>181.07</v>
      </c>
      <c r="P1005" s="4">
        <v>45996</v>
      </c>
      <c r="Q1005" s="175">
        <v>46006</v>
      </c>
      <c r="R1005" s="3">
        <v>181.07</v>
      </c>
      <c r="V1005" s="3" t="s">
        <v>568</v>
      </c>
      <c r="W1005" s="13">
        <v>181.07</v>
      </c>
      <c r="Y1005" s="175">
        <v>46006</v>
      </c>
    </row>
    <row r="1006" spans="1:25" hidden="1" x14ac:dyDescent="0.3">
      <c r="A1006" t="str">
        <f>VLOOKUP(B1006,base!A:K,11,0)</f>
        <v>BIFÁSICO</v>
      </c>
      <c r="B1006" s="32" t="s">
        <v>198</v>
      </c>
      <c r="C1006" s="1" t="str">
        <f>VLOOKUP(B1006,base!A:J,10,0)</f>
        <v xml:space="preserve"> 67 91285460</v>
      </c>
      <c r="D1006" t="str">
        <f>VLOOKUP(B1006,base!A:C,3,0)</f>
        <v>62.955.505/4194-43</v>
      </c>
      <c r="E1006" s="37" t="s">
        <v>433</v>
      </c>
      <c r="F1006" t="s">
        <v>108</v>
      </c>
      <c r="G1006" s="4">
        <v>45962</v>
      </c>
      <c r="I1006" s="37" t="s">
        <v>435</v>
      </c>
      <c r="J1006">
        <v>257</v>
      </c>
      <c r="K1006" s="3">
        <v>408.115306122449</v>
      </c>
      <c r="L1006" s="3">
        <v>342.86299183673475</v>
      </c>
      <c r="M1006" t="s">
        <v>1489</v>
      </c>
      <c r="N1006" s="3">
        <v>309.77530612244902</v>
      </c>
      <c r="O1006" s="3">
        <v>244.52</v>
      </c>
      <c r="P1006" s="4">
        <v>45996</v>
      </c>
      <c r="Q1006" s="175">
        <v>46006</v>
      </c>
      <c r="R1006" s="3">
        <v>244.52</v>
      </c>
      <c r="V1006" s="3" t="s">
        <v>568</v>
      </c>
      <c r="W1006" s="13">
        <v>244.52</v>
      </c>
      <c r="Y1006" s="175">
        <v>46006</v>
      </c>
    </row>
    <row r="1007" spans="1:25" hidden="1" x14ac:dyDescent="0.3">
      <c r="A1007" t="str">
        <f>VLOOKUP(B1007,base!A:K,11,0)</f>
        <v>BIFÁSICO</v>
      </c>
      <c r="B1007" s="32" t="s">
        <v>107</v>
      </c>
      <c r="C1007" s="1">
        <f>VLOOKUP(B1007,base!A:J,10,0)</f>
        <v>6792157907</v>
      </c>
      <c r="D1007" t="str">
        <f>VLOOKUP(B1007,base!A:C,3,0)</f>
        <v>62.955.505/8789-87</v>
      </c>
      <c r="E1007" s="37" t="s">
        <v>433</v>
      </c>
      <c r="F1007" t="s">
        <v>108</v>
      </c>
      <c r="G1007" s="4">
        <v>45962</v>
      </c>
      <c r="I1007" s="37" t="s">
        <v>435</v>
      </c>
      <c r="J1007">
        <v>184</v>
      </c>
      <c r="K1007" s="3">
        <v>371.89920000000006</v>
      </c>
      <c r="L1007" s="3">
        <v>325.037868</v>
      </c>
      <c r="M1007" t="s">
        <v>1489</v>
      </c>
      <c r="N1007" s="3">
        <v>223.14920000000004</v>
      </c>
      <c r="O1007" s="3">
        <v>176.29</v>
      </c>
      <c r="P1007" s="4">
        <v>45999</v>
      </c>
      <c r="Q1007" s="175">
        <v>46009</v>
      </c>
      <c r="R1007" s="3">
        <v>176.29</v>
      </c>
      <c r="V1007" s="3" t="s">
        <v>1799</v>
      </c>
    </row>
    <row r="1008" spans="1:25" hidden="1" x14ac:dyDescent="0.3">
      <c r="A1008" t="str">
        <f>VLOOKUP(B1008,base!A:K,11,0)</f>
        <v>TRIFÁSICO</v>
      </c>
      <c r="B1008" s="32" t="s">
        <v>311</v>
      </c>
      <c r="C1008" s="1" t="str">
        <f>VLOOKUP(B1008,base!A:J,10,0)</f>
        <v>67 992321318</v>
      </c>
      <c r="D1008" t="str">
        <f>VLOOKUP(B1008,base!A:C,3,0)</f>
        <v>62.955.505/1935-34</v>
      </c>
      <c r="E1008" s="37" t="s">
        <v>433</v>
      </c>
      <c r="F1008" t="s">
        <v>108</v>
      </c>
      <c r="G1008" s="4">
        <v>45962</v>
      </c>
      <c r="I1008" s="37" t="s">
        <v>435</v>
      </c>
      <c r="J1008">
        <v>182</v>
      </c>
      <c r="K1008" s="3">
        <v>404.36340000000001</v>
      </c>
      <c r="L1008" s="3">
        <v>358.01568600000002</v>
      </c>
      <c r="M1008" t="s">
        <v>1489</v>
      </c>
      <c r="N1008" s="3">
        <v>221.60340000000002</v>
      </c>
      <c r="O1008" s="3">
        <v>175.26</v>
      </c>
      <c r="P1008" s="4">
        <v>45996</v>
      </c>
      <c r="Q1008" s="175">
        <v>46006</v>
      </c>
      <c r="R1008" s="3">
        <v>175.26</v>
      </c>
      <c r="V1008" s="3" t="s">
        <v>568</v>
      </c>
      <c r="W1008" s="13">
        <v>175.26</v>
      </c>
      <c r="Y1008" s="175">
        <v>46006</v>
      </c>
    </row>
    <row r="1009" spans="1:25" hidden="1" x14ac:dyDescent="0.3">
      <c r="A1009" t="str">
        <f>VLOOKUP(B1009,base!A:K,11,0)</f>
        <v>BIFÁSICO</v>
      </c>
      <c r="B1009" s="32" t="s">
        <v>276</v>
      </c>
      <c r="C1009" s="1" t="str">
        <f>VLOOKUP(B1009,base!A:J,10,0)</f>
        <v>67 996469842</v>
      </c>
      <c r="D1009" t="str">
        <f>VLOOKUP(B1009,base!A:C,3,0)</f>
        <v>62.955.505/0001-67</v>
      </c>
      <c r="E1009" s="37" t="s">
        <v>433</v>
      </c>
      <c r="F1009" t="s">
        <v>108</v>
      </c>
      <c r="G1009" s="4">
        <v>45962</v>
      </c>
      <c r="I1009" s="37" t="s">
        <v>435</v>
      </c>
      <c r="J1009">
        <v>44</v>
      </c>
      <c r="K1009" s="3">
        <v>115.60839999999999</v>
      </c>
      <c r="L1009" s="3">
        <v>104.405236</v>
      </c>
      <c r="M1009" t="s">
        <v>1489</v>
      </c>
      <c r="N1009" s="3">
        <v>53.348400000000005</v>
      </c>
      <c r="O1009" s="3">
        <v>42.15</v>
      </c>
      <c r="P1009" s="4">
        <v>45999</v>
      </c>
      <c r="Q1009" s="175">
        <v>46009</v>
      </c>
      <c r="R1009" s="3">
        <v>42.15</v>
      </c>
      <c r="V1009" s="3" t="s">
        <v>1799</v>
      </c>
    </row>
    <row r="1010" spans="1:25" hidden="1" x14ac:dyDescent="0.3">
      <c r="A1010" t="str">
        <f>VLOOKUP(B1010,base!A:K,11,0)</f>
        <v>TRIFÁSICO</v>
      </c>
      <c r="B1010" s="32" t="s">
        <v>191</v>
      </c>
      <c r="C1010" s="1">
        <f>VLOOKUP(B1010,base!A:J,10,0)</f>
        <v>67991767866</v>
      </c>
      <c r="D1010" t="str">
        <f>VLOOKUP(B1010,base!A:C,3,0)</f>
        <v>62.955.505/4612-10</v>
      </c>
      <c r="E1010" s="37" t="s">
        <v>433</v>
      </c>
      <c r="F1010" t="s">
        <v>108</v>
      </c>
      <c r="G1010" s="4">
        <v>45962</v>
      </c>
      <c r="I1010" s="37" t="s">
        <v>435</v>
      </c>
      <c r="J1010">
        <v>234</v>
      </c>
      <c r="K1010" s="3">
        <v>488.1558</v>
      </c>
      <c r="L1010" s="3">
        <v>428.56498199999999</v>
      </c>
      <c r="M1010" t="s">
        <v>1489</v>
      </c>
      <c r="N1010" s="3">
        <v>283.82580000000002</v>
      </c>
      <c r="O1010" s="3">
        <v>224.23</v>
      </c>
      <c r="P1010" s="4">
        <v>45996</v>
      </c>
      <c r="Q1010" s="175">
        <v>46006</v>
      </c>
      <c r="R1010" s="3">
        <v>224.23</v>
      </c>
      <c r="V1010" s="3" t="s">
        <v>568</v>
      </c>
      <c r="W1010" s="13">
        <v>224.23</v>
      </c>
      <c r="Y1010" s="175">
        <v>46006</v>
      </c>
    </row>
    <row r="1011" spans="1:25" hidden="1" x14ac:dyDescent="0.3">
      <c r="A1011" t="str">
        <f>VLOOKUP(B1011,base!A:K,11,0)</f>
        <v>TRIFÁSICO</v>
      </c>
      <c r="B1011" s="32" t="s">
        <v>315</v>
      </c>
      <c r="C1011" s="1">
        <f>VLOOKUP(B1011,base!A:J,10,0)</f>
        <v>67996446178</v>
      </c>
      <c r="D1011" t="str">
        <f>VLOOKUP(B1011,base!A:C,3,0)</f>
        <v>62.955.505/3593-60</v>
      </c>
      <c r="E1011" s="37" t="s">
        <v>433</v>
      </c>
      <c r="F1011" t="s">
        <v>108</v>
      </c>
      <c r="G1011" s="4">
        <v>45962</v>
      </c>
      <c r="I1011" s="37" t="s">
        <v>435</v>
      </c>
      <c r="J1011">
        <v>288</v>
      </c>
      <c r="K1011" s="3">
        <v>524.14117647058833</v>
      </c>
      <c r="L1011" s="3">
        <v>453.78882941176477</v>
      </c>
      <c r="M1011" t="s">
        <v>1489</v>
      </c>
      <c r="N1011" s="3">
        <v>335.01117647058828</v>
      </c>
      <c r="O1011" s="3">
        <v>264.66000000000003</v>
      </c>
      <c r="P1011" s="4">
        <v>45999</v>
      </c>
      <c r="Q1011" s="175">
        <v>46009</v>
      </c>
      <c r="R1011" s="3">
        <v>264.66000000000003</v>
      </c>
      <c r="V1011" s="3" t="s">
        <v>1799</v>
      </c>
    </row>
    <row r="1012" spans="1:25" hidden="1" x14ac:dyDescent="0.3">
      <c r="A1012" t="str">
        <f>VLOOKUP(B1012,base!A:K,11,0)</f>
        <v>TRIFÁSICO</v>
      </c>
      <c r="B1012" s="32" t="s">
        <v>181</v>
      </c>
      <c r="C1012" s="1">
        <f>VLOOKUP(B1012,base!A:J,10,0)</f>
        <v>67996150274</v>
      </c>
      <c r="D1012" t="str">
        <f>VLOOKUP(B1012,base!A:C,3,0)</f>
        <v>62.955.505/1973-60</v>
      </c>
      <c r="E1012" s="37" t="s">
        <v>433</v>
      </c>
      <c r="F1012" t="s">
        <v>108</v>
      </c>
      <c r="G1012" s="4">
        <v>45962</v>
      </c>
      <c r="I1012" s="37" t="s">
        <v>435</v>
      </c>
      <c r="J1012">
        <v>132</v>
      </c>
      <c r="K1012" s="3">
        <v>334.5052</v>
      </c>
      <c r="L1012" s="3">
        <v>300.89150800000004</v>
      </c>
      <c r="M1012" t="s">
        <v>1489</v>
      </c>
      <c r="N1012" s="3">
        <v>160.0652</v>
      </c>
      <c r="O1012" s="3">
        <v>126.45</v>
      </c>
      <c r="P1012" s="4">
        <v>45996</v>
      </c>
      <c r="Q1012" s="175">
        <v>46006</v>
      </c>
      <c r="R1012" s="3">
        <v>126.45</v>
      </c>
      <c r="V1012" s="3" t="s">
        <v>1799</v>
      </c>
    </row>
    <row r="1013" spans="1:25" hidden="1" x14ac:dyDescent="0.3">
      <c r="A1013" t="str">
        <f>VLOOKUP(B1013,base!A:K,11,0)</f>
        <v>TRIFÁSICO</v>
      </c>
      <c r="B1013" s="32" t="s">
        <v>224</v>
      </c>
      <c r="C1013" s="1" t="str">
        <f>VLOOKUP(B1013,base!A:J,10,0)</f>
        <v>46 999066691</v>
      </c>
      <c r="D1013" t="str">
        <f>VLOOKUP(B1013,base!A:C,3,0)</f>
        <v>62.955.505/0884-04</v>
      </c>
      <c r="E1013" s="37" t="s">
        <v>433</v>
      </c>
      <c r="F1013" t="s">
        <v>108</v>
      </c>
      <c r="G1013" s="4">
        <v>45962</v>
      </c>
      <c r="I1013" s="37" t="s">
        <v>435</v>
      </c>
      <c r="J1013">
        <v>257</v>
      </c>
      <c r="K1013" s="3">
        <v>701.29432653061235</v>
      </c>
      <c r="L1013" s="3">
        <v>635.84691795918377</v>
      </c>
      <c r="M1013" t="s">
        <v>1489</v>
      </c>
      <c r="N1013" s="3">
        <v>311.65432653061225</v>
      </c>
      <c r="O1013" s="3">
        <v>246.21</v>
      </c>
      <c r="P1013" s="4">
        <v>45999</v>
      </c>
      <c r="Q1013" s="175">
        <v>46009</v>
      </c>
      <c r="R1013" s="3">
        <v>246.21</v>
      </c>
      <c r="V1013" s="3" t="s">
        <v>568</v>
      </c>
      <c r="W1013" s="13">
        <v>246.21</v>
      </c>
      <c r="Y1013" s="175">
        <v>46000</v>
      </c>
    </row>
    <row r="1014" spans="1:25" hidden="1" x14ac:dyDescent="0.3">
      <c r="A1014" t="str">
        <f>VLOOKUP(B1014,base!A:K,11,0)</f>
        <v>TRIFÁSICO</v>
      </c>
      <c r="B1014" s="32" t="s">
        <v>345</v>
      </c>
      <c r="C1014" s="1">
        <f>VLOOKUP(B1014,base!A:J,10,0)</f>
        <v>17996297425</v>
      </c>
      <c r="D1014" t="str">
        <f>VLOOKUP(B1014,base!A:C,3,0)</f>
        <v>62.955.505/4027-10</v>
      </c>
      <c r="E1014" s="37" t="s">
        <v>433</v>
      </c>
      <c r="F1014" t="s">
        <v>108</v>
      </c>
      <c r="G1014" s="4">
        <v>45962</v>
      </c>
      <c r="I1014" s="37" t="s">
        <v>435</v>
      </c>
      <c r="J1014">
        <v>194</v>
      </c>
      <c r="K1014" s="3">
        <v>416.44719999999995</v>
      </c>
      <c r="L1014" s="3">
        <v>367.03898799999996</v>
      </c>
      <c r="M1014" t="s">
        <v>1489</v>
      </c>
      <c r="N1014" s="3">
        <v>235.27719999999999</v>
      </c>
      <c r="O1014" s="3">
        <v>185.87</v>
      </c>
      <c r="P1014" s="4">
        <v>45996</v>
      </c>
      <c r="Q1014" s="175">
        <v>46006</v>
      </c>
      <c r="R1014" s="3">
        <v>185.87</v>
      </c>
      <c r="V1014" s="3" t="s">
        <v>568</v>
      </c>
      <c r="W1014" s="13">
        <v>185.87</v>
      </c>
      <c r="Y1014" s="175">
        <v>45999</v>
      </c>
    </row>
    <row r="1015" spans="1:25" hidden="1" x14ac:dyDescent="0.3">
      <c r="A1015" t="str">
        <f>VLOOKUP(B1015,base!A:K,11,0)</f>
        <v>TRIFÁSICO</v>
      </c>
      <c r="B1015" s="32" t="s">
        <v>206</v>
      </c>
      <c r="C1015" s="1">
        <f>VLOOKUP(B1015,base!A:J,10,0)</f>
        <v>67992637973</v>
      </c>
      <c r="D1015" t="str">
        <f>VLOOKUP(B1015,base!A:C,3,0)</f>
        <v>62.955.505/0172-13</v>
      </c>
      <c r="E1015" s="37" t="s">
        <v>433</v>
      </c>
      <c r="F1015" t="s">
        <v>108</v>
      </c>
      <c r="G1015" s="4">
        <v>45962</v>
      </c>
      <c r="I1015" s="37" t="s">
        <v>435</v>
      </c>
      <c r="J1015">
        <v>9</v>
      </c>
      <c r="K1015" s="3">
        <v>141.42830000000001</v>
      </c>
      <c r="L1015" s="3">
        <v>139.13755700000002</v>
      </c>
      <c r="M1015" t="s">
        <v>1489</v>
      </c>
      <c r="N1015" s="3">
        <v>10.908300000000001</v>
      </c>
      <c r="O1015" s="3">
        <v>8.6199999999999992</v>
      </c>
      <c r="P1015" s="4">
        <v>45996</v>
      </c>
      <c r="Q1015" s="175">
        <v>46006</v>
      </c>
      <c r="R1015" s="3">
        <v>8.6199999999999992</v>
      </c>
      <c r="V1015" s="3" t="s">
        <v>568</v>
      </c>
      <c r="W1015" s="13">
        <v>8.6199999999999992</v>
      </c>
      <c r="Y1015" s="175">
        <v>46001</v>
      </c>
    </row>
    <row r="1016" spans="1:25" hidden="1" x14ac:dyDescent="0.3">
      <c r="A1016" t="str">
        <f>VLOOKUP(B1016,base!A:K,11,0)</f>
        <v>TRIFÁSICO</v>
      </c>
      <c r="B1016" s="32" t="s">
        <v>287</v>
      </c>
      <c r="C1016" s="1" t="str">
        <f>VLOOKUP(B1016,base!A:J,10,0)</f>
        <v>67 92480766</v>
      </c>
      <c r="D1016" t="str">
        <f>VLOOKUP(B1016,base!A:C,3,0)</f>
        <v>62.955.505/2730-58</v>
      </c>
      <c r="E1016" s="37" t="s">
        <v>433</v>
      </c>
      <c r="F1016" t="s">
        <v>108</v>
      </c>
      <c r="G1016" s="4">
        <v>45962</v>
      </c>
      <c r="I1016" s="37" t="s">
        <v>435</v>
      </c>
      <c r="J1016">
        <v>50</v>
      </c>
      <c r="K1016" s="3">
        <v>181.89</v>
      </c>
      <c r="L1016" s="3">
        <v>169.15979999999999</v>
      </c>
      <c r="M1016" t="s">
        <v>1489</v>
      </c>
      <c r="N1016" s="3">
        <v>60.62</v>
      </c>
      <c r="O1016" s="3">
        <v>47.89</v>
      </c>
      <c r="P1016" s="4">
        <v>45996</v>
      </c>
      <c r="Q1016" s="175">
        <v>46006</v>
      </c>
      <c r="R1016" s="3">
        <v>47.89</v>
      </c>
      <c r="V1016" s="3" t="s">
        <v>568</v>
      </c>
      <c r="W1016" s="13">
        <v>47.89</v>
      </c>
      <c r="Y1016" s="175">
        <v>46006</v>
      </c>
    </row>
    <row r="1017" spans="1:25" hidden="1" x14ac:dyDescent="0.3">
      <c r="A1017" t="str">
        <f>VLOOKUP(B1017,base!A:K,11,0)</f>
        <v>BIFÁSICO</v>
      </c>
      <c r="B1017" s="32" t="s">
        <v>202</v>
      </c>
      <c r="C1017" s="1">
        <f>VLOOKUP(B1017,base!A:J,10,0)</f>
        <v>67999031330</v>
      </c>
      <c r="D1017" t="str">
        <f>VLOOKUP(B1017,base!A:C,3,0)</f>
        <v>62.955.505/0170-51</v>
      </c>
      <c r="E1017" s="37" t="s">
        <v>433</v>
      </c>
      <c r="F1017" t="s">
        <v>108</v>
      </c>
      <c r="G1017" s="4">
        <v>45962</v>
      </c>
      <c r="I1017" s="37" t="s">
        <v>435</v>
      </c>
      <c r="J1017">
        <v>66</v>
      </c>
      <c r="K1017" s="3">
        <v>152.44265306122449</v>
      </c>
      <c r="L1017" s="3">
        <v>135.96129591836737</v>
      </c>
      <c r="M1017" t="s">
        <v>1489</v>
      </c>
      <c r="N1017" s="3">
        <v>78.482653061224468</v>
      </c>
      <c r="O1017" s="3">
        <v>62</v>
      </c>
      <c r="P1017" s="4">
        <v>45996</v>
      </c>
      <c r="Q1017" s="175">
        <v>46006</v>
      </c>
      <c r="R1017" s="3">
        <v>62</v>
      </c>
      <c r="V1017" s="3" t="s">
        <v>568</v>
      </c>
      <c r="W1017" s="13">
        <v>62</v>
      </c>
      <c r="Y1017" s="175">
        <v>45999</v>
      </c>
    </row>
    <row r="1018" spans="1:25" hidden="1" x14ac:dyDescent="0.3">
      <c r="A1018" t="str">
        <f>VLOOKUP(B1018,base!A:K,11,0)</f>
        <v>MONOFÁSICO</v>
      </c>
      <c r="B1018" s="32" t="s">
        <v>261</v>
      </c>
      <c r="C1018" s="1">
        <f>VLOOKUP(B1018,base!A:J,10,0)</f>
        <v>67999159477</v>
      </c>
      <c r="D1018" t="str">
        <f>VLOOKUP(B1018,base!A:C,3,0)</f>
        <v>62.955.505/0001-67</v>
      </c>
      <c r="E1018" s="37" t="s">
        <v>433</v>
      </c>
      <c r="F1018" t="s">
        <v>108</v>
      </c>
      <c r="G1018" s="4">
        <v>45962</v>
      </c>
      <c r="I1018" s="37" t="s">
        <v>435</v>
      </c>
      <c r="J1018">
        <v>120</v>
      </c>
      <c r="K1018" s="3">
        <v>182.64999999999998</v>
      </c>
      <c r="L1018" s="3">
        <v>152.09289999999999</v>
      </c>
      <c r="M1018" t="s">
        <v>1489</v>
      </c>
      <c r="N1018" s="3">
        <v>145.51</v>
      </c>
      <c r="O1018" s="3">
        <v>114.95</v>
      </c>
      <c r="P1018" s="4">
        <v>45996</v>
      </c>
      <c r="Q1018" s="175">
        <v>46006</v>
      </c>
      <c r="R1018" s="3">
        <v>114.95</v>
      </c>
      <c r="V1018" s="3" t="s">
        <v>568</v>
      </c>
      <c r="W1018" s="13">
        <v>114.95</v>
      </c>
      <c r="Y1018" s="175">
        <v>46000</v>
      </c>
    </row>
    <row r="1019" spans="1:25" hidden="1" x14ac:dyDescent="0.3">
      <c r="A1019" t="str">
        <f>VLOOKUP(B1019,base!A:K,11,0)</f>
        <v>BIFÁSICO</v>
      </c>
      <c r="B1019" s="32" t="s">
        <v>204</v>
      </c>
      <c r="C1019" s="1">
        <f>VLOOKUP(B1019,base!A:J,10,0)</f>
        <v>67992637973</v>
      </c>
      <c r="D1019" t="str">
        <f>VLOOKUP(B1019,base!A:C,3,0)</f>
        <v>62.955.505/0408-94</v>
      </c>
      <c r="E1019" s="37" t="s">
        <v>433</v>
      </c>
      <c r="F1019" t="s">
        <v>108</v>
      </c>
      <c r="G1019" s="4">
        <v>45962</v>
      </c>
      <c r="I1019" s="37" t="s">
        <v>435</v>
      </c>
      <c r="J1019">
        <v>51</v>
      </c>
      <c r="K1019" s="3">
        <v>153.29859999999999</v>
      </c>
      <c r="L1019" s="3">
        <v>140.31249399999999</v>
      </c>
      <c r="M1019" t="s">
        <v>1489</v>
      </c>
      <c r="N1019" s="3">
        <v>61.838600000000007</v>
      </c>
      <c r="O1019" s="3">
        <v>48.85</v>
      </c>
      <c r="P1019" s="4">
        <v>45996</v>
      </c>
      <c r="Q1019" s="175">
        <v>46006</v>
      </c>
      <c r="R1019" s="3">
        <v>48.85</v>
      </c>
      <c r="V1019" s="3" t="s">
        <v>568</v>
      </c>
      <c r="W1019" s="13">
        <v>48.85</v>
      </c>
      <c r="Y1019" s="175">
        <v>45999</v>
      </c>
    </row>
    <row r="1020" spans="1:25" hidden="1" x14ac:dyDescent="0.3">
      <c r="A1020" t="str">
        <f>VLOOKUP(B1020,base!A:K,11,0)</f>
        <v>TRIFÁSICO</v>
      </c>
      <c r="B1020" s="32" t="s">
        <v>177</v>
      </c>
      <c r="C1020" s="1" t="str">
        <f>VLOOKUP(B1020,base!A:J,10,0)</f>
        <v>67 998338301</v>
      </c>
      <c r="D1020" t="str">
        <f>VLOOKUP(B1020,base!A:C,3,0)</f>
        <v>62.955.505/0153-50</v>
      </c>
      <c r="E1020" s="37" t="s">
        <v>433</v>
      </c>
      <c r="F1020" t="s">
        <v>108</v>
      </c>
      <c r="G1020" s="4">
        <v>45962</v>
      </c>
      <c r="I1020" s="37" t="s">
        <v>435</v>
      </c>
      <c r="J1020">
        <v>202</v>
      </c>
      <c r="K1020" s="3">
        <v>438.05759999999998</v>
      </c>
      <c r="L1020" s="3">
        <v>386.61020400000001</v>
      </c>
      <c r="M1020" t="s">
        <v>1489</v>
      </c>
      <c r="N1020" s="3">
        <v>244.98759999999999</v>
      </c>
      <c r="O1020" s="3">
        <v>193.54</v>
      </c>
      <c r="P1020" s="4">
        <v>45996</v>
      </c>
      <c r="Q1020" s="175">
        <v>46006</v>
      </c>
      <c r="R1020" s="3">
        <v>193.54</v>
      </c>
      <c r="V1020" s="3" t="s">
        <v>568</v>
      </c>
      <c r="W1020" s="13">
        <v>193.54</v>
      </c>
      <c r="Y1020" s="175">
        <v>45999</v>
      </c>
    </row>
    <row r="1021" spans="1:25" hidden="1" x14ac:dyDescent="0.3">
      <c r="A1021" t="str">
        <f>VLOOKUP(B1021,base!A:K,11,0)</f>
        <v>MONOFÁSICO</v>
      </c>
      <c r="B1021" s="32" t="s">
        <v>173</v>
      </c>
      <c r="C1021" s="1" t="str">
        <f>VLOOKUP(B1021,base!A:J,10,0)</f>
        <v>67 81355403</v>
      </c>
      <c r="D1021" t="str">
        <f>VLOOKUP(B1021,base!A:C,3,0)</f>
        <v>62.955.505/0847-51</v>
      </c>
      <c r="E1021" s="37" t="s">
        <v>433</v>
      </c>
      <c r="F1021" t="s">
        <v>108</v>
      </c>
      <c r="G1021" s="4">
        <v>45962</v>
      </c>
      <c r="I1021" s="37" t="s">
        <v>435</v>
      </c>
      <c r="J1021">
        <v>133</v>
      </c>
      <c r="K1021" s="3">
        <v>257.74749999999995</v>
      </c>
      <c r="L1021" s="3">
        <v>224.33282499999996</v>
      </c>
      <c r="M1021" t="s">
        <v>1489</v>
      </c>
      <c r="N1021" s="3">
        <v>159.11750000000001</v>
      </c>
      <c r="O1021" s="3">
        <v>125.7</v>
      </c>
      <c r="P1021" s="4">
        <v>45999</v>
      </c>
      <c r="Q1021" s="175">
        <v>46009</v>
      </c>
      <c r="R1021" s="3">
        <v>125.7</v>
      </c>
      <c r="V1021" s="3" t="s">
        <v>568</v>
      </c>
      <c r="W1021" s="13">
        <v>125.7</v>
      </c>
      <c r="Y1021" s="175">
        <v>46006</v>
      </c>
    </row>
    <row r="1022" spans="1:25" hidden="1" x14ac:dyDescent="0.3">
      <c r="A1022" t="str">
        <f>VLOOKUP(B1022,base!A:K,11,0)</f>
        <v>BIFÁSICO</v>
      </c>
      <c r="B1022" s="32" t="s">
        <v>215</v>
      </c>
      <c r="C1022" s="1">
        <f>VLOOKUP(B1022,base!A:J,10,0)</f>
        <v>67981311823</v>
      </c>
      <c r="D1022" t="str">
        <f>VLOOKUP(B1022,base!A:C,3,0)</f>
        <v>62.955.505/1821-76</v>
      </c>
      <c r="E1022" s="37" t="s">
        <v>433</v>
      </c>
      <c r="F1022" t="s">
        <v>108</v>
      </c>
      <c r="G1022" s="4">
        <v>45962</v>
      </c>
      <c r="I1022" s="37" t="s">
        <v>435</v>
      </c>
      <c r="J1022">
        <v>19</v>
      </c>
      <c r="K1022" s="3">
        <v>97.783400000000015</v>
      </c>
      <c r="L1022" s="3">
        <v>92.946386000000018</v>
      </c>
      <c r="M1022" t="s">
        <v>1489</v>
      </c>
      <c r="N1022" s="3">
        <v>23.0334</v>
      </c>
      <c r="O1022" s="3">
        <v>18.2</v>
      </c>
      <c r="P1022" s="4">
        <v>45996</v>
      </c>
      <c r="Q1022" s="175">
        <v>46006</v>
      </c>
      <c r="R1022" s="3">
        <v>18.2</v>
      </c>
      <c r="V1022" s="3" t="s">
        <v>1799</v>
      </c>
    </row>
    <row r="1023" spans="1:25" hidden="1" x14ac:dyDescent="0.3">
      <c r="A1023" t="str">
        <f>VLOOKUP(B1023,base!A:K,11,0)</f>
        <v>TRIFÁSICO</v>
      </c>
      <c r="B1023" s="32" t="s">
        <v>156</v>
      </c>
      <c r="C1023" s="1">
        <f>VLOOKUP(B1023,base!A:J,10,0)</f>
        <v>67996446178</v>
      </c>
      <c r="D1023" t="str">
        <f>VLOOKUP(B1023,base!A:C,3,0)</f>
        <v>62.955.505/0800-98</v>
      </c>
      <c r="E1023" s="37" t="s">
        <v>433</v>
      </c>
      <c r="F1023" t="s">
        <v>108</v>
      </c>
      <c r="G1023" s="4">
        <v>45962</v>
      </c>
      <c r="I1023" s="37" t="s">
        <v>435</v>
      </c>
      <c r="J1023">
        <v>116</v>
      </c>
      <c r="K1023" s="3">
        <v>282.39919999999995</v>
      </c>
      <c r="L1023" s="3">
        <v>252.85866799999997</v>
      </c>
      <c r="M1023" t="s">
        <v>1489</v>
      </c>
      <c r="N1023" s="3">
        <v>140.66920000000002</v>
      </c>
      <c r="O1023" s="3">
        <v>111.13</v>
      </c>
      <c r="P1023" s="4">
        <v>45996</v>
      </c>
      <c r="Q1023" s="175">
        <v>46006</v>
      </c>
      <c r="R1023" s="3">
        <v>111.13</v>
      </c>
      <c r="V1023" s="3" t="s">
        <v>1799</v>
      </c>
    </row>
    <row r="1024" spans="1:25" hidden="1" x14ac:dyDescent="0.3">
      <c r="A1024" t="str">
        <f>VLOOKUP(B1024,base!A:K,11,0)</f>
        <v>TRIFÁSICO</v>
      </c>
      <c r="B1024" s="32" t="s">
        <v>350</v>
      </c>
      <c r="C1024" s="1">
        <f>VLOOKUP(B1024,base!A:J,10,0)</f>
        <v>67993496482</v>
      </c>
      <c r="D1024" t="str">
        <f>VLOOKUP(B1024,base!A:C,3,0)</f>
        <v>62.955.505/0155-12</v>
      </c>
      <c r="E1024" s="37" t="s">
        <v>433</v>
      </c>
      <c r="F1024" t="s">
        <v>108</v>
      </c>
      <c r="G1024" s="4">
        <v>45962</v>
      </c>
      <c r="I1024" s="37" t="s">
        <v>435</v>
      </c>
      <c r="J1024">
        <v>110</v>
      </c>
      <c r="K1024" s="3">
        <v>312.38699999999994</v>
      </c>
      <c r="L1024" s="3">
        <v>284.37572999999998</v>
      </c>
      <c r="M1024" t="s">
        <v>1489</v>
      </c>
      <c r="N1024" s="3">
        <v>133.387</v>
      </c>
      <c r="O1024" s="3">
        <v>105.38</v>
      </c>
      <c r="P1024" s="4">
        <v>45996</v>
      </c>
      <c r="Q1024" s="175">
        <v>46006</v>
      </c>
      <c r="R1024" s="3">
        <v>105.38</v>
      </c>
      <c r="V1024" s="3" t="s">
        <v>1799</v>
      </c>
    </row>
    <row r="1025" spans="1:25" hidden="1" x14ac:dyDescent="0.3">
      <c r="A1025" t="str">
        <f>VLOOKUP(B1025,base!A:K,11,0)</f>
        <v>BIFÁSICO</v>
      </c>
      <c r="B1025" s="32" t="s">
        <v>297</v>
      </c>
      <c r="C1025" s="1">
        <f>VLOOKUP(B1025,base!A:J,10,0)</f>
        <v>67996266684</v>
      </c>
      <c r="D1025" t="str">
        <f>VLOOKUP(B1025,base!A:C,3,0)</f>
        <v>62.955.505/0160-80</v>
      </c>
      <c r="E1025" s="37" t="s">
        <v>433</v>
      </c>
      <c r="F1025" t="s">
        <v>108</v>
      </c>
      <c r="G1025" s="4">
        <v>45962</v>
      </c>
      <c r="I1025" s="37" t="s">
        <v>435</v>
      </c>
      <c r="J1025">
        <v>339</v>
      </c>
      <c r="K1025" s="3">
        <v>533.45320000000004</v>
      </c>
      <c r="L1025" s="3">
        <v>447.11732800000004</v>
      </c>
      <c r="M1025" t="s">
        <v>1489</v>
      </c>
      <c r="N1025" s="3">
        <v>411.12319999999988</v>
      </c>
      <c r="O1025" s="3">
        <v>324.79000000000002</v>
      </c>
      <c r="P1025" s="4">
        <v>45996</v>
      </c>
      <c r="Q1025" s="175">
        <v>46006</v>
      </c>
      <c r="R1025" s="3">
        <v>324.79000000000002</v>
      </c>
      <c r="V1025" s="3" t="s">
        <v>568</v>
      </c>
      <c r="W1025" s="13">
        <v>324.79000000000002</v>
      </c>
      <c r="Y1025" s="175">
        <v>45999</v>
      </c>
    </row>
    <row r="1026" spans="1:25" hidden="1" x14ac:dyDescent="0.3">
      <c r="A1026" t="str">
        <f>VLOOKUP(B1026,base!A:K,11,0)</f>
        <v>BIFÁSICO</v>
      </c>
      <c r="B1026" s="32" t="s">
        <v>114</v>
      </c>
      <c r="C1026" s="1" t="str">
        <f>VLOOKUP(B1026,base!A:J,10,0)</f>
        <v>67 996415566</v>
      </c>
      <c r="D1026" t="str">
        <f>VLOOKUP(B1026,base!A:C,3,0)</f>
        <v>62.955.505/3932-07</v>
      </c>
      <c r="E1026" s="37" t="s">
        <v>433</v>
      </c>
      <c r="F1026" t="s">
        <v>108</v>
      </c>
      <c r="G1026" s="4">
        <v>45962</v>
      </c>
      <c r="I1026" s="37" t="s">
        <v>435</v>
      </c>
      <c r="J1026">
        <v>197</v>
      </c>
      <c r="K1026" s="3">
        <v>345.22057692307698</v>
      </c>
      <c r="L1026" s="3">
        <v>297.41185576923078</v>
      </c>
      <c r="M1026" t="s">
        <v>1489</v>
      </c>
      <c r="N1026" s="3">
        <v>227.66057692307697</v>
      </c>
      <c r="O1026" s="3">
        <v>179.85</v>
      </c>
      <c r="P1026" s="4">
        <v>45999</v>
      </c>
      <c r="Q1026" s="175">
        <v>46009</v>
      </c>
      <c r="R1026" s="3">
        <v>179.85</v>
      </c>
      <c r="V1026" s="3" t="s">
        <v>568</v>
      </c>
      <c r="W1026" s="13">
        <v>179.85</v>
      </c>
      <c r="Y1026" s="175">
        <v>46003</v>
      </c>
    </row>
    <row r="1027" spans="1:25" hidden="1" x14ac:dyDescent="0.3">
      <c r="A1027" t="str">
        <f>VLOOKUP(B1027,base!A:K,11,0)</f>
        <v>TRIFÁSICO</v>
      </c>
      <c r="B1027" s="32" t="s">
        <v>118</v>
      </c>
      <c r="C1027" s="1">
        <f>VLOOKUP(B1027,base!A:J,10,0)</f>
        <v>67996135721</v>
      </c>
      <c r="D1027" t="str">
        <f>VLOOKUP(B1027,base!A:C,3,0)</f>
        <v>62.955.505/1822-57</v>
      </c>
      <c r="E1027" s="37" t="s">
        <v>433</v>
      </c>
      <c r="F1027" t="s">
        <v>108</v>
      </c>
      <c r="G1027" s="4">
        <v>45962</v>
      </c>
      <c r="I1027" s="37" t="s">
        <v>435</v>
      </c>
      <c r="J1027">
        <v>288</v>
      </c>
      <c r="K1027" s="3">
        <v>494.15428571428572</v>
      </c>
      <c r="L1027" s="3">
        <v>428.12308571428571</v>
      </c>
      <c r="M1027" t="s">
        <v>1489</v>
      </c>
      <c r="N1027" s="3">
        <v>314.43428571428575</v>
      </c>
      <c r="O1027" s="3">
        <v>248.4</v>
      </c>
      <c r="P1027" s="4">
        <v>45999</v>
      </c>
      <c r="Q1027" s="175">
        <v>46009</v>
      </c>
      <c r="R1027" s="3">
        <v>248.4</v>
      </c>
      <c r="V1027" s="3" t="s">
        <v>568</v>
      </c>
      <c r="W1027" s="13">
        <v>248.4</v>
      </c>
      <c r="Y1027" s="175">
        <v>46006</v>
      </c>
    </row>
    <row r="1028" spans="1:25" hidden="1" x14ac:dyDescent="0.3">
      <c r="A1028" t="str">
        <f>VLOOKUP(B1028,base!A:K,11,0)</f>
        <v>TRIFÁSICO</v>
      </c>
      <c r="B1028" s="32" t="s">
        <v>134</v>
      </c>
      <c r="C1028" s="1">
        <f>VLOOKUP(B1028,base!A:J,10,0)</f>
        <v>67999516782</v>
      </c>
      <c r="D1028" t="str">
        <f>VLOOKUP(B1028,base!A:C,3,0)</f>
        <v>62.955.505/8921-14</v>
      </c>
      <c r="E1028" s="37" t="s">
        <v>433</v>
      </c>
      <c r="F1028" t="s">
        <v>108</v>
      </c>
      <c r="G1028" s="4">
        <v>45962</v>
      </c>
      <c r="I1028" s="37" t="s">
        <v>435</v>
      </c>
      <c r="J1028">
        <v>58</v>
      </c>
      <c r="K1028" s="3">
        <v>232.09040000000002</v>
      </c>
      <c r="L1028" s="3">
        <v>217.32101600000001</v>
      </c>
      <c r="M1028" t="s">
        <v>1489</v>
      </c>
      <c r="N1028" s="3">
        <v>70.330399999999997</v>
      </c>
      <c r="O1028" s="3">
        <v>55.56</v>
      </c>
      <c r="P1028" s="4">
        <v>45999</v>
      </c>
      <c r="Q1028" s="175">
        <v>46009</v>
      </c>
      <c r="R1028" s="3">
        <v>55.56</v>
      </c>
      <c r="V1028" s="3" t="s">
        <v>1799</v>
      </c>
    </row>
    <row r="1029" spans="1:25" hidden="1" x14ac:dyDescent="0.3">
      <c r="A1029" t="str">
        <f>VLOOKUP(B1029,base!A:K,11,0)</f>
        <v>TRIFÁSICO</v>
      </c>
      <c r="B1029" s="32" t="s">
        <v>140</v>
      </c>
      <c r="C1029" s="1">
        <f>VLOOKUP(B1029,base!A:J,10,0)</f>
        <v>67996575782</v>
      </c>
      <c r="D1029" t="str">
        <f>VLOOKUP(B1029,base!A:C,3,0)</f>
        <v>62.955.505/0156-01</v>
      </c>
      <c r="E1029" s="37" t="s">
        <v>433</v>
      </c>
      <c r="F1029" t="s">
        <v>108</v>
      </c>
      <c r="G1029" s="4">
        <v>45962</v>
      </c>
      <c r="I1029" s="37" t="s">
        <v>435</v>
      </c>
      <c r="J1029">
        <v>75</v>
      </c>
      <c r="K1029" s="3">
        <v>329.97086206896552</v>
      </c>
      <c r="L1029" s="3">
        <v>310.87328103448277</v>
      </c>
      <c r="M1029" t="s">
        <v>1489</v>
      </c>
      <c r="N1029" s="3">
        <v>90.940862068965515</v>
      </c>
      <c r="O1029" s="3">
        <v>71.84</v>
      </c>
      <c r="P1029" s="4">
        <v>45996</v>
      </c>
      <c r="Q1029" s="175">
        <v>46006</v>
      </c>
      <c r="R1029" s="3">
        <v>71.84</v>
      </c>
      <c r="V1029" s="3" t="s">
        <v>568</v>
      </c>
      <c r="W1029" s="13">
        <v>71.84</v>
      </c>
      <c r="Y1029" s="175">
        <v>46007</v>
      </c>
    </row>
    <row r="1030" spans="1:25" hidden="1" x14ac:dyDescent="0.3">
      <c r="A1030" t="e">
        <f>VLOOKUP(B1030,base!A:K,11,0)</f>
        <v>#N/A</v>
      </c>
      <c r="B1030" s="32" t="s">
        <v>520</v>
      </c>
      <c r="C1030" s="1" t="e">
        <f>VLOOKUP(B1030,base!A:J,10,0)</f>
        <v>#N/A</v>
      </c>
      <c r="D1030" t="e">
        <f>VLOOKUP(B1030,base!A:C,3,0)</f>
        <v>#N/A</v>
      </c>
      <c r="E1030" s="37" t="s">
        <v>433</v>
      </c>
      <c r="F1030" t="s">
        <v>108</v>
      </c>
      <c r="G1030" s="4">
        <v>45962</v>
      </c>
      <c r="I1030" s="37" t="s">
        <v>435</v>
      </c>
      <c r="J1030">
        <v>307</v>
      </c>
      <c r="K1030" s="3">
        <v>412.87</v>
      </c>
      <c r="L1030" s="3">
        <v>348.55329999999998</v>
      </c>
      <c r="M1030" t="s">
        <v>1489</v>
      </c>
      <c r="N1030" s="3">
        <v>1125.6999999</v>
      </c>
      <c r="O1030" s="3">
        <v>1061.3800000000001</v>
      </c>
      <c r="P1030" s="4">
        <v>45996</v>
      </c>
      <c r="Q1030" s="175">
        <v>46006</v>
      </c>
      <c r="R1030" s="3">
        <v>1061.3800000000001</v>
      </c>
      <c r="V1030" s="3" t="s">
        <v>1799</v>
      </c>
    </row>
    <row r="1031" spans="1:25" hidden="1" x14ac:dyDescent="0.3">
      <c r="A1031" t="str">
        <f>VLOOKUP(B1031,base!A:K,11,0)</f>
        <v>TRIFÁSICO</v>
      </c>
      <c r="B1031" s="32" t="s">
        <v>302</v>
      </c>
      <c r="C1031" s="1">
        <f>VLOOKUP(B1031,base!A:J,10,0)</f>
        <v>67992637973</v>
      </c>
      <c r="D1031" t="str">
        <f>VLOOKUP(B1031,base!A:C,3,0)</f>
        <v>62.955.505/3216-30</v>
      </c>
      <c r="E1031" s="37" t="s">
        <v>433</v>
      </c>
      <c r="F1031" t="s">
        <v>108</v>
      </c>
      <c r="G1031" s="4">
        <v>45962</v>
      </c>
      <c r="I1031" s="37" t="s">
        <v>435</v>
      </c>
      <c r="J1031">
        <v>329</v>
      </c>
      <c r="K1031" s="3">
        <v>612.76229999999998</v>
      </c>
      <c r="L1031" s="3">
        <v>528.978117</v>
      </c>
      <c r="M1031" t="s">
        <v>1489</v>
      </c>
      <c r="N1031" s="3">
        <v>398.97229999999996</v>
      </c>
      <c r="O1031" s="3">
        <v>315.19</v>
      </c>
      <c r="P1031" s="4">
        <v>45996</v>
      </c>
      <c r="Q1031" s="175">
        <v>46006</v>
      </c>
      <c r="R1031" s="3">
        <v>315.19</v>
      </c>
      <c r="V1031" s="3" t="s">
        <v>568</v>
      </c>
      <c r="W1031" s="13">
        <v>315.19</v>
      </c>
      <c r="Y1031" s="175">
        <v>46001</v>
      </c>
    </row>
    <row r="1032" spans="1:25" hidden="1" x14ac:dyDescent="0.3">
      <c r="A1032" t="str">
        <f>VLOOKUP(B1032,base!A:K,11,0)</f>
        <v>MONOFÁSICO</v>
      </c>
      <c r="B1032" s="32" t="s">
        <v>167</v>
      </c>
      <c r="C1032" s="1">
        <f>VLOOKUP(B1032,base!A:J,10,0)</f>
        <v>67992337953</v>
      </c>
      <c r="D1032" t="str">
        <f>VLOOKUP(B1032,base!A:C,3,0)</f>
        <v>62.955.505/0914-56</v>
      </c>
      <c r="E1032" s="37" t="s">
        <v>433</v>
      </c>
      <c r="F1032" t="s">
        <v>108</v>
      </c>
      <c r="G1032" s="4">
        <v>45962</v>
      </c>
      <c r="I1032" s="37" t="s">
        <v>435</v>
      </c>
      <c r="J1032">
        <v>140</v>
      </c>
      <c r="K1032" s="3">
        <v>240.41000000000003</v>
      </c>
      <c r="L1032" s="3">
        <v>207.90410000000003</v>
      </c>
      <c r="M1032" t="s">
        <v>1489</v>
      </c>
      <c r="N1032" s="3">
        <v>154.79000000000002</v>
      </c>
      <c r="O1032" s="3">
        <v>122.28</v>
      </c>
      <c r="P1032" s="4">
        <v>45996</v>
      </c>
      <c r="Q1032" s="175">
        <v>46006</v>
      </c>
      <c r="R1032" s="3">
        <v>122.28</v>
      </c>
      <c r="V1032" s="3" t="s">
        <v>1799</v>
      </c>
    </row>
    <row r="1033" spans="1:25" hidden="1" x14ac:dyDescent="0.3">
      <c r="A1033" t="str">
        <f>VLOOKUP(B1033,base!A:K,11,0)</f>
        <v>TRIFÁSICO</v>
      </c>
      <c r="B1033" s="32" t="s">
        <v>164</v>
      </c>
      <c r="C1033" s="1" t="str">
        <f>VLOOKUP(B1033,base!A:J,10,0)</f>
        <v xml:space="preserve"> 67 91285460</v>
      </c>
      <c r="D1033" t="str">
        <f>VLOOKUP(B1033,base!A:C,3,0)</f>
        <v>62.955.505/4194-43</v>
      </c>
      <c r="E1033" s="37" t="s">
        <v>433</v>
      </c>
      <c r="F1033" t="s">
        <v>108</v>
      </c>
      <c r="G1033" s="4">
        <v>45962</v>
      </c>
      <c r="I1033" s="37" t="s">
        <v>435</v>
      </c>
      <c r="J1033">
        <v>134</v>
      </c>
      <c r="K1033" s="3">
        <v>311.10579999999999</v>
      </c>
      <c r="L1033" s="3">
        <v>276.98168199999998</v>
      </c>
      <c r="M1033" t="s">
        <v>1489</v>
      </c>
      <c r="N1033" s="3">
        <v>162.4958</v>
      </c>
      <c r="O1033" s="3">
        <v>128.37</v>
      </c>
      <c r="P1033" s="4">
        <v>45999</v>
      </c>
      <c r="Q1033" s="175">
        <v>46009</v>
      </c>
      <c r="R1033" s="3">
        <v>128.37</v>
      </c>
      <c r="V1033" s="3" t="s">
        <v>1799</v>
      </c>
    </row>
    <row r="1034" spans="1:25" hidden="1" x14ac:dyDescent="0.3">
      <c r="A1034" t="str">
        <f>VLOOKUP(B1034,base!A:K,11,0)</f>
        <v>TRIFÁSICO</v>
      </c>
      <c r="B1034" s="32" t="s">
        <v>255</v>
      </c>
      <c r="C1034" s="1">
        <f>VLOOKUP(B1034,base!A:J,10,0)</f>
        <v>67999361728</v>
      </c>
      <c r="D1034" t="str">
        <f>VLOOKUP(B1034,base!A:C,3,0)</f>
        <v>62.955.505/1822-57</v>
      </c>
      <c r="E1034" s="37" t="s">
        <v>433</v>
      </c>
      <c r="F1034" t="s">
        <v>108</v>
      </c>
      <c r="G1034" s="4">
        <v>45962</v>
      </c>
      <c r="I1034" s="37" t="s">
        <v>435</v>
      </c>
      <c r="J1034">
        <v>478</v>
      </c>
      <c r="K1034" s="3">
        <v>674.52842105263153</v>
      </c>
      <c r="L1034" s="3">
        <v>568.46615263157901</v>
      </c>
      <c r="M1034" t="s">
        <v>1489</v>
      </c>
      <c r="N1034" s="3">
        <v>505.0584210526315</v>
      </c>
      <c r="O1034" s="3">
        <v>399</v>
      </c>
      <c r="P1034" s="4">
        <v>45996</v>
      </c>
      <c r="Q1034" s="175">
        <v>46006</v>
      </c>
      <c r="R1034" s="3">
        <v>399</v>
      </c>
      <c r="V1034" s="3" t="s">
        <v>568</v>
      </c>
      <c r="W1034" s="13">
        <v>399</v>
      </c>
      <c r="Y1034" s="175">
        <v>46000</v>
      </c>
    </row>
    <row r="1035" spans="1:25" hidden="1" x14ac:dyDescent="0.3">
      <c r="A1035" t="str">
        <f>VLOOKUP(B1035,base!A:K,11,0)</f>
        <v>BIFÁSICO</v>
      </c>
      <c r="B1035" s="32" t="s">
        <v>127</v>
      </c>
      <c r="C1035" s="1">
        <f>VLOOKUP(B1035,base!A:J,10,0)</f>
        <v>67996446178</v>
      </c>
      <c r="D1035" t="str">
        <f>VLOOKUP(B1035,base!A:C,3,0)</f>
        <v>62.955.505/0169-18</v>
      </c>
      <c r="E1035" s="37" t="s">
        <v>433</v>
      </c>
      <c r="F1035" t="s">
        <v>108</v>
      </c>
      <c r="G1035" s="4">
        <v>45962</v>
      </c>
      <c r="I1035" s="37" t="s">
        <v>435</v>
      </c>
      <c r="J1035">
        <v>486</v>
      </c>
      <c r="K1035" s="3">
        <v>613.12</v>
      </c>
      <c r="L1035" s="3">
        <v>511.35610000000008</v>
      </c>
      <c r="M1035" t="s">
        <v>1489</v>
      </c>
      <c r="N1035" s="3">
        <v>484.59000000000003</v>
      </c>
      <c r="O1035" s="3">
        <v>382.83</v>
      </c>
      <c r="P1035" s="4">
        <v>45996</v>
      </c>
      <c r="Q1035" s="175">
        <v>46006</v>
      </c>
      <c r="R1035" s="3">
        <v>382.83</v>
      </c>
      <c r="V1035" s="3" t="s">
        <v>568</v>
      </c>
      <c r="W1035" s="13">
        <v>382.83</v>
      </c>
      <c r="Y1035" s="175">
        <v>46007</v>
      </c>
    </row>
    <row r="1036" spans="1:25" hidden="1" x14ac:dyDescent="0.3">
      <c r="A1036" t="str">
        <f>VLOOKUP(B1036,base!A:K,11,0)</f>
        <v>TRIFÁSICO</v>
      </c>
      <c r="B1036" s="32" t="s">
        <v>222</v>
      </c>
      <c r="C1036" s="1">
        <f>VLOOKUP(B1036,base!A:J,10,0)</f>
        <v>67996150274</v>
      </c>
      <c r="D1036" t="str">
        <f>VLOOKUP(B1036,base!A:C,3,0)</f>
        <v>62.955.505/0001-67</v>
      </c>
      <c r="E1036" s="37" t="s">
        <v>433</v>
      </c>
      <c r="F1036" t="s">
        <v>108</v>
      </c>
      <c r="G1036" s="4">
        <v>45962</v>
      </c>
      <c r="I1036" s="37" t="s">
        <v>435</v>
      </c>
      <c r="J1036">
        <v>198</v>
      </c>
      <c r="K1036" s="3">
        <v>376.86402985074619</v>
      </c>
      <c r="L1036" s="3">
        <v>332.96478358208947</v>
      </c>
      <c r="M1036" t="s">
        <v>1489</v>
      </c>
      <c r="N1036" s="3">
        <v>209.04402985074628</v>
      </c>
      <c r="O1036" s="3">
        <v>165.14</v>
      </c>
      <c r="P1036" s="4">
        <v>45996</v>
      </c>
      <c r="Q1036" s="175">
        <v>46006</v>
      </c>
      <c r="R1036" s="3">
        <v>165.14</v>
      </c>
      <c r="V1036" s="3" t="s">
        <v>568</v>
      </c>
      <c r="W1036" s="13">
        <v>165.14</v>
      </c>
      <c r="Y1036" s="175">
        <v>46002</v>
      </c>
    </row>
    <row r="1037" spans="1:25" hidden="1" x14ac:dyDescent="0.3">
      <c r="A1037" t="str">
        <f>VLOOKUP(B1037,base!A:K,11,0)</f>
        <v>TRIFÁSICO</v>
      </c>
      <c r="B1037" s="32" t="s">
        <v>285</v>
      </c>
      <c r="C1037" s="1">
        <f>VLOOKUP(B1037,base!A:J,10,0)</f>
        <v>67996266684</v>
      </c>
      <c r="D1037" t="str">
        <f>VLOOKUP(B1037,base!A:C,3,0)</f>
        <v>62.955.505/0160-80</v>
      </c>
      <c r="E1037" s="37" t="s">
        <v>433</v>
      </c>
      <c r="F1037" t="s">
        <v>108</v>
      </c>
      <c r="G1037" s="4">
        <v>45962</v>
      </c>
      <c r="I1037" s="37" t="s">
        <v>435</v>
      </c>
      <c r="J1037">
        <v>402</v>
      </c>
      <c r="K1037" s="3">
        <v>600.34749999999997</v>
      </c>
      <c r="L1037" s="3">
        <v>511.21142499999996</v>
      </c>
      <c r="M1037" t="s">
        <v>1489</v>
      </c>
      <c r="N1037" s="3">
        <v>424.45750000000004</v>
      </c>
      <c r="O1037" s="3">
        <v>335.32</v>
      </c>
      <c r="P1037" s="4">
        <v>45996</v>
      </c>
      <c r="Q1037" s="175">
        <v>46006</v>
      </c>
      <c r="R1037" s="3">
        <v>335.32</v>
      </c>
      <c r="V1037" s="3" t="s">
        <v>568</v>
      </c>
      <c r="W1037" s="13">
        <v>335.32</v>
      </c>
      <c r="Y1037" s="175">
        <v>46006</v>
      </c>
    </row>
    <row r="1038" spans="1:25" hidden="1" x14ac:dyDescent="0.3">
      <c r="A1038" t="str">
        <f>VLOOKUP(B1038,base!A:K,11,0)</f>
        <v>TRIFÁSICO</v>
      </c>
      <c r="B1038" s="32" t="s">
        <v>148</v>
      </c>
      <c r="C1038" s="1">
        <f>VLOOKUP(B1038,base!A:J,10,0)</f>
        <v>67996150274</v>
      </c>
      <c r="D1038" t="str">
        <f>VLOOKUP(B1038,base!A:C,3,0)</f>
        <v>62.955.505/3311-98</v>
      </c>
      <c r="E1038" s="37" t="s">
        <v>433</v>
      </c>
      <c r="F1038" t="s">
        <v>108</v>
      </c>
      <c r="G1038" s="4">
        <v>45962</v>
      </c>
      <c r="I1038" s="37" t="s">
        <v>435</v>
      </c>
      <c r="J1038">
        <v>635</v>
      </c>
      <c r="K1038" s="3">
        <v>843.06000000000006</v>
      </c>
      <c r="L1038" s="3">
        <v>710.09430000000009</v>
      </c>
      <c r="M1038" t="s">
        <v>1489</v>
      </c>
      <c r="N1038" s="3">
        <v>633.16999999999996</v>
      </c>
      <c r="O1038" s="3">
        <v>500.2</v>
      </c>
      <c r="P1038" s="4">
        <v>45996</v>
      </c>
      <c r="Q1038" s="175">
        <v>46006</v>
      </c>
      <c r="R1038" s="3">
        <v>500.2</v>
      </c>
      <c r="V1038" s="3" t="s">
        <v>568</v>
      </c>
      <c r="W1038" s="13">
        <v>500.2</v>
      </c>
      <c r="Y1038" s="175">
        <v>46006</v>
      </c>
    </row>
    <row r="1039" spans="1:25" hidden="1" x14ac:dyDescent="0.3">
      <c r="A1039" t="str">
        <f>VLOOKUP(B1039,base!A:K,11,0)</f>
        <v>TRIFÁSICO</v>
      </c>
      <c r="B1039" s="32" t="s">
        <v>320</v>
      </c>
      <c r="C1039" s="1">
        <f>VLOOKUP(B1039,base!A:J,10,0)</f>
        <v>67981263396</v>
      </c>
      <c r="D1039" t="str">
        <f>VLOOKUP(B1039,base!A:C,3,0)</f>
        <v>62.955.505/1355-00</v>
      </c>
      <c r="E1039" s="37" t="s">
        <v>433</v>
      </c>
      <c r="F1039" t="s">
        <v>108</v>
      </c>
      <c r="G1039" s="4">
        <v>45962</v>
      </c>
      <c r="I1039" s="37" t="s">
        <v>435</v>
      </c>
      <c r="J1039">
        <v>438</v>
      </c>
      <c r="K1039" s="3">
        <v>634.36307692307685</v>
      </c>
      <c r="L1039" s="3">
        <v>537.20173076923083</v>
      </c>
      <c r="M1039" t="s">
        <v>1489</v>
      </c>
      <c r="N1039" s="3">
        <v>462.60307692307697</v>
      </c>
      <c r="O1039" s="3">
        <v>365.44</v>
      </c>
      <c r="P1039" s="4">
        <v>45996</v>
      </c>
      <c r="Q1039" s="175">
        <v>46006</v>
      </c>
      <c r="R1039" s="3">
        <v>365.44</v>
      </c>
      <c r="V1039" s="3" t="s">
        <v>568</v>
      </c>
      <c r="W1039" s="13">
        <v>365.44</v>
      </c>
      <c r="Y1039" s="175">
        <v>46006</v>
      </c>
    </row>
    <row r="1040" spans="1:25" hidden="1" x14ac:dyDescent="0.3">
      <c r="A1040" t="str">
        <f>VLOOKUP(B1040,base!A:K,11,0)</f>
        <v>TRIFÁSICO</v>
      </c>
      <c r="B1040" s="32" t="s">
        <v>186</v>
      </c>
      <c r="C1040" s="1">
        <f>VLOOKUP(B1040,base!A:J,10,0)</f>
        <v>6784548587</v>
      </c>
      <c r="D1040" t="str">
        <f>VLOOKUP(B1040,base!A:C,3,0)</f>
        <v>62.955.505/0161-60</v>
      </c>
      <c r="E1040" s="37" t="s">
        <v>433</v>
      </c>
      <c r="F1040" t="s">
        <v>108</v>
      </c>
      <c r="G1040" s="4">
        <v>45962</v>
      </c>
      <c r="I1040" s="37" t="s">
        <v>435</v>
      </c>
      <c r="J1040">
        <v>124</v>
      </c>
      <c r="K1040" s="3">
        <v>1047.472062992126</v>
      </c>
      <c r="L1040" s="3">
        <v>1019.9805297637795</v>
      </c>
      <c r="M1040" t="s">
        <v>1489</v>
      </c>
      <c r="N1040" s="3">
        <v>323.41206299212604</v>
      </c>
      <c r="O1040" s="3">
        <v>295.92</v>
      </c>
      <c r="P1040" s="4">
        <v>45999</v>
      </c>
      <c r="Q1040" s="175">
        <v>46009</v>
      </c>
      <c r="R1040" s="3">
        <v>295.92</v>
      </c>
      <c r="V1040" s="3" t="s">
        <v>1799</v>
      </c>
    </row>
    <row r="1041" spans="1:25" hidden="1" x14ac:dyDescent="0.3">
      <c r="A1041" t="str">
        <f>VLOOKUP(B1041,base!A:K,11,0)</f>
        <v>BIFÁSICO</v>
      </c>
      <c r="B1041" s="32" t="s">
        <v>161</v>
      </c>
      <c r="C1041" s="1">
        <f>VLOOKUP(B1041,base!A:J,10,0)</f>
        <v>67992899434</v>
      </c>
      <c r="D1041" t="str">
        <f>VLOOKUP(B1041,base!A:C,3,0)</f>
        <v>62.955.505/1138-75</v>
      </c>
      <c r="E1041" s="37" t="s">
        <v>433</v>
      </c>
      <c r="F1041" t="s">
        <v>108</v>
      </c>
      <c r="G1041" s="4">
        <v>45962</v>
      </c>
      <c r="I1041" s="37" t="s">
        <v>435</v>
      </c>
      <c r="J1041">
        <v>410</v>
      </c>
      <c r="K1041" s="3">
        <v>547.85</v>
      </c>
      <c r="L1041" s="3">
        <v>461.99570000000006</v>
      </c>
      <c r="M1041" t="s">
        <v>1489</v>
      </c>
      <c r="N1041" s="3">
        <v>408.83</v>
      </c>
      <c r="O1041" s="3">
        <v>322.98</v>
      </c>
      <c r="P1041" s="4">
        <v>45996</v>
      </c>
      <c r="Q1041" s="175">
        <v>46006</v>
      </c>
      <c r="R1041" s="3">
        <v>322.98</v>
      </c>
      <c r="V1041" s="3" t="s">
        <v>1799</v>
      </c>
    </row>
    <row r="1042" spans="1:25" hidden="1" x14ac:dyDescent="0.3">
      <c r="A1042" t="str">
        <f>VLOOKUP(B1042,base!A:K,11,0)</f>
        <v>TRIFÁSICO</v>
      </c>
      <c r="B1042" s="32" t="s">
        <v>171</v>
      </c>
      <c r="C1042" s="1">
        <f>VLOOKUP(B1042,base!A:J,10,0)</f>
        <v>67996266684</v>
      </c>
      <c r="D1042" t="str">
        <f>VLOOKUP(B1042,base!A:C,3,0)</f>
        <v>62.955.505/3124-87</v>
      </c>
      <c r="E1042" s="37" t="s">
        <v>433</v>
      </c>
      <c r="F1042" t="s">
        <v>108</v>
      </c>
      <c r="G1042" s="4">
        <v>45962</v>
      </c>
      <c r="I1042" s="37" t="s">
        <v>435</v>
      </c>
      <c r="J1042">
        <v>509</v>
      </c>
      <c r="K1042" s="3">
        <v>634.18285714285696</v>
      </c>
      <c r="L1042" s="3">
        <v>521.34085714285698</v>
      </c>
      <c r="M1042" t="s">
        <v>1489</v>
      </c>
      <c r="N1042" s="3">
        <v>537.34285714285704</v>
      </c>
      <c r="O1042" s="3">
        <v>424.5</v>
      </c>
      <c r="P1042" s="4">
        <v>45996</v>
      </c>
      <c r="Q1042" s="175">
        <v>46006</v>
      </c>
      <c r="R1042" s="3">
        <v>424.5</v>
      </c>
      <c r="V1042" s="3" t="s">
        <v>568</v>
      </c>
      <c r="W1042" s="13">
        <v>424.5</v>
      </c>
      <c r="Y1042" s="175">
        <v>45999</v>
      </c>
    </row>
    <row r="1043" spans="1:25" hidden="1" x14ac:dyDescent="0.3">
      <c r="A1043" t="str">
        <f>VLOOKUP(B1043,base!A:K,11,0)</f>
        <v>TRIFÁSICO</v>
      </c>
      <c r="B1043" s="32" t="s">
        <v>290</v>
      </c>
      <c r="C1043" s="1">
        <f>VLOOKUP(B1043,base!A:J,10,0)</f>
        <v>67992637973</v>
      </c>
      <c r="D1043" t="str">
        <f>VLOOKUP(B1043,base!A:C,3,0)</f>
        <v>62.955.505/3544-81</v>
      </c>
      <c r="E1043" s="37" t="s">
        <v>433</v>
      </c>
      <c r="F1043" t="s">
        <v>108</v>
      </c>
      <c r="G1043" s="4">
        <v>45962</v>
      </c>
      <c r="I1043" s="37" t="s">
        <v>435</v>
      </c>
      <c r="J1043">
        <v>567</v>
      </c>
      <c r="K1043" s="3">
        <v>599.39000000000021</v>
      </c>
      <c r="L1043" s="3">
        <v>473.51810000000023</v>
      </c>
      <c r="M1043" t="s">
        <v>1489</v>
      </c>
      <c r="N1043" s="3">
        <v>599.3900000000001</v>
      </c>
      <c r="O1043" s="3">
        <v>473.52</v>
      </c>
      <c r="P1043" s="4">
        <v>45996</v>
      </c>
      <c r="Q1043" s="175">
        <v>46006</v>
      </c>
      <c r="R1043" s="3">
        <v>473.52</v>
      </c>
      <c r="V1043" s="3" t="s">
        <v>568</v>
      </c>
      <c r="W1043" s="13">
        <v>473.52</v>
      </c>
      <c r="Y1043" s="175">
        <v>46006</v>
      </c>
    </row>
    <row r="1044" spans="1:25" hidden="1" x14ac:dyDescent="0.3">
      <c r="A1044" t="str">
        <f>VLOOKUP(B1044,base!A:K,11,0)</f>
        <v>BIFÁSICO</v>
      </c>
      <c r="B1044" s="32" t="s">
        <v>130</v>
      </c>
      <c r="C1044" s="1" t="str">
        <f>VLOOKUP(B1044,base!A:J,10,0)</f>
        <v>67 91751433</v>
      </c>
      <c r="D1044" t="str">
        <f>VLOOKUP(B1044,base!A:C,3,0)</f>
        <v>62.955.505/0001-67</v>
      </c>
      <c r="E1044" s="37" t="s">
        <v>433</v>
      </c>
      <c r="F1044" t="s">
        <v>108</v>
      </c>
      <c r="G1044" s="4">
        <v>45962</v>
      </c>
      <c r="I1044" s="37" t="s">
        <v>435</v>
      </c>
      <c r="J1044">
        <v>343</v>
      </c>
      <c r="K1044" s="3">
        <v>395.83</v>
      </c>
      <c r="L1044" s="3">
        <v>324.00580000000002</v>
      </c>
      <c r="M1044" t="s">
        <v>1489</v>
      </c>
      <c r="N1044" s="3">
        <v>342.02</v>
      </c>
      <c r="O1044" s="3">
        <v>270.2</v>
      </c>
      <c r="P1044" s="4">
        <v>45996</v>
      </c>
      <c r="Q1044" s="175">
        <v>46006</v>
      </c>
      <c r="R1044" s="3">
        <v>270.2</v>
      </c>
      <c r="V1044" s="3" t="s">
        <v>1799</v>
      </c>
    </row>
    <row r="1045" spans="1:25" hidden="1" x14ac:dyDescent="0.3">
      <c r="A1045" t="str">
        <f>VLOOKUP(B1045,base!A:K,11,0)</f>
        <v>TRIFÁSICO</v>
      </c>
      <c r="B1045" s="32" t="s">
        <v>247</v>
      </c>
      <c r="C1045" s="1">
        <f>VLOOKUP(B1045,base!A:J,10,0)</f>
        <v>67999050448</v>
      </c>
      <c r="D1045" t="str">
        <f>VLOOKUP(B1045,base!A:C,3,0)</f>
        <v>62.955.505/3757-21</v>
      </c>
      <c r="E1045" s="37" t="s">
        <v>433</v>
      </c>
      <c r="F1045" t="s">
        <v>108</v>
      </c>
      <c r="G1045" s="4">
        <v>45962</v>
      </c>
      <c r="I1045" s="37" t="s">
        <v>435</v>
      </c>
      <c r="J1045">
        <v>350</v>
      </c>
      <c r="K1045" s="3">
        <v>531.45317073170736</v>
      </c>
      <c r="L1045" s="3">
        <v>453.84490487804891</v>
      </c>
      <c r="M1045" t="s">
        <v>1489</v>
      </c>
      <c r="N1045" s="3">
        <v>369.5631707317072</v>
      </c>
      <c r="O1045" s="3">
        <v>291.95</v>
      </c>
      <c r="P1045" s="4">
        <v>45999</v>
      </c>
      <c r="Q1045" s="175">
        <v>46009</v>
      </c>
      <c r="R1045" s="3">
        <v>291.95</v>
      </c>
      <c r="V1045" s="3" t="s">
        <v>1799</v>
      </c>
    </row>
    <row r="1046" spans="1:25" hidden="1" x14ac:dyDescent="0.3">
      <c r="A1046" t="str">
        <f>VLOOKUP(B1046,base!A:K,11,0)</f>
        <v>TRIFÁSICO</v>
      </c>
      <c r="B1046" s="32" t="s">
        <v>283</v>
      </c>
      <c r="C1046" s="1">
        <f>VLOOKUP(B1046,base!A:J,10,0)</f>
        <v>6796411024</v>
      </c>
      <c r="D1046" t="str">
        <f>VLOOKUP(B1046,base!A:C,3,0)</f>
        <v>62.955.505/1822-57</v>
      </c>
      <c r="E1046" s="37" t="s">
        <v>433</v>
      </c>
      <c r="F1046" t="s">
        <v>108</v>
      </c>
      <c r="G1046" s="4">
        <v>45962</v>
      </c>
      <c r="I1046" s="37" t="s">
        <v>435</v>
      </c>
      <c r="J1046">
        <v>316</v>
      </c>
      <c r="K1046" s="3">
        <v>506.60382978723408</v>
      </c>
      <c r="L1046" s="3">
        <v>436.52602553191491</v>
      </c>
      <c r="M1046" t="s">
        <v>1489</v>
      </c>
      <c r="N1046" s="3">
        <v>333.7038297872341</v>
      </c>
      <c r="O1046" s="3">
        <v>263.63</v>
      </c>
      <c r="P1046" s="4">
        <v>45996</v>
      </c>
      <c r="Q1046" s="175">
        <v>46006</v>
      </c>
      <c r="R1046" s="3">
        <v>263.63</v>
      </c>
      <c r="V1046" s="3" t="s">
        <v>568</v>
      </c>
      <c r="W1046" s="13">
        <v>263.63</v>
      </c>
      <c r="Y1046" s="175">
        <v>45999</v>
      </c>
    </row>
    <row r="1047" spans="1:25" hidden="1" x14ac:dyDescent="0.3">
      <c r="A1047" t="str">
        <f>VLOOKUP(B1047,base!A:K,11,0)</f>
        <v>TRIFÁSICO</v>
      </c>
      <c r="B1047" s="32" t="s">
        <v>266</v>
      </c>
      <c r="C1047" s="1">
        <f>VLOOKUP(B1047,base!A:J,10,0)</f>
        <v>67991060202</v>
      </c>
      <c r="D1047" t="str">
        <f>VLOOKUP(B1047,base!A:C,3,0)</f>
        <v>62.955.505/2132-33</v>
      </c>
      <c r="E1047" s="37" t="s">
        <v>433</v>
      </c>
      <c r="F1047" t="s">
        <v>108</v>
      </c>
      <c r="G1047" s="4">
        <v>45962</v>
      </c>
      <c r="I1047" s="37" t="s">
        <v>435</v>
      </c>
      <c r="J1047">
        <v>484</v>
      </c>
      <c r="K1047" s="3">
        <v>608.88222222222237</v>
      </c>
      <c r="L1047" s="3">
        <v>501.55075555555567</v>
      </c>
      <c r="M1047" t="s">
        <v>1489</v>
      </c>
      <c r="N1047" s="3">
        <v>512.02222222222224</v>
      </c>
      <c r="O1047" s="3">
        <v>404.69</v>
      </c>
      <c r="P1047" s="4">
        <v>45996</v>
      </c>
      <c r="Q1047" s="175">
        <v>46006</v>
      </c>
      <c r="R1047" s="3">
        <v>404.69</v>
      </c>
      <c r="V1047" s="3" t="s">
        <v>1799</v>
      </c>
    </row>
    <row r="1048" spans="1:25" hidden="1" x14ac:dyDescent="0.3">
      <c r="A1048" t="str">
        <f>VLOOKUP(B1048,base!A:K,11,0)</f>
        <v>BIFÁSICO</v>
      </c>
      <c r="B1048" s="32" t="s">
        <v>318</v>
      </c>
      <c r="C1048" s="1">
        <f>VLOOKUP(B1048,base!A:J,10,0)</f>
        <v>67999998719</v>
      </c>
      <c r="D1048" t="str">
        <f>VLOOKUP(B1048,base!A:C,3,0)</f>
        <v>62.955.505/0154-31</v>
      </c>
      <c r="E1048" s="37" t="s">
        <v>433</v>
      </c>
      <c r="F1048" t="s">
        <v>108</v>
      </c>
      <c r="G1048" s="4">
        <v>45962</v>
      </c>
      <c r="I1048" s="37" t="s">
        <v>435</v>
      </c>
      <c r="J1048">
        <v>627</v>
      </c>
      <c r="K1048" s="3">
        <v>799.13999999999987</v>
      </c>
      <c r="L1048" s="3">
        <v>667.85009999999988</v>
      </c>
      <c r="M1048" t="s">
        <v>1489</v>
      </c>
      <c r="N1048" s="3">
        <v>625.18999999999994</v>
      </c>
      <c r="O1048" s="3">
        <v>493.9</v>
      </c>
      <c r="P1048" s="4">
        <v>45999</v>
      </c>
      <c r="Q1048" s="175">
        <v>46009</v>
      </c>
      <c r="R1048" s="3">
        <v>493.9</v>
      </c>
      <c r="V1048" s="3" t="s">
        <v>1799</v>
      </c>
    </row>
    <row r="1049" spans="1:25" hidden="1" x14ac:dyDescent="0.3">
      <c r="A1049" t="str">
        <f>VLOOKUP(B1049,base!A:K,11,0)</f>
        <v>TRIFÁSICO</v>
      </c>
      <c r="B1049" s="32" t="s">
        <v>334</v>
      </c>
      <c r="C1049" s="1" t="str">
        <f>VLOOKUP(B1049,base!A:J,10,0)</f>
        <v>67 992491551</v>
      </c>
      <c r="D1049" t="str">
        <f>VLOOKUP(B1049,base!A:C,3,0)</f>
        <v>62.955.505/0159-46</v>
      </c>
      <c r="E1049" s="37" t="s">
        <v>433</v>
      </c>
      <c r="F1049" t="s">
        <v>108</v>
      </c>
      <c r="G1049" s="4">
        <v>45962</v>
      </c>
      <c r="I1049" s="37" t="s">
        <v>435</v>
      </c>
      <c r="J1049">
        <v>613</v>
      </c>
      <c r="K1049" s="3">
        <v>759.82999999999993</v>
      </c>
      <c r="L1049" s="3">
        <v>631.47379999999998</v>
      </c>
      <c r="M1049" t="s">
        <v>1489</v>
      </c>
      <c r="N1049" s="3">
        <v>665.38000000000011</v>
      </c>
      <c r="O1049" s="3">
        <v>537.02</v>
      </c>
      <c r="P1049" s="4">
        <v>45999</v>
      </c>
      <c r="Q1049" s="175">
        <v>46009</v>
      </c>
      <c r="R1049" s="3">
        <v>204.14</v>
      </c>
      <c r="V1049" s="37" t="s">
        <v>568</v>
      </c>
      <c r="W1049" s="13">
        <v>204.14</v>
      </c>
      <c r="X1049" s="124">
        <v>0</v>
      </c>
      <c r="Y1049" s="175">
        <v>45999</v>
      </c>
    </row>
    <row r="1050" spans="1:25" hidden="1" x14ac:dyDescent="0.3">
      <c r="A1050" t="str">
        <f>VLOOKUP(B1050,base!A:K,11,0)</f>
        <v>BIFÁSICO</v>
      </c>
      <c r="B1050" s="32" t="s">
        <v>353</v>
      </c>
      <c r="C1050" s="1">
        <f>VLOOKUP(B1050,base!A:J,10,0)</f>
        <v>0</v>
      </c>
      <c r="D1050" t="str">
        <f>VLOOKUP(B1050,base!A:C,3,0)</f>
        <v>62.955.505/0164-03</v>
      </c>
      <c r="E1050" s="37" t="s">
        <v>433</v>
      </c>
      <c r="F1050" t="s">
        <v>108</v>
      </c>
      <c r="G1050" s="4">
        <v>45962</v>
      </c>
      <c r="I1050" s="37" t="s">
        <v>435</v>
      </c>
      <c r="J1050">
        <v>177</v>
      </c>
      <c r="K1050" s="3">
        <v>238.86450000000002</v>
      </c>
      <c r="L1050" s="3">
        <v>199.62715500000002</v>
      </c>
      <c r="M1050" t="s">
        <v>1489</v>
      </c>
      <c r="N1050" s="3">
        <v>186.84450000000001</v>
      </c>
      <c r="O1050" s="3">
        <v>147.61000000000001</v>
      </c>
      <c r="P1050" s="4">
        <v>45999</v>
      </c>
      <c r="Q1050" s="175">
        <v>46009</v>
      </c>
      <c r="R1050" s="3">
        <v>147.61000000000001</v>
      </c>
      <c r="V1050" s="3" t="s">
        <v>568</v>
      </c>
      <c r="W1050" s="13">
        <v>147.61000000000001</v>
      </c>
      <c r="Y1050" s="175">
        <v>46006</v>
      </c>
    </row>
    <row r="1051" spans="1:25" hidden="1" x14ac:dyDescent="0.3">
      <c r="A1051" t="str">
        <f>VLOOKUP(B1051,base!A:K,11,0)</f>
        <v>TRIFÁSICO</v>
      </c>
      <c r="B1051" s="32" t="s">
        <v>264</v>
      </c>
      <c r="C1051" s="1">
        <f>VLOOKUP(B1051,base!A:J,10,0)</f>
        <v>67992876000</v>
      </c>
      <c r="D1051" t="str">
        <f>VLOOKUP(B1051,base!A:C,3,0)</f>
        <v>62.955.505/2488-86</v>
      </c>
      <c r="E1051" s="37" t="s">
        <v>433</v>
      </c>
      <c r="F1051" t="s">
        <v>108</v>
      </c>
      <c r="G1051" s="4">
        <v>45962</v>
      </c>
      <c r="I1051" s="37" t="s">
        <v>435</v>
      </c>
      <c r="J1051">
        <v>232</v>
      </c>
      <c r="K1051" s="3">
        <v>355.31573770491804</v>
      </c>
      <c r="L1051" s="3">
        <v>303.87713278688523</v>
      </c>
      <c r="M1051" t="s">
        <v>1489</v>
      </c>
      <c r="N1051" s="3">
        <v>244.94573770491806</v>
      </c>
      <c r="O1051" s="3">
        <v>193.51</v>
      </c>
      <c r="P1051" s="4">
        <v>45999</v>
      </c>
      <c r="Q1051" s="175">
        <v>46009</v>
      </c>
      <c r="R1051" s="3">
        <v>193.51</v>
      </c>
      <c r="V1051" s="3" t="s">
        <v>1799</v>
      </c>
    </row>
    <row r="1052" spans="1:25" hidden="1" x14ac:dyDescent="0.3">
      <c r="A1052" t="str">
        <f>VLOOKUP(B1052,base!A:K,11,0)</f>
        <v>BIFÁSICO</v>
      </c>
      <c r="B1052" s="32" t="s">
        <v>208</v>
      </c>
      <c r="C1052" s="1">
        <f>VLOOKUP(B1052,base!A:J,10,0)</f>
        <v>67996711972</v>
      </c>
      <c r="D1052" t="str">
        <f>VLOOKUP(B1052,base!A:C,3,0)</f>
        <v>62.955.505/0165-94</v>
      </c>
      <c r="E1052" s="37" t="s">
        <v>433</v>
      </c>
      <c r="F1052" t="s">
        <v>108</v>
      </c>
      <c r="G1052" s="4">
        <v>45962</v>
      </c>
      <c r="I1052" s="37" t="s">
        <v>435</v>
      </c>
      <c r="J1052">
        <v>344</v>
      </c>
      <c r="K1052" s="3">
        <v>461.74</v>
      </c>
      <c r="L1052" s="3">
        <v>389.71000000000004</v>
      </c>
      <c r="M1052" t="s">
        <v>1489</v>
      </c>
      <c r="N1052" s="3">
        <v>343</v>
      </c>
      <c r="O1052" s="3">
        <v>270.97000000000003</v>
      </c>
      <c r="P1052" s="4">
        <v>45996</v>
      </c>
      <c r="Q1052" s="175">
        <v>46006</v>
      </c>
      <c r="R1052" s="3">
        <v>270.97000000000003</v>
      </c>
      <c r="V1052" s="3" t="s">
        <v>1799</v>
      </c>
    </row>
    <row r="1053" spans="1:25" hidden="1" x14ac:dyDescent="0.3">
      <c r="A1053" t="str">
        <f>VLOOKUP(B1053,base!A:K,11,0)</f>
        <v>BIFÁSICO</v>
      </c>
      <c r="B1053" s="32" t="s">
        <v>240</v>
      </c>
      <c r="C1053" s="1">
        <f>VLOOKUP(B1053,base!A:J,10,0)</f>
        <v>67996135721</v>
      </c>
      <c r="D1053" t="str">
        <f>VLOOKUP(B1053,base!A:C,3,0)</f>
        <v>62.955.505/0154-31</v>
      </c>
      <c r="E1053" s="37" t="s">
        <v>433</v>
      </c>
      <c r="F1053" t="s">
        <v>108</v>
      </c>
      <c r="G1053" s="4">
        <v>45962</v>
      </c>
      <c r="I1053" s="37" t="s">
        <v>435</v>
      </c>
      <c r="J1053">
        <v>327</v>
      </c>
      <c r="K1053" s="3">
        <v>437.94</v>
      </c>
      <c r="L1053" s="3">
        <v>369.4674</v>
      </c>
      <c r="M1053" t="s">
        <v>1489</v>
      </c>
      <c r="N1053" s="3">
        <v>326.06</v>
      </c>
      <c r="O1053" s="3">
        <v>257.58999999999997</v>
      </c>
      <c r="P1053" s="4">
        <v>45999</v>
      </c>
      <c r="Q1053" s="175">
        <v>46009</v>
      </c>
      <c r="R1053" s="3">
        <v>257.58999999999997</v>
      </c>
      <c r="V1053" s="3" t="s">
        <v>568</v>
      </c>
      <c r="W1053" s="13">
        <v>257.58999999999997</v>
      </c>
      <c r="Y1053" s="175">
        <v>46006</v>
      </c>
    </row>
    <row r="1054" spans="1:25" hidden="1" x14ac:dyDescent="0.3">
      <c r="A1054" t="str">
        <f>VLOOKUP(B1054,base!A:K,11,0)</f>
        <v>TRIFÁSICO</v>
      </c>
      <c r="B1054" s="32" t="s">
        <v>274</v>
      </c>
      <c r="C1054" s="1">
        <f>VLOOKUP(B1054,base!A:J,10,0)</f>
        <v>67992021114</v>
      </c>
      <c r="D1054" t="str">
        <f>VLOOKUP(B1054,base!A:C,3,0)</f>
        <v>62.955.505/3574-05</v>
      </c>
      <c r="E1054" s="37" t="s">
        <v>433</v>
      </c>
      <c r="F1054" t="s">
        <v>108</v>
      </c>
      <c r="G1054" s="4">
        <v>45962</v>
      </c>
      <c r="I1054" s="37" t="s">
        <v>435</v>
      </c>
      <c r="J1054">
        <v>443</v>
      </c>
      <c r="K1054" s="3">
        <v>567.59840000000008</v>
      </c>
      <c r="L1054" s="3">
        <v>469.3670360000001</v>
      </c>
      <c r="M1054" t="s">
        <v>1489</v>
      </c>
      <c r="N1054" s="3">
        <v>467.7684000000001</v>
      </c>
      <c r="O1054" s="3">
        <v>369.54</v>
      </c>
      <c r="P1054" s="4">
        <v>45996</v>
      </c>
      <c r="Q1054" s="175">
        <v>46006</v>
      </c>
      <c r="R1054" s="3">
        <v>369.54</v>
      </c>
      <c r="V1054" s="3" t="s">
        <v>568</v>
      </c>
      <c r="W1054" s="13">
        <v>369.54</v>
      </c>
      <c r="Y1054" s="175">
        <v>45999</v>
      </c>
    </row>
    <row r="1055" spans="1:25" hidden="1" x14ac:dyDescent="0.3">
      <c r="A1055" t="str">
        <f>VLOOKUP(B1055,base!A:K,11,0)</f>
        <v>TRIFÁSICO</v>
      </c>
      <c r="B1055" s="32" t="s">
        <v>326</v>
      </c>
      <c r="C1055" s="1" t="str">
        <f>VLOOKUP(B1055,base!A:J,10,0)</f>
        <v>67 999373813</v>
      </c>
      <c r="D1055" t="str">
        <f>VLOOKUP(B1055,base!A:C,3,0)</f>
        <v>62.955.505/0585-99</v>
      </c>
      <c r="E1055" s="37" t="s">
        <v>433</v>
      </c>
      <c r="F1055" t="s">
        <v>108</v>
      </c>
      <c r="G1055" s="4">
        <v>45962</v>
      </c>
      <c r="I1055" s="37" t="s">
        <v>435</v>
      </c>
      <c r="J1055">
        <v>389</v>
      </c>
      <c r="K1055" s="3">
        <v>584.07676470588228</v>
      </c>
      <c r="L1055" s="3">
        <v>497.79474411764704</v>
      </c>
      <c r="M1055" t="s">
        <v>1489</v>
      </c>
      <c r="N1055" s="3">
        <v>410.8667647058823</v>
      </c>
      <c r="O1055" s="3">
        <v>324.58</v>
      </c>
      <c r="P1055" s="4">
        <v>45996</v>
      </c>
      <c r="Q1055" s="175">
        <v>46006</v>
      </c>
      <c r="R1055" s="3">
        <v>324.58</v>
      </c>
      <c r="V1055" s="3" t="s">
        <v>1799</v>
      </c>
    </row>
    <row r="1056" spans="1:25" hidden="1" x14ac:dyDescent="0.3">
      <c r="A1056" t="str">
        <f>VLOOKUP(B1056,base!A:K,11,0)</f>
        <v>TRIFÁSICO</v>
      </c>
      <c r="B1056" s="32" t="s">
        <v>330</v>
      </c>
      <c r="C1056" s="1" t="str">
        <f>VLOOKUP(B1056,base!A:J,10,0)</f>
        <v>67 984742936</v>
      </c>
      <c r="D1056" t="str">
        <f>VLOOKUP(B1056,base!A:C,3,0)</f>
        <v>62.955.505/0168-37</v>
      </c>
      <c r="E1056" s="37" t="s">
        <v>433</v>
      </c>
      <c r="F1056" t="s">
        <v>108</v>
      </c>
      <c r="G1056" s="4">
        <v>45962</v>
      </c>
      <c r="I1056" s="37" t="s">
        <v>435</v>
      </c>
      <c r="J1056">
        <v>341</v>
      </c>
      <c r="K1056" s="3">
        <v>517.7340476190476</v>
      </c>
      <c r="L1056" s="3">
        <v>442.12059761904766</v>
      </c>
      <c r="M1056" t="s">
        <v>1489</v>
      </c>
      <c r="N1056" s="3">
        <v>360.21404761904762</v>
      </c>
      <c r="O1056" s="3">
        <v>284.60000000000002</v>
      </c>
      <c r="P1056" s="4">
        <v>45996</v>
      </c>
      <c r="Q1056" s="175">
        <v>46006</v>
      </c>
      <c r="R1056" s="3">
        <v>284.60000000000002</v>
      </c>
      <c r="V1056" s="3" t="s">
        <v>568</v>
      </c>
      <c r="W1056" s="13">
        <v>284.60000000000002</v>
      </c>
      <c r="Y1056" s="175">
        <v>46006</v>
      </c>
    </row>
    <row r="1057" spans="1:25" hidden="1" x14ac:dyDescent="0.3">
      <c r="A1057" t="str">
        <f>VLOOKUP(B1057,base!A:K,11,0)</f>
        <v>TRIFÁSICO</v>
      </c>
      <c r="B1057" s="32" t="s">
        <v>151</v>
      </c>
      <c r="C1057" s="1">
        <f>VLOOKUP(B1057,base!A:J,10,0)</f>
        <v>67991133770</v>
      </c>
      <c r="D1057" t="str">
        <f>VLOOKUP(B1057,base!A:C,3,0)</f>
        <v>62.955.505/3358-51</v>
      </c>
      <c r="E1057" s="37" t="s">
        <v>433</v>
      </c>
      <c r="F1057" t="s">
        <v>108</v>
      </c>
      <c r="G1057" s="4">
        <v>45962</v>
      </c>
      <c r="I1057" s="37" t="s">
        <v>435</v>
      </c>
      <c r="J1057">
        <v>291</v>
      </c>
      <c r="K1057" s="3">
        <v>418.26058823529416</v>
      </c>
      <c r="L1057" s="3">
        <v>353.74216470588237</v>
      </c>
      <c r="M1057" t="s">
        <v>1489</v>
      </c>
      <c r="N1057" s="3">
        <v>307.23058823529414</v>
      </c>
      <c r="O1057" s="3">
        <v>242.71</v>
      </c>
      <c r="P1057" s="4">
        <v>45996</v>
      </c>
      <c r="Q1057" s="175">
        <v>46006</v>
      </c>
      <c r="R1057" s="3">
        <v>242.71</v>
      </c>
      <c r="V1057" s="3" t="s">
        <v>568</v>
      </c>
      <c r="W1057" s="13">
        <v>242.71</v>
      </c>
      <c r="Y1057" s="175">
        <v>45999</v>
      </c>
    </row>
    <row r="1058" spans="1:25" hidden="1" x14ac:dyDescent="0.3">
      <c r="A1058" t="str">
        <f>VLOOKUP(B1058,base!A:K,11,0)</f>
        <v>TRIFÁSICO</v>
      </c>
      <c r="B1058" s="32" t="s">
        <v>322</v>
      </c>
      <c r="C1058" s="1">
        <f>VLOOKUP(B1058,base!A:J,10,0)</f>
        <v>67998363594</v>
      </c>
      <c r="D1058" t="str">
        <f>VLOOKUP(B1058,base!A:C,3,0)</f>
        <v>62.955.505/1822-57</v>
      </c>
      <c r="E1058" s="37" t="s">
        <v>433</v>
      </c>
      <c r="F1058" t="s">
        <v>108</v>
      </c>
      <c r="G1058" s="4">
        <v>45962</v>
      </c>
      <c r="I1058" s="37" t="s">
        <v>435</v>
      </c>
      <c r="J1058">
        <v>197</v>
      </c>
      <c r="K1058" s="3">
        <v>386.31537313432835</v>
      </c>
      <c r="L1058" s="3">
        <v>342.63634477611942</v>
      </c>
      <c r="M1058" t="s">
        <v>1489</v>
      </c>
      <c r="N1058" s="3">
        <v>207.93537313432839</v>
      </c>
      <c r="O1058" s="3">
        <v>164.26</v>
      </c>
      <c r="P1058" s="4">
        <v>45996</v>
      </c>
      <c r="Q1058" s="175">
        <v>46006</v>
      </c>
      <c r="R1058" s="3">
        <v>164.26</v>
      </c>
      <c r="V1058" s="3" t="s">
        <v>568</v>
      </c>
      <c r="W1058" s="13">
        <v>164.26</v>
      </c>
      <c r="Y1058" s="175">
        <v>46007</v>
      </c>
    </row>
    <row r="1059" spans="1:25" hidden="1" x14ac:dyDescent="0.3">
      <c r="A1059" t="str">
        <f>VLOOKUP(B1059,base!A:K,11,0)</f>
        <v>BIFÁSICO</v>
      </c>
      <c r="B1059" s="32" t="s">
        <v>257</v>
      </c>
      <c r="C1059" s="1">
        <f>VLOOKUP(B1059,base!A:J,10,0)</f>
        <v>67993249456</v>
      </c>
      <c r="D1059" t="str">
        <f>VLOOKUP(B1059,base!A:C,3,0)</f>
        <v>62.955.505/2391-19</v>
      </c>
      <c r="E1059" s="37" t="s">
        <v>433</v>
      </c>
      <c r="F1059" t="s">
        <v>108</v>
      </c>
      <c r="G1059" s="4">
        <v>45962</v>
      </c>
      <c r="I1059" s="37" t="s">
        <v>435</v>
      </c>
      <c r="J1059">
        <v>231</v>
      </c>
      <c r="K1059" s="3">
        <v>294.87</v>
      </c>
      <c r="L1059" s="3">
        <v>243.63419999999996</v>
      </c>
      <c r="M1059" t="s">
        <v>1489</v>
      </c>
      <c r="N1059" s="3">
        <v>240.96999999999997</v>
      </c>
      <c r="O1059" s="3">
        <v>189.73</v>
      </c>
      <c r="P1059" s="4">
        <v>45996</v>
      </c>
      <c r="Q1059" s="175">
        <v>46006</v>
      </c>
      <c r="R1059" s="3">
        <v>189.73</v>
      </c>
      <c r="V1059" s="3" t="s">
        <v>1799</v>
      </c>
    </row>
    <row r="1060" spans="1:25" hidden="1" x14ac:dyDescent="0.3">
      <c r="A1060" t="str">
        <f>VLOOKUP(B1060,base!A:K,11,0)</f>
        <v>BIFÁSICO</v>
      </c>
      <c r="B1060" s="32" t="s">
        <v>158</v>
      </c>
      <c r="C1060" s="1">
        <f>VLOOKUP(B1060,base!A:J,10,0)</f>
        <v>67996266684</v>
      </c>
      <c r="D1060" t="str">
        <f>VLOOKUP(B1060,base!A:C,3,0)</f>
        <v>62.955.505/1975-21</v>
      </c>
      <c r="E1060" s="37" t="s">
        <v>433</v>
      </c>
      <c r="F1060" t="s">
        <v>108</v>
      </c>
      <c r="G1060" s="4">
        <v>45962</v>
      </c>
      <c r="I1060" s="37" t="s">
        <v>435</v>
      </c>
      <c r="J1060">
        <v>267</v>
      </c>
      <c r="K1060" s="3">
        <v>329.64600000000007</v>
      </c>
      <c r="L1060" s="3">
        <v>270.48564000000005</v>
      </c>
      <c r="M1060" t="s">
        <v>1489</v>
      </c>
      <c r="N1060" s="3">
        <v>281.33600000000007</v>
      </c>
      <c r="O1060" s="3">
        <v>222.18</v>
      </c>
      <c r="P1060" s="4">
        <v>45996</v>
      </c>
      <c r="Q1060" s="175">
        <v>46006</v>
      </c>
      <c r="R1060" s="3">
        <v>222.18</v>
      </c>
      <c r="V1060" s="3" t="s">
        <v>568</v>
      </c>
      <c r="W1060" s="13">
        <v>222.18</v>
      </c>
      <c r="Y1060" s="175">
        <v>46006</v>
      </c>
    </row>
    <row r="1061" spans="1:25" hidden="1" x14ac:dyDescent="0.3">
      <c r="A1061" t="str">
        <f>VLOOKUP(B1061,base!A:K,11,0)</f>
        <v>BIFÁSICO</v>
      </c>
      <c r="B1061" s="32" t="s">
        <v>153</v>
      </c>
      <c r="C1061" s="1">
        <f>VLOOKUP(B1061,base!A:J,10,0)</f>
        <v>67996446178</v>
      </c>
      <c r="D1061" t="str">
        <f>VLOOKUP(B1061,base!A:C,3,0)</f>
        <v>62.955.505/4051-40</v>
      </c>
      <c r="E1061" s="37" t="s">
        <v>433</v>
      </c>
      <c r="F1061" t="s">
        <v>108</v>
      </c>
      <c r="G1061" s="4">
        <v>45962</v>
      </c>
      <c r="I1061" s="37" t="s">
        <v>435</v>
      </c>
      <c r="J1061">
        <v>231</v>
      </c>
      <c r="K1061" s="3">
        <v>316.88</v>
      </c>
      <c r="L1061" s="3">
        <v>265.64419999999996</v>
      </c>
      <c r="M1061" t="s">
        <v>1489</v>
      </c>
      <c r="N1061" s="3">
        <v>243.98</v>
      </c>
      <c r="O1061" s="3">
        <v>192.74</v>
      </c>
      <c r="P1061" s="4">
        <v>45996</v>
      </c>
      <c r="Q1061" s="175">
        <v>46006</v>
      </c>
      <c r="R1061" s="3">
        <v>192.74</v>
      </c>
      <c r="V1061" s="3" t="s">
        <v>1799</v>
      </c>
    </row>
    <row r="1062" spans="1:25" hidden="1" x14ac:dyDescent="0.3">
      <c r="A1062" t="str">
        <f>VLOOKUP(B1062,base!A:K,11,0)</f>
        <v>TRIFÁSICO</v>
      </c>
      <c r="B1062" s="32" t="s">
        <v>307</v>
      </c>
      <c r="C1062" s="1">
        <f>VLOOKUP(B1062,base!A:J,10,0)</f>
        <v>67996983476</v>
      </c>
      <c r="D1062" t="str">
        <f>VLOOKUP(B1062,base!A:C,3,0)</f>
        <v>62.955.505/1822-57</v>
      </c>
      <c r="E1062" s="37" t="s">
        <v>433</v>
      </c>
      <c r="F1062" t="s">
        <v>108</v>
      </c>
      <c r="G1062" s="4">
        <v>45962</v>
      </c>
      <c r="I1062" s="37" t="s">
        <v>435</v>
      </c>
      <c r="J1062">
        <v>140</v>
      </c>
      <c r="K1062" s="3">
        <v>315.20999999999992</v>
      </c>
      <c r="L1062" s="3">
        <v>284.17199999999997</v>
      </c>
      <c r="M1062" t="s">
        <v>1489</v>
      </c>
      <c r="N1062" s="3">
        <v>147.79999999999998</v>
      </c>
      <c r="O1062" s="3">
        <v>116.76</v>
      </c>
      <c r="P1062" s="4">
        <v>45996</v>
      </c>
      <c r="Q1062" s="175">
        <v>46006</v>
      </c>
      <c r="R1062" s="3">
        <v>116.76</v>
      </c>
      <c r="V1062" s="3" t="s">
        <v>568</v>
      </c>
      <c r="W1062" s="13">
        <v>116.76</v>
      </c>
      <c r="Y1062" s="175">
        <v>46006</v>
      </c>
    </row>
    <row r="1063" spans="1:25" hidden="1" x14ac:dyDescent="0.3">
      <c r="A1063" t="str">
        <f>VLOOKUP(B1063,base!A:K,11,0)</f>
        <v>TRIFÁSICO</v>
      </c>
      <c r="B1063" s="32" t="s">
        <v>146</v>
      </c>
      <c r="C1063" s="1">
        <f>VLOOKUP(B1063,base!A:J,10,0)</f>
        <v>67991306665</v>
      </c>
      <c r="D1063" t="str">
        <f>VLOOKUP(B1063,base!A:C,3,0)</f>
        <v>62.955.505/3793-95</v>
      </c>
      <c r="E1063" s="37" t="s">
        <v>433</v>
      </c>
      <c r="F1063" t="s">
        <v>108</v>
      </c>
      <c r="G1063" s="4">
        <v>45962</v>
      </c>
      <c r="I1063" s="37" t="s">
        <v>435</v>
      </c>
      <c r="J1063">
        <v>325</v>
      </c>
      <c r="K1063" s="3">
        <v>448.76888888888897</v>
      </c>
      <c r="L1063" s="3">
        <v>376.69712222222233</v>
      </c>
      <c r="M1063" t="s">
        <v>1489</v>
      </c>
      <c r="N1063" s="3">
        <v>343.19888888888886</v>
      </c>
      <c r="O1063" s="3">
        <v>271.13</v>
      </c>
      <c r="P1063" s="4">
        <v>45999</v>
      </c>
      <c r="Q1063" s="175">
        <v>46009</v>
      </c>
      <c r="R1063" s="3">
        <v>271.13</v>
      </c>
      <c r="V1063" s="3" t="s">
        <v>568</v>
      </c>
      <c r="W1063" s="13">
        <v>271.13</v>
      </c>
      <c r="Y1063" s="175">
        <v>46006</v>
      </c>
    </row>
    <row r="1064" spans="1:25" hidden="1" x14ac:dyDescent="0.3">
      <c r="A1064" t="str">
        <f>VLOOKUP(B1064,base!A:K,11,0)</f>
        <v>BIFÁSICO</v>
      </c>
      <c r="B1064" s="32" t="s">
        <v>280</v>
      </c>
      <c r="C1064" s="1">
        <f>VLOOKUP(B1064,base!A:J,10,0)</f>
        <v>67998302932</v>
      </c>
      <c r="D1064" t="str">
        <f>VLOOKUP(B1064,base!A:C,3,0)</f>
        <v>62.955.505/0155-12</v>
      </c>
      <c r="E1064" s="37" t="s">
        <v>433</v>
      </c>
      <c r="F1064" t="s">
        <v>108</v>
      </c>
      <c r="G1064" s="4">
        <v>45962</v>
      </c>
      <c r="I1064" s="37" t="s">
        <v>435</v>
      </c>
      <c r="J1064">
        <v>208</v>
      </c>
      <c r="K1064" s="3">
        <v>326.92399999999998</v>
      </c>
      <c r="L1064" s="3">
        <v>280.83656000000002</v>
      </c>
      <c r="M1064" t="s">
        <v>1489</v>
      </c>
      <c r="N1064" s="3">
        <v>219.464</v>
      </c>
      <c r="O1064" s="3">
        <v>173.38</v>
      </c>
      <c r="P1064" s="4">
        <v>45996</v>
      </c>
      <c r="Q1064" s="175">
        <v>46006</v>
      </c>
      <c r="R1064" s="3">
        <v>173.38</v>
      </c>
      <c r="V1064" s="3" t="s">
        <v>1799</v>
      </c>
    </row>
    <row r="1065" spans="1:25" hidden="1" x14ac:dyDescent="0.3">
      <c r="A1065" t="str">
        <f>VLOOKUP(B1065,base!A:K,11,0)</f>
        <v>TRIFÁSICO</v>
      </c>
      <c r="B1065" s="32" t="s">
        <v>230</v>
      </c>
      <c r="C1065" s="1" t="str">
        <f>VLOOKUP(B1065,base!A:J,10,0)</f>
        <v>67 81355403</v>
      </c>
      <c r="D1065" t="str">
        <f>VLOOKUP(B1065,base!A:C,3,0)</f>
        <v>62.955.505/8432-53</v>
      </c>
      <c r="E1065" s="37" t="s">
        <v>433</v>
      </c>
      <c r="F1065" t="s">
        <v>108</v>
      </c>
      <c r="G1065" s="4">
        <v>45962</v>
      </c>
      <c r="I1065" s="37" t="s">
        <v>435</v>
      </c>
      <c r="J1065">
        <v>169</v>
      </c>
      <c r="K1065" s="3">
        <v>325.35527777777781</v>
      </c>
      <c r="L1065" s="3">
        <v>287.88596944444447</v>
      </c>
      <c r="M1065" t="s">
        <v>1489</v>
      </c>
      <c r="N1065" s="3">
        <v>178.42527777777781</v>
      </c>
      <c r="O1065" s="3">
        <v>140.96</v>
      </c>
      <c r="P1065" s="4">
        <v>45996</v>
      </c>
      <c r="Q1065" s="175">
        <v>46006</v>
      </c>
      <c r="R1065" s="3">
        <v>140.96</v>
      </c>
      <c r="V1065" s="3" t="s">
        <v>568</v>
      </c>
      <c r="W1065" s="13">
        <v>140.96</v>
      </c>
      <c r="Y1065" s="175">
        <v>46000</v>
      </c>
    </row>
    <row r="1066" spans="1:25" hidden="1" x14ac:dyDescent="0.3">
      <c r="A1066" t="str">
        <f>VLOOKUP(B1066,base!A:K,11,0)</f>
        <v>TRIFÁSICO</v>
      </c>
      <c r="B1066" s="32" t="s">
        <v>343</v>
      </c>
      <c r="C1066" s="1">
        <f>VLOOKUP(B1066,base!A:J,10,0)</f>
        <v>67992637973</v>
      </c>
      <c r="D1066" t="str">
        <f>VLOOKUP(B1066,base!A:C,3,0)</f>
        <v>62.955.505/3586-30</v>
      </c>
      <c r="E1066" s="37" t="s">
        <v>433</v>
      </c>
      <c r="F1066" t="s">
        <v>108</v>
      </c>
      <c r="G1066" s="4">
        <v>45962</v>
      </c>
      <c r="I1066" s="37" t="s">
        <v>435</v>
      </c>
      <c r="J1066">
        <v>79</v>
      </c>
      <c r="K1066" s="3">
        <v>237.98103448275862</v>
      </c>
      <c r="L1066" s="3">
        <v>220.46681724137932</v>
      </c>
      <c r="M1066" t="s">
        <v>1489</v>
      </c>
      <c r="N1066" s="3">
        <v>83.401034482758604</v>
      </c>
      <c r="O1066" s="3">
        <v>65.89</v>
      </c>
      <c r="P1066" s="4">
        <v>45996</v>
      </c>
      <c r="Q1066" s="175">
        <v>46006</v>
      </c>
      <c r="R1066" s="3">
        <v>65.89</v>
      </c>
      <c r="V1066" s="3" t="s">
        <v>568</v>
      </c>
      <c r="W1066" s="13">
        <v>65.89</v>
      </c>
      <c r="Y1066" s="175">
        <v>46003</v>
      </c>
    </row>
    <row r="1067" spans="1:25" hidden="1" x14ac:dyDescent="0.3">
      <c r="A1067" t="str">
        <f>VLOOKUP(B1067,base!A:K,11,0)</f>
        <v>TRIFÁSICO</v>
      </c>
      <c r="B1067" s="32" t="s">
        <v>242</v>
      </c>
      <c r="C1067" s="1">
        <f>VLOOKUP(B1067,base!A:J,10,0)</f>
        <v>67996266684</v>
      </c>
      <c r="D1067" t="str">
        <f>VLOOKUP(B1067,base!A:C,3,0)</f>
        <v>62.955.505/3124-87</v>
      </c>
      <c r="E1067" s="37" t="s">
        <v>433</v>
      </c>
      <c r="F1067" t="s">
        <v>108</v>
      </c>
      <c r="G1067" s="4">
        <v>45962</v>
      </c>
      <c r="I1067" s="37" t="s">
        <v>435</v>
      </c>
      <c r="J1067">
        <v>0</v>
      </c>
      <c r="K1067" s="3">
        <v>145.93</v>
      </c>
      <c r="L1067" s="3">
        <v>145.93</v>
      </c>
      <c r="M1067" t="s">
        <v>1536</v>
      </c>
      <c r="N1067" s="3">
        <v>-1.0009999999999999E-7</v>
      </c>
      <c r="O1067" s="3">
        <v>0</v>
      </c>
      <c r="P1067" s="4">
        <v>45996</v>
      </c>
      <c r="Q1067" s="175">
        <v>46006</v>
      </c>
      <c r="R1067" s="3">
        <v>0</v>
      </c>
      <c r="S1067" s="13" t="s">
        <v>1149</v>
      </c>
      <c r="V1067" s="3" t="s">
        <v>438</v>
      </c>
    </row>
    <row r="1068" spans="1:25" hidden="1" x14ac:dyDescent="0.3">
      <c r="A1068" t="str">
        <f>VLOOKUP(B1068,base!A:K,11,0)</f>
        <v>TRIFÁSICO</v>
      </c>
      <c r="B1068" s="32" t="s">
        <v>232</v>
      </c>
      <c r="C1068" s="1" t="str">
        <f>VLOOKUP(B1068,base!A:J,10,0)</f>
        <v>16 988508102</v>
      </c>
      <c r="D1068" t="str">
        <f>VLOOKUP(B1068,base!A:C,3,0)</f>
        <v>62.955.505/2876-01</v>
      </c>
      <c r="E1068" s="37" t="s">
        <v>433</v>
      </c>
      <c r="F1068" t="s">
        <v>108</v>
      </c>
      <c r="G1068" s="4">
        <v>45962</v>
      </c>
      <c r="I1068" s="37" t="s">
        <v>435</v>
      </c>
      <c r="J1068">
        <v>102</v>
      </c>
      <c r="K1068" s="3">
        <v>258.20481927710847</v>
      </c>
      <c r="L1068" s="3">
        <v>235.5889072289157</v>
      </c>
      <c r="M1068" t="s">
        <v>1489</v>
      </c>
      <c r="N1068" s="3">
        <v>107.69481927710842</v>
      </c>
      <c r="O1068" s="3">
        <v>85.08</v>
      </c>
      <c r="P1068" s="4">
        <v>45996</v>
      </c>
      <c r="Q1068" s="175">
        <v>46006</v>
      </c>
      <c r="R1068" s="3">
        <v>85.08</v>
      </c>
      <c r="V1068" s="3" t="s">
        <v>568</v>
      </c>
      <c r="W1068" s="13">
        <v>85.08</v>
      </c>
      <c r="Y1068" s="175">
        <v>37599</v>
      </c>
    </row>
    <row r="1069" spans="1:25" hidden="1" x14ac:dyDescent="0.3">
      <c r="A1069" t="str">
        <f>VLOOKUP(B1069,base!A:K,11,0)</f>
        <v>TRIFÁSICO</v>
      </c>
      <c r="B1069" s="32" t="s">
        <v>211</v>
      </c>
      <c r="C1069" s="1">
        <f>VLOOKUP(B1069,base!A:J,10,0)</f>
        <v>67996266684</v>
      </c>
      <c r="D1069" t="str">
        <f>VLOOKUP(B1069,base!A:C,3,0)</f>
        <v>62.955.505/1570-66</v>
      </c>
      <c r="E1069" s="37" t="s">
        <v>433</v>
      </c>
      <c r="F1069" t="s">
        <v>108</v>
      </c>
      <c r="G1069" s="4">
        <v>45962</v>
      </c>
      <c r="I1069" s="37" t="s">
        <v>435</v>
      </c>
      <c r="J1069">
        <v>149</v>
      </c>
      <c r="K1069" s="3">
        <v>274.47133333333335</v>
      </c>
      <c r="L1069" s="3">
        <v>241.43595333333334</v>
      </c>
      <c r="M1069" t="s">
        <v>1489</v>
      </c>
      <c r="N1069" s="3">
        <v>157.31133333333335</v>
      </c>
      <c r="O1069" s="3">
        <v>124.28</v>
      </c>
      <c r="P1069" s="4">
        <v>45996</v>
      </c>
      <c r="Q1069" s="175">
        <v>46006</v>
      </c>
      <c r="R1069" s="3">
        <v>124.28</v>
      </c>
      <c r="V1069" s="3" t="s">
        <v>568</v>
      </c>
      <c r="W1069" s="13">
        <v>124.28</v>
      </c>
      <c r="Y1069" s="175">
        <v>46001</v>
      </c>
    </row>
    <row r="1070" spans="1:25" hidden="1" x14ac:dyDescent="0.3">
      <c r="A1070" t="str">
        <f>VLOOKUP(B1070,base!A:K,11,0)</f>
        <v>BIFÁSICO</v>
      </c>
      <c r="B1070" s="32" t="s">
        <v>348</v>
      </c>
      <c r="C1070" s="1">
        <f>VLOOKUP(B1070,base!A:J,10,0)</f>
        <v>67996150274</v>
      </c>
      <c r="D1070" t="str">
        <f>VLOOKUP(B1070,base!A:C,3,0)</f>
        <v>62.955.505/8979-30</v>
      </c>
      <c r="E1070" s="37" t="s">
        <v>433</v>
      </c>
      <c r="F1070" t="s">
        <v>108</v>
      </c>
      <c r="G1070" s="4">
        <v>45962</v>
      </c>
      <c r="I1070" s="37" t="s">
        <v>435</v>
      </c>
      <c r="J1070">
        <v>172</v>
      </c>
      <c r="K1070" s="3">
        <v>606.70251612903223</v>
      </c>
      <c r="L1070" s="3">
        <v>568.56598774193549</v>
      </c>
      <c r="M1070" t="s">
        <v>1489</v>
      </c>
      <c r="N1070" s="3">
        <v>181.60251612903227</v>
      </c>
      <c r="O1070" s="3">
        <v>143.47</v>
      </c>
      <c r="P1070" s="4">
        <v>45996</v>
      </c>
      <c r="Q1070" s="175">
        <v>46006</v>
      </c>
      <c r="R1070" s="3">
        <v>143.47</v>
      </c>
      <c r="V1070" s="3" t="s">
        <v>568</v>
      </c>
      <c r="W1070" s="13">
        <v>143.47</v>
      </c>
      <c r="Y1070" s="175">
        <v>46000</v>
      </c>
    </row>
    <row r="1071" spans="1:25" hidden="1" x14ac:dyDescent="0.3">
      <c r="A1071" t="str">
        <f>VLOOKUP(B1071,base!A:K,11,0)</f>
        <v>TRIFÁSICO</v>
      </c>
      <c r="B1071" s="32" t="s">
        <v>213</v>
      </c>
      <c r="C1071" s="1">
        <f>VLOOKUP(B1071,base!A:J,10,0)</f>
        <v>67992637973</v>
      </c>
      <c r="D1071" t="str">
        <f>VLOOKUP(B1071,base!A:C,3,0)</f>
        <v>62.955.505/2740-20</v>
      </c>
      <c r="E1071" s="37" t="s">
        <v>433</v>
      </c>
      <c r="F1071" t="s">
        <v>108</v>
      </c>
      <c r="G1071" s="4">
        <v>45962</v>
      </c>
      <c r="I1071" s="37" t="s">
        <v>435</v>
      </c>
      <c r="J1071">
        <v>359</v>
      </c>
      <c r="K1071" s="3">
        <v>532.00974358974361</v>
      </c>
      <c r="L1071" s="3">
        <v>452.40929743589743</v>
      </c>
      <c r="M1071" t="s">
        <v>1489</v>
      </c>
      <c r="N1071" s="3">
        <v>379.04974358974363</v>
      </c>
      <c r="O1071" s="3">
        <v>299.45</v>
      </c>
      <c r="P1071" s="4">
        <v>45996</v>
      </c>
      <c r="Q1071" s="175">
        <v>46006</v>
      </c>
      <c r="R1071" s="3">
        <v>299.45</v>
      </c>
      <c r="V1071" s="3" t="s">
        <v>568</v>
      </c>
      <c r="W1071" s="13">
        <v>299.45</v>
      </c>
      <c r="Y1071" s="175">
        <v>46006</v>
      </c>
    </row>
    <row r="1072" spans="1:25" hidden="1" x14ac:dyDescent="0.3">
      <c r="A1072" t="str">
        <f>VLOOKUP(B1072,base!A:K,11,0)</f>
        <v>TRIFÁSICO</v>
      </c>
      <c r="B1072" s="32" t="s">
        <v>324</v>
      </c>
      <c r="C1072" s="1">
        <f>VLOOKUP(B1072,base!A:J,10,0)</f>
        <v>67996071169</v>
      </c>
      <c r="D1072" t="str">
        <f>VLOOKUP(B1072,base!A:C,3,0)</f>
        <v>62.955.505/1364-92</v>
      </c>
      <c r="E1072" s="37" t="s">
        <v>433</v>
      </c>
      <c r="F1072" t="s">
        <v>108</v>
      </c>
      <c r="G1072" s="4">
        <v>45962</v>
      </c>
      <c r="I1072" s="37" t="s">
        <v>435</v>
      </c>
      <c r="J1072">
        <v>150</v>
      </c>
      <c r="K1072" s="3">
        <v>322.18999999999994</v>
      </c>
      <c r="L1072" s="3">
        <v>288.93229999999994</v>
      </c>
      <c r="M1072" t="s">
        <v>1489</v>
      </c>
      <c r="N1072" s="3">
        <v>158.36999999999998</v>
      </c>
      <c r="O1072" s="3">
        <v>125.11</v>
      </c>
      <c r="P1072" s="4">
        <v>45996</v>
      </c>
      <c r="Q1072" s="175">
        <v>46006</v>
      </c>
      <c r="R1072" s="3">
        <v>125.11</v>
      </c>
      <c r="V1072" s="3" t="s">
        <v>568</v>
      </c>
      <c r="W1072" s="13">
        <v>125.11</v>
      </c>
      <c r="Y1072" s="175">
        <v>46006</v>
      </c>
    </row>
    <row r="1073" spans="1:25" hidden="1" x14ac:dyDescent="0.3">
      <c r="A1073" t="str">
        <f>VLOOKUP(B1073,base!A:K,11,0)</f>
        <v>BIFÁSICO</v>
      </c>
      <c r="B1073" s="32" t="s">
        <v>137</v>
      </c>
      <c r="C1073" s="1">
        <f>VLOOKUP(B1073,base!A:J,10,0)</f>
        <v>67992637973</v>
      </c>
      <c r="D1073" t="str">
        <f>VLOOKUP(B1073,base!A:C,3,0)</f>
        <v>62.955.505/0408-94</v>
      </c>
      <c r="E1073" s="37" t="s">
        <v>433</v>
      </c>
      <c r="F1073" t="s">
        <v>108</v>
      </c>
      <c r="G1073" s="4">
        <v>45962</v>
      </c>
      <c r="I1073" s="37" t="s">
        <v>435</v>
      </c>
      <c r="J1073">
        <v>185</v>
      </c>
      <c r="K1073" s="3">
        <v>215.87789473684211</v>
      </c>
      <c r="L1073" s="3">
        <v>174.87163684210532</v>
      </c>
      <c r="M1073" t="s">
        <v>1489</v>
      </c>
      <c r="N1073" s="3">
        <v>195.26789473684209</v>
      </c>
      <c r="O1073" s="3">
        <v>154.26</v>
      </c>
      <c r="P1073" s="4">
        <v>45999</v>
      </c>
      <c r="Q1073" s="175">
        <v>46009</v>
      </c>
      <c r="R1073" s="3">
        <v>154.26</v>
      </c>
      <c r="V1073" s="3" t="s">
        <v>1799</v>
      </c>
    </row>
    <row r="1074" spans="1:25" hidden="1" x14ac:dyDescent="0.3">
      <c r="A1074" t="str">
        <f>VLOOKUP(B1074,base!A:K,11,0)</f>
        <v>TRIFÁSICO</v>
      </c>
      <c r="B1074" s="32" t="s">
        <v>292</v>
      </c>
      <c r="C1074" s="1">
        <f>VLOOKUP(B1074,base!A:J,10,0)</f>
        <v>67996446178</v>
      </c>
      <c r="D1074" t="str">
        <f>VLOOKUP(B1074,base!A:C,3,0)</f>
        <v>62.955.505/8873-82</v>
      </c>
      <c r="E1074" s="37" t="s">
        <v>433</v>
      </c>
      <c r="F1074" t="s">
        <v>108</v>
      </c>
      <c r="G1074" s="4">
        <v>45962</v>
      </c>
      <c r="I1074" s="37" t="s">
        <v>435</v>
      </c>
      <c r="J1074">
        <v>14</v>
      </c>
      <c r="K1074" s="3">
        <v>140.83000000000001</v>
      </c>
      <c r="L1074" s="3">
        <v>137.72620000000001</v>
      </c>
      <c r="M1074" t="s">
        <v>1489</v>
      </c>
      <c r="N1074" s="3">
        <v>14.779999899899998</v>
      </c>
      <c r="O1074" s="3">
        <v>11.68</v>
      </c>
      <c r="P1074" s="4">
        <v>45996</v>
      </c>
      <c r="Q1074" s="175">
        <v>46006</v>
      </c>
      <c r="R1074" s="3">
        <v>11.68</v>
      </c>
      <c r="V1074" s="3" t="s">
        <v>1799</v>
      </c>
    </row>
    <row r="1075" spans="1:25" hidden="1" x14ac:dyDescent="0.3">
      <c r="A1075" t="str">
        <f>VLOOKUP(B1075,base!A:K,11,0)</f>
        <v>BIFÁSICO</v>
      </c>
      <c r="B1075" s="32" t="s">
        <v>309</v>
      </c>
      <c r="C1075" s="1">
        <f>VLOOKUP(B1075,base!A:J,10,0)</f>
        <v>67999516782</v>
      </c>
      <c r="D1075" t="str">
        <f>VLOOKUP(B1075,base!A:C,3,0)</f>
        <v>62.955.505/3671-17</v>
      </c>
      <c r="E1075" s="37" t="s">
        <v>433</v>
      </c>
      <c r="F1075" t="s">
        <v>108</v>
      </c>
      <c r="G1075" s="4">
        <v>45962</v>
      </c>
      <c r="I1075" s="37" t="s">
        <v>435</v>
      </c>
      <c r="J1075">
        <v>75</v>
      </c>
      <c r="K1075" s="3">
        <v>165.61131578947374</v>
      </c>
      <c r="L1075" s="3">
        <v>148.98113947368427</v>
      </c>
      <c r="M1075" t="s">
        <v>1489</v>
      </c>
      <c r="N1075" s="3">
        <v>79.191315789473677</v>
      </c>
      <c r="O1075" s="3">
        <v>62.56</v>
      </c>
      <c r="P1075" s="4">
        <v>45996</v>
      </c>
      <c r="Q1075" s="175">
        <v>46006</v>
      </c>
      <c r="R1075" s="3">
        <v>62.56</v>
      </c>
      <c r="V1075" s="3" t="s">
        <v>1799</v>
      </c>
    </row>
    <row r="1076" spans="1:25" hidden="1" x14ac:dyDescent="0.3">
      <c r="A1076" t="str">
        <f>VLOOKUP(B1076,base!A:K,11,0)</f>
        <v>BIFÁSICO</v>
      </c>
      <c r="B1076" s="32" t="s">
        <v>192</v>
      </c>
      <c r="C1076" s="1">
        <f>VLOOKUP(B1076,base!A:J,10,0)</f>
        <v>67999516782</v>
      </c>
      <c r="D1076" t="str">
        <f>VLOOKUP(B1076,base!A:C,3,0)</f>
        <v>62.955.505/1344-49</v>
      </c>
      <c r="E1076" s="37" t="s">
        <v>433</v>
      </c>
      <c r="F1076" t="s">
        <v>108</v>
      </c>
      <c r="G1076" s="4">
        <v>45962</v>
      </c>
      <c r="I1076" s="37" t="s">
        <v>435</v>
      </c>
      <c r="J1076">
        <v>43</v>
      </c>
      <c r="K1076" s="3">
        <v>124.17999999999999</v>
      </c>
      <c r="L1076" s="3">
        <v>114.6439</v>
      </c>
      <c r="M1076" t="s">
        <v>1536</v>
      </c>
      <c r="N1076" s="3">
        <v>-75.37</v>
      </c>
      <c r="O1076" s="3">
        <v>0</v>
      </c>
      <c r="P1076" s="4">
        <v>45996</v>
      </c>
      <c r="Q1076" s="175">
        <v>46006</v>
      </c>
      <c r="R1076" s="3">
        <v>0</v>
      </c>
      <c r="S1076" s="13" t="s">
        <v>1537</v>
      </c>
      <c r="V1076" s="3" t="s">
        <v>438</v>
      </c>
    </row>
    <row r="1077" spans="1:25" hidden="1" x14ac:dyDescent="0.3">
      <c r="A1077" t="e">
        <f>VLOOKUP(B1077,base!A:K,11,0)</f>
        <v>#N/A</v>
      </c>
      <c r="B1077" s="32" t="s">
        <v>658</v>
      </c>
      <c r="C1077" s="1" t="e">
        <f>VLOOKUP(B1077,base!A:J,10,0)</f>
        <v>#N/A</v>
      </c>
      <c r="D1077" t="e">
        <f>VLOOKUP(B1077,base!A:C,3,0)</f>
        <v>#N/A</v>
      </c>
      <c r="E1077" s="37" t="s">
        <v>433</v>
      </c>
      <c r="F1077" t="s">
        <v>108</v>
      </c>
      <c r="G1077" s="4">
        <v>45962</v>
      </c>
      <c r="I1077" s="37" t="s">
        <v>435</v>
      </c>
      <c r="J1077">
        <v>489</v>
      </c>
      <c r="K1077" s="3">
        <v>819.86235294117648</v>
      </c>
      <c r="L1077" s="3">
        <v>710.32589270588232</v>
      </c>
      <c r="M1077" t="s">
        <v>1489</v>
      </c>
      <c r="N1077" s="3">
        <v>1011.6421914966387</v>
      </c>
      <c r="O1077" s="3">
        <v>902.11</v>
      </c>
      <c r="P1077" s="4">
        <v>45999</v>
      </c>
      <c r="Q1077" s="175">
        <v>46009</v>
      </c>
      <c r="R1077" s="3">
        <v>902.11</v>
      </c>
      <c r="V1077" s="3" t="s">
        <v>1799</v>
      </c>
    </row>
    <row r="1078" spans="1:25" hidden="1" x14ac:dyDescent="0.3">
      <c r="A1078" t="e">
        <f>VLOOKUP(B1078,base!A:K,11,0)</f>
        <v>#N/A</v>
      </c>
      <c r="B1078" s="32" t="s">
        <v>692</v>
      </c>
      <c r="C1078" s="1" t="e">
        <f>VLOOKUP(B1078,base!A:J,10,0)</f>
        <v>#N/A</v>
      </c>
      <c r="D1078" t="e">
        <f>VLOOKUP(B1078,base!A:C,3,0)</f>
        <v>#N/A</v>
      </c>
      <c r="E1078" s="37" t="s">
        <v>433</v>
      </c>
      <c r="F1078" t="s">
        <v>108</v>
      </c>
      <c r="G1078" s="4">
        <v>45962</v>
      </c>
      <c r="I1078" s="37" t="s">
        <v>435</v>
      </c>
      <c r="J1078">
        <v>384</v>
      </c>
      <c r="K1078" s="3">
        <v>508.0714285714285</v>
      </c>
      <c r="L1078" s="3">
        <v>422.94132857142858</v>
      </c>
      <c r="M1078" t="s">
        <v>1489</v>
      </c>
      <c r="N1078" s="3">
        <v>779.48142856142852</v>
      </c>
      <c r="O1078" s="3">
        <v>694.35</v>
      </c>
      <c r="P1078" s="4">
        <v>45996</v>
      </c>
      <c r="Q1078" s="175">
        <v>46006</v>
      </c>
      <c r="R1078" s="3">
        <v>694.35</v>
      </c>
      <c r="V1078" s="3" t="s">
        <v>1799</v>
      </c>
    </row>
    <row r="1079" spans="1:25" hidden="1" x14ac:dyDescent="0.3">
      <c r="A1079" t="str">
        <f>VLOOKUP(B1079,base!A:K,11,0)</f>
        <v>TRIFÁSICO</v>
      </c>
      <c r="B1079" s="32" t="s">
        <v>338</v>
      </c>
      <c r="C1079" s="1" t="str">
        <f>VLOOKUP(B1079,base!A:J,10,0)</f>
        <v>67 992319530</v>
      </c>
      <c r="D1079" t="str">
        <f>VLOOKUP(B1079,base!A:C,3,0)</f>
        <v>62.955.505/1224-32</v>
      </c>
      <c r="E1079" s="37" t="s">
        <v>433</v>
      </c>
      <c r="F1079" t="s">
        <v>108</v>
      </c>
      <c r="G1079" s="4">
        <v>45962</v>
      </c>
      <c r="I1079" s="37" t="s">
        <v>435</v>
      </c>
      <c r="J1079">
        <v>1</v>
      </c>
      <c r="K1079" s="3">
        <v>684.18865853658531</v>
      </c>
      <c r="L1079" s="3">
        <v>683.96634024390244</v>
      </c>
      <c r="M1079" t="s">
        <v>1536</v>
      </c>
      <c r="N1079" s="3">
        <v>1.0586584365853657</v>
      </c>
      <c r="O1079" s="3">
        <v>0.84</v>
      </c>
      <c r="P1079" s="4">
        <v>45996</v>
      </c>
      <c r="Q1079" s="175">
        <v>46006</v>
      </c>
      <c r="R1079" s="3">
        <v>0.84</v>
      </c>
      <c r="S1079" s="13" t="s">
        <v>1797</v>
      </c>
      <c r="V1079" s="3" t="s">
        <v>438</v>
      </c>
    </row>
    <row r="1080" spans="1:25" hidden="1" x14ac:dyDescent="0.3">
      <c r="A1080" t="str">
        <f>VLOOKUP(B1080,base!A:K,11,0)</f>
        <v>BIFÁSICO</v>
      </c>
      <c r="B1080" s="32" t="s">
        <v>271</v>
      </c>
      <c r="C1080" s="1">
        <f>VLOOKUP(B1080,base!A:J,10,0)</f>
        <v>67996687077</v>
      </c>
      <c r="D1080" t="str">
        <f>VLOOKUP(B1080,base!A:C,3,0)</f>
        <v>62.955.505/2690-26</v>
      </c>
      <c r="E1080" s="37" t="s">
        <v>433</v>
      </c>
      <c r="F1080" t="s">
        <v>108</v>
      </c>
      <c r="G1080" s="4">
        <v>45962</v>
      </c>
      <c r="I1080" s="37" t="s">
        <v>435</v>
      </c>
      <c r="J1080">
        <v>241</v>
      </c>
      <c r="K1080" s="3">
        <v>487.81565217391301</v>
      </c>
      <c r="L1080" s="3">
        <v>434.3820652173913</v>
      </c>
      <c r="M1080" t="s">
        <v>1489</v>
      </c>
      <c r="N1080" s="3">
        <v>107.27565217391302</v>
      </c>
      <c r="O1080" s="3">
        <v>53.84</v>
      </c>
      <c r="P1080" s="4">
        <v>45999</v>
      </c>
      <c r="Q1080" s="175">
        <v>46009</v>
      </c>
      <c r="R1080" s="3">
        <v>53.84</v>
      </c>
      <c r="V1080" s="3" t="s">
        <v>568</v>
      </c>
      <c r="W1080" s="13">
        <v>53.84</v>
      </c>
      <c r="Y1080" s="175">
        <v>46002</v>
      </c>
    </row>
  </sheetData>
  <autoFilter ref="A1:AI1080" xr:uid="{B93F02BC-A1C3-41F7-9C35-946C4BCF9E7A}">
    <filterColumn colId="1">
      <filters>
        <filter val="10/3092868-3"/>
      </filters>
    </filterColumn>
  </autoFilter>
  <dataValidations count="1">
    <dataValidation type="list" allowBlank="1" showInputMessage="1" showErrorMessage="1" sqref="Z13 Z17 Z37 Z65 Z74 Z77 Z79 Z127 Z156 Z176 Z180 Z197:Z198 Z212 Z228 Z236 Z248 Z251 Z275 Z297 Z301 Z304 Z331 Z333 Z337:Z338 Z348 Z352 Z358 Z364 Z369 Z378 Z407 Z409 Z417 Z420 Z434 Z438:Z439 Z441 Z448 Z475:Z477 Z502 Z506 Z553 Z662 Z674 Z687:Z688 Z693 Z713 Z751 Z767 Z772:Z773 Z777" xr:uid="{8F3CAE27-8FBE-4E89-AA72-41B2A36DC877}">
      <formula1>"Cobrança Regular, Acordo Realizado, Programação de Pgmto, Ligação, Notificação Extrajudicial, Negativação, Protesto, Ajuizamento"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2932-C107-42BC-A7A6-46952897344C}">
  <sheetPr filterMode="1"/>
  <dimension ref="A1:H301"/>
  <sheetViews>
    <sheetView showGridLines="0" zoomScale="80" workbookViewId="0">
      <selection activeCell="D62" sqref="D62"/>
    </sheetView>
  </sheetViews>
  <sheetFormatPr defaultRowHeight="14.4" x14ac:dyDescent="0.3"/>
  <cols>
    <col min="1" max="1" width="16.33203125" bestFit="1" customWidth="1"/>
    <col min="2" max="2" width="18" customWidth="1"/>
    <col min="3" max="3" width="44" customWidth="1"/>
    <col min="4" max="4" width="48.44140625" customWidth="1"/>
    <col min="5" max="5" width="24.88671875" customWidth="1"/>
    <col min="6" max="6" width="13.33203125" customWidth="1"/>
    <col min="7" max="7" width="28.5546875" bestFit="1" customWidth="1"/>
    <col min="8" max="8" width="22.88671875" bestFit="1" customWidth="1"/>
  </cols>
  <sheetData>
    <row r="1" spans="1:8" ht="15" thickBot="1" x14ac:dyDescent="0.35">
      <c r="A1" s="28" t="s">
        <v>405</v>
      </c>
      <c r="B1" s="31" t="s">
        <v>1656</v>
      </c>
      <c r="C1" s="29" t="s">
        <v>1657</v>
      </c>
      <c r="D1" s="31" t="s">
        <v>1658</v>
      </c>
      <c r="E1" s="31" t="s">
        <v>1659</v>
      </c>
      <c r="F1" s="30" t="s">
        <v>1660</v>
      </c>
      <c r="G1" s="30" t="s">
        <v>1661</v>
      </c>
      <c r="H1" s="30" t="s">
        <v>1662</v>
      </c>
    </row>
    <row r="2" spans="1:8" hidden="1" x14ac:dyDescent="0.3">
      <c r="A2" s="25" t="s">
        <v>192</v>
      </c>
      <c r="B2" s="26">
        <v>117.9</v>
      </c>
      <c r="C2" s="25" t="s">
        <v>1663</v>
      </c>
      <c r="D2" s="27">
        <v>45888</v>
      </c>
      <c r="E2" s="25" t="s">
        <v>909</v>
      </c>
      <c r="F2" s="25" t="s">
        <v>1664</v>
      </c>
      <c r="G2" s="97" t="s">
        <v>1665</v>
      </c>
      <c r="H2" t="s">
        <v>32</v>
      </c>
    </row>
    <row r="3" spans="1:8" hidden="1" x14ac:dyDescent="0.3">
      <c r="A3" s="19" t="s">
        <v>350</v>
      </c>
      <c r="B3" s="20">
        <v>10.88</v>
      </c>
      <c r="C3" s="23">
        <v>45748</v>
      </c>
      <c r="D3" s="22">
        <v>45895</v>
      </c>
      <c r="E3" s="19" t="s">
        <v>909</v>
      </c>
      <c r="F3" s="19" t="s">
        <v>1664</v>
      </c>
      <c r="G3" s="97" t="s">
        <v>1665</v>
      </c>
      <c r="H3" t="s">
        <v>32</v>
      </c>
    </row>
    <row r="4" spans="1:8" hidden="1" x14ac:dyDescent="0.3">
      <c r="A4" s="19" t="s">
        <v>247</v>
      </c>
      <c r="B4" s="20">
        <v>266.72000000000003</v>
      </c>
      <c r="C4" s="19" t="s">
        <v>1666</v>
      </c>
      <c r="D4" s="22">
        <v>45897</v>
      </c>
      <c r="E4" s="19" t="s">
        <v>909</v>
      </c>
      <c r="F4" s="19" t="s">
        <v>1664</v>
      </c>
      <c r="G4" s="97" t="s">
        <v>1665</v>
      </c>
      <c r="H4" t="s">
        <v>32</v>
      </c>
    </row>
    <row r="5" spans="1:8" hidden="1" x14ac:dyDescent="0.3">
      <c r="A5" s="19" t="s">
        <v>140</v>
      </c>
      <c r="B5" s="20">
        <v>86.94</v>
      </c>
      <c r="C5" s="23">
        <v>45839</v>
      </c>
      <c r="D5" s="22">
        <v>45897</v>
      </c>
      <c r="E5" s="19" t="s">
        <v>909</v>
      </c>
      <c r="F5" s="19" t="s">
        <v>1664</v>
      </c>
      <c r="G5" s="97" t="s">
        <v>1665</v>
      </c>
      <c r="H5" t="s">
        <v>32</v>
      </c>
    </row>
    <row r="6" spans="1:8" ht="28.8" hidden="1" x14ac:dyDescent="0.3">
      <c r="A6" s="19" t="s">
        <v>309</v>
      </c>
      <c r="B6" s="20">
        <v>239.06</v>
      </c>
      <c r="C6" s="19" t="s">
        <v>1667</v>
      </c>
      <c r="D6" s="24" t="s">
        <v>1668</v>
      </c>
      <c r="E6" s="19" t="s">
        <v>909</v>
      </c>
      <c r="F6" s="19" t="s">
        <v>1664</v>
      </c>
      <c r="G6" s="97" t="s">
        <v>1665</v>
      </c>
      <c r="H6" t="s">
        <v>32</v>
      </c>
    </row>
    <row r="7" spans="1:8" hidden="1" x14ac:dyDescent="0.3">
      <c r="A7" s="19" t="s">
        <v>257</v>
      </c>
      <c r="B7" s="20">
        <v>203.23</v>
      </c>
      <c r="C7" s="23">
        <v>45778</v>
      </c>
      <c r="D7" s="22">
        <v>45901</v>
      </c>
      <c r="E7" s="19" t="s">
        <v>909</v>
      </c>
      <c r="F7" s="19" t="s">
        <v>1664</v>
      </c>
      <c r="G7" s="97" t="s">
        <v>1665</v>
      </c>
      <c r="H7" t="s">
        <v>32</v>
      </c>
    </row>
    <row r="8" spans="1:8" hidden="1" x14ac:dyDescent="0.3">
      <c r="A8" s="19" t="s">
        <v>134</v>
      </c>
      <c r="B8" s="20">
        <v>293.26</v>
      </c>
      <c r="C8" s="19" t="s">
        <v>1669</v>
      </c>
      <c r="D8" s="22">
        <v>45901</v>
      </c>
      <c r="E8" s="19" t="s">
        <v>909</v>
      </c>
      <c r="F8" s="19" t="s">
        <v>1664</v>
      </c>
      <c r="G8" s="97" t="s">
        <v>1665</v>
      </c>
      <c r="H8" t="s">
        <v>32</v>
      </c>
    </row>
    <row r="9" spans="1:8" hidden="1" x14ac:dyDescent="0.3">
      <c r="A9" s="19" t="s">
        <v>250</v>
      </c>
      <c r="B9" s="20">
        <v>104.66</v>
      </c>
      <c r="C9" s="23">
        <v>45839</v>
      </c>
      <c r="D9" s="22">
        <v>45901</v>
      </c>
      <c r="E9" s="19" t="s">
        <v>909</v>
      </c>
      <c r="F9" s="19" t="s">
        <v>1664</v>
      </c>
      <c r="G9" s="97" t="s">
        <v>1665</v>
      </c>
      <c r="H9" t="s">
        <v>32</v>
      </c>
    </row>
    <row r="10" spans="1:8" hidden="1" x14ac:dyDescent="0.3">
      <c r="A10" s="19" t="s">
        <v>330</v>
      </c>
      <c r="B10" s="20">
        <v>176.78</v>
      </c>
      <c r="C10" s="23">
        <v>45778</v>
      </c>
      <c r="D10" s="22">
        <v>45901</v>
      </c>
      <c r="E10" s="19" t="s">
        <v>909</v>
      </c>
      <c r="F10" s="19" t="s">
        <v>1664</v>
      </c>
      <c r="G10" s="97" t="s">
        <v>1665</v>
      </c>
      <c r="H10" t="s">
        <v>32</v>
      </c>
    </row>
    <row r="11" spans="1:8" hidden="1" x14ac:dyDescent="0.3">
      <c r="A11" s="19" t="s">
        <v>255</v>
      </c>
      <c r="B11" s="20">
        <v>321.20999999999998</v>
      </c>
      <c r="C11" s="23">
        <v>45839</v>
      </c>
      <c r="D11" s="22">
        <v>45901</v>
      </c>
      <c r="E11" s="19" t="s">
        <v>909</v>
      </c>
      <c r="F11" s="19" t="s">
        <v>1664</v>
      </c>
      <c r="G11" s="97" t="s">
        <v>1665</v>
      </c>
      <c r="H11" t="s">
        <v>32</v>
      </c>
    </row>
    <row r="12" spans="1:8" hidden="1" x14ac:dyDescent="0.3">
      <c r="A12" s="19" t="s">
        <v>161</v>
      </c>
      <c r="B12" s="20">
        <v>282.64</v>
      </c>
      <c r="C12" s="23">
        <v>45839</v>
      </c>
      <c r="D12" s="22">
        <v>45901</v>
      </c>
      <c r="E12" s="19" t="s">
        <v>909</v>
      </c>
      <c r="F12" s="19" t="s">
        <v>1664</v>
      </c>
      <c r="G12" s="97" t="s">
        <v>1665</v>
      </c>
      <c r="H12" t="s">
        <v>32</v>
      </c>
    </row>
    <row r="13" spans="1:8" hidden="1" x14ac:dyDescent="0.3">
      <c r="A13" s="32" t="s">
        <v>326</v>
      </c>
      <c r="B13" s="20">
        <v>71.45</v>
      </c>
      <c r="C13" s="23">
        <v>45839</v>
      </c>
      <c r="D13" s="22">
        <v>45904</v>
      </c>
      <c r="E13" s="19" t="s">
        <v>909</v>
      </c>
      <c r="F13" s="19" t="s">
        <v>1664</v>
      </c>
      <c r="G13" s="97" t="s">
        <v>1665</v>
      </c>
      <c r="H13" t="s">
        <v>32</v>
      </c>
    </row>
    <row r="14" spans="1:8" ht="27" hidden="1" customHeight="1" x14ac:dyDescent="0.3">
      <c r="A14" s="33" t="s">
        <v>192</v>
      </c>
      <c r="B14" s="34">
        <v>149.22</v>
      </c>
      <c r="C14" s="35" t="s">
        <v>1670</v>
      </c>
      <c r="D14" s="36">
        <v>45904</v>
      </c>
      <c r="E14" s="33" t="s">
        <v>909</v>
      </c>
      <c r="F14" s="33" t="s">
        <v>1664</v>
      </c>
      <c r="G14" s="97" t="s">
        <v>1665</v>
      </c>
      <c r="H14" t="s">
        <v>32</v>
      </c>
    </row>
    <row r="15" spans="1:8" hidden="1" x14ac:dyDescent="0.3">
      <c r="A15" s="19" t="s">
        <v>247</v>
      </c>
      <c r="B15" s="20">
        <v>238.05</v>
      </c>
      <c r="C15" s="23">
        <v>45839</v>
      </c>
      <c r="D15" s="22">
        <v>45904</v>
      </c>
      <c r="E15" s="19" t="s">
        <v>909</v>
      </c>
      <c r="F15" s="19" t="s">
        <v>1664</v>
      </c>
      <c r="G15" s="97" t="s">
        <v>1665</v>
      </c>
      <c r="H15" t="s">
        <v>32</v>
      </c>
    </row>
    <row r="16" spans="1:8" ht="43.2" hidden="1" x14ac:dyDescent="0.3">
      <c r="A16" s="19" t="s">
        <v>271</v>
      </c>
      <c r="B16" s="20">
        <v>592.39</v>
      </c>
      <c r="C16" s="19" t="s">
        <v>1671</v>
      </c>
      <c r="D16" s="24" t="s">
        <v>1687</v>
      </c>
      <c r="E16" s="19" t="s">
        <v>909</v>
      </c>
      <c r="F16" s="19" t="s">
        <v>1664</v>
      </c>
      <c r="G16" s="97" t="s">
        <v>1665</v>
      </c>
      <c r="H16" t="s">
        <v>32</v>
      </c>
    </row>
    <row r="17" spans="1:8" hidden="1" x14ac:dyDescent="0.3">
      <c r="A17" s="33" t="s">
        <v>143</v>
      </c>
      <c r="B17" s="34">
        <v>147.52000000000001</v>
      </c>
      <c r="C17" s="33" t="s">
        <v>1673</v>
      </c>
      <c r="D17" s="36">
        <v>45904</v>
      </c>
      <c r="E17" s="33" t="s">
        <v>909</v>
      </c>
      <c r="F17" s="33" t="s">
        <v>1664</v>
      </c>
      <c r="G17" s="97" t="s">
        <v>1665</v>
      </c>
      <c r="H17" t="s">
        <v>32</v>
      </c>
    </row>
    <row r="18" spans="1:8" ht="43.2" hidden="1" x14ac:dyDescent="0.3">
      <c r="A18" s="19" t="s">
        <v>151</v>
      </c>
      <c r="B18" s="20">
        <v>387.03</v>
      </c>
      <c r="C18" s="19" t="s">
        <v>1674</v>
      </c>
      <c r="D18" s="24" t="s">
        <v>1686</v>
      </c>
      <c r="E18" s="19" t="s">
        <v>909</v>
      </c>
      <c r="F18" s="19" t="s">
        <v>1664</v>
      </c>
      <c r="G18" s="97" t="s">
        <v>1665</v>
      </c>
      <c r="H18" t="s">
        <v>32</v>
      </c>
    </row>
    <row r="19" spans="1:8" hidden="1" x14ac:dyDescent="0.3">
      <c r="A19" s="19" t="s">
        <v>228</v>
      </c>
      <c r="B19" s="20">
        <v>87.86</v>
      </c>
      <c r="C19" s="23">
        <v>45778</v>
      </c>
      <c r="D19" s="22">
        <v>45917</v>
      </c>
      <c r="E19" s="19" t="s">
        <v>909</v>
      </c>
      <c r="G19" s="97" t="s">
        <v>1665</v>
      </c>
      <c r="H19" t="s">
        <v>32</v>
      </c>
    </row>
    <row r="20" spans="1:8" ht="16.8" hidden="1" x14ac:dyDescent="0.3">
      <c r="A20" s="19" t="s">
        <v>320</v>
      </c>
      <c r="B20" s="20">
        <v>200.59</v>
      </c>
      <c r="C20" s="62">
        <v>45778</v>
      </c>
      <c r="D20" s="22">
        <v>45917</v>
      </c>
      <c r="E20" s="19" t="s">
        <v>909</v>
      </c>
      <c r="F20" s="19" t="s">
        <v>1664</v>
      </c>
      <c r="G20" s="97" t="s">
        <v>1665</v>
      </c>
      <c r="H20" t="s">
        <v>32</v>
      </c>
    </row>
    <row r="21" spans="1:8" hidden="1" x14ac:dyDescent="0.3">
      <c r="A21" s="108" t="s">
        <v>261</v>
      </c>
      <c r="B21" s="20">
        <v>250.43</v>
      </c>
      <c r="C21" s="19" t="s">
        <v>1666</v>
      </c>
      <c r="D21" s="22">
        <v>45917</v>
      </c>
      <c r="E21" s="19" t="s">
        <v>909</v>
      </c>
      <c r="F21" s="19" t="s">
        <v>1664</v>
      </c>
      <c r="G21" s="97" t="s">
        <v>1665</v>
      </c>
      <c r="H21" t="s">
        <v>32</v>
      </c>
    </row>
    <row r="22" spans="1:8" hidden="1" x14ac:dyDescent="0.3">
      <c r="A22" s="19" t="s">
        <v>307</v>
      </c>
      <c r="B22" s="20">
        <v>45.6</v>
      </c>
      <c r="C22" s="23">
        <v>45809</v>
      </c>
      <c r="D22" s="22">
        <v>45918</v>
      </c>
      <c r="E22" s="19" t="s">
        <v>909</v>
      </c>
      <c r="F22" s="19" t="s">
        <v>1664</v>
      </c>
      <c r="G22" s="97" t="s">
        <v>1665</v>
      </c>
      <c r="H22" t="s">
        <v>32</v>
      </c>
    </row>
    <row r="23" spans="1:8" hidden="1" x14ac:dyDescent="0.3">
      <c r="A23" s="19" t="s">
        <v>322</v>
      </c>
      <c r="B23" s="20">
        <v>278.35000000000002</v>
      </c>
      <c r="C23" s="19" t="s">
        <v>1675</v>
      </c>
      <c r="D23" s="22">
        <v>45918</v>
      </c>
      <c r="E23" s="19" t="s">
        <v>909</v>
      </c>
      <c r="F23" s="19" t="s">
        <v>1664</v>
      </c>
      <c r="G23" s="97" t="s">
        <v>1665</v>
      </c>
      <c r="H23" t="s">
        <v>32</v>
      </c>
    </row>
    <row r="24" spans="1:8" hidden="1" x14ac:dyDescent="0.3">
      <c r="A24" s="19" t="s">
        <v>143</v>
      </c>
      <c r="B24" s="20">
        <v>221.18</v>
      </c>
      <c r="C24" s="23">
        <v>45778</v>
      </c>
      <c r="D24" s="22">
        <v>45922</v>
      </c>
      <c r="E24" s="19" t="s">
        <v>909</v>
      </c>
      <c r="F24" s="19" t="s">
        <v>1664</v>
      </c>
      <c r="G24" s="97" t="s">
        <v>1665</v>
      </c>
      <c r="H24" t="s">
        <v>32</v>
      </c>
    </row>
    <row r="25" spans="1:8" hidden="1" x14ac:dyDescent="0.3">
      <c r="A25" s="19" t="s">
        <v>318</v>
      </c>
      <c r="B25" s="20">
        <v>356.23</v>
      </c>
      <c r="C25" s="23">
        <v>45839</v>
      </c>
      <c r="D25" s="22">
        <v>45925</v>
      </c>
      <c r="E25" s="19" t="s">
        <v>909</v>
      </c>
      <c r="F25" s="19" t="s">
        <v>1664</v>
      </c>
      <c r="G25" s="97" t="s">
        <v>1665</v>
      </c>
      <c r="H25" t="s">
        <v>32</v>
      </c>
    </row>
    <row r="26" spans="1:8" hidden="1" x14ac:dyDescent="0.3">
      <c r="A26" s="19" t="s">
        <v>348</v>
      </c>
      <c r="B26" s="20">
        <v>124.38</v>
      </c>
      <c r="C26" s="23">
        <v>45778</v>
      </c>
      <c r="D26" s="22">
        <v>45925</v>
      </c>
      <c r="E26" s="19" t="s">
        <v>909</v>
      </c>
      <c r="F26" s="19" t="s">
        <v>1664</v>
      </c>
      <c r="G26" s="97" t="s">
        <v>1665</v>
      </c>
      <c r="H26" t="s">
        <v>32</v>
      </c>
    </row>
    <row r="27" spans="1:8" hidden="1" x14ac:dyDescent="0.3">
      <c r="A27" s="19" t="s">
        <v>222</v>
      </c>
      <c r="B27" s="20">
        <v>355.03</v>
      </c>
      <c r="C27" s="23">
        <v>45778</v>
      </c>
      <c r="D27" s="22">
        <v>45925</v>
      </c>
      <c r="E27" s="19" t="s">
        <v>909</v>
      </c>
      <c r="F27" s="19" t="s">
        <v>1664</v>
      </c>
      <c r="G27" s="97" t="s">
        <v>1665</v>
      </c>
      <c r="H27" t="s">
        <v>32</v>
      </c>
    </row>
    <row r="28" spans="1:8" hidden="1" x14ac:dyDescent="0.3">
      <c r="A28" s="19" t="s">
        <v>204</v>
      </c>
      <c r="B28" s="20">
        <v>30.62</v>
      </c>
      <c r="C28" s="23">
        <v>45778</v>
      </c>
      <c r="D28" s="22">
        <v>45926</v>
      </c>
      <c r="E28" s="19" t="s">
        <v>909</v>
      </c>
      <c r="F28" s="19" t="s">
        <v>1664</v>
      </c>
      <c r="G28" s="97" t="s">
        <v>1665</v>
      </c>
      <c r="H28" t="s">
        <v>32</v>
      </c>
    </row>
    <row r="29" spans="1:8" hidden="1" x14ac:dyDescent="0.3">
      <c r="A29" s="33" t="s">
        <v>276</v>
      </c>
      <c r="B29" s="34">
        <v>98.642704081632644</v>
      </c>
      <c r="C29" s="79" t="s">
        <v>1676</v>
      </c>
      <c r="D29" s="36">
        <v>45926</v>
      </c>
      <c r="E29" s="33" t="s">
        <v>909</v>
      </c>
      <c r="F29" s="33" t="s">
        <v>1664</v>
      </c>
      <c r="G29" s="97" t="s">
        <v>1665</v>
      </c>
      <c r="H29" t="s">
        <v>32</v>
      </c>
    </row>
    <row r="30" spans="1:8" hidden="1" x14ac:dyDescent="0.3">
      <c r="A30" s="19" t="s">
        <v>338</v>
      </c>
      <c r="B30" s="20">
        <v>355.68</v>
      </c>
      <c r="C30" s="23">
        <v>45778</v>
      </c>
      <c r="D30" s="22">
        <v>45926</v>
      </c>
      <c r="E30" s="19" t="s">
        <v>909</v>
      </c>
      <c r="F30" s="19" t="s">
        <v>1664</v>
      </c>
      <c r="G30" s="97" t="s">
        <v>1665</v>
      </c>
      <c r="H30" t="s">
        <v>32</v>
      </c>
    </row>
    <row r="31" spans="1:8" hidden="1" x14ac:dyDescent="0.3">
      <c r="A31" s="19" t="s">
        <v>127</v>
      </c>
      <c r="B31" s="20">
        <v>351.64000000000004</v>
      </c>
      <c r="C31" s="23">
        <v>45748</v>
      </c>
      <c r="D31" s="22">
        <v>45929</v>
      </c>
      <c r="E31" s="19" t="s">
        <v>909</v>
      </c>
      <c r="F31" s="19" t="s">
        <v>1664</v>
      </c>
      <c r="G31" s="97" t="s">
        <v>1665</v>
      </c>
      <c r="H31" t="s">
        <v>32</v>
      </c>
    </row>
    <row r="32" spans="1:8" hidden="1" x14ac:dyDescent="0.3">
      <c r="A32" s="19" t="s">
        <v>127</v>
      </c>
      <c r="B32" s="20">
        <v>236.57815789473682</v>
      </c>
      <c r="C32" s="23">
        <v>45809</v>
      </c>
      <c r="D32" s="22">
        <v>45929</v>
      </c>
      <c r="E32" s="19" t="s">
        <v>909</v>
      </c>
      <c r="F32" s="19" t="s">
        <v>1664</v>
      </c>
      <c r="G32" s="97" t="s">
        <v>1665</v>
      </c>
      <c r="H32" t="s">
        <v>32</v>
      </c>
    </row>
    <row r="33" spans="1:8" hidden="1" x14ac:dyDescent="0.3">
      <c r="A33" s="19" t="s">
        <v>264</v>
      </c>
      <c r="B33" s="20">
        <v>541.04</v>
      </c>
      <c r="C33" s="19" t="s">
        <v>1677</v>
      </c>
      <c r="D33" s="22">
        <v>45929</v>
      </c>
      <c r="E33" s="19" t="s">
        <v>909</v>
      </c>
      <c r="F33" s="19" t="s">
        <v>1664</v>
      </c>
      <c r="G33" s="97" t="s">
        <v>1665</v>
      </c>
      <c r="H33" t="s">
        <v>32</v>
      </c>
    </row>
    <row r="34" spans="1:8" hidden="1" x14ac:dyDescent="0.3">
      <c r="A34" s="19" t="s">
        <v>153</v>
      </c>
      <c r="B34" s="77">
        <v>200.22</v>
      </c>
      <c r="C34" s="23">
        <v>45748</v>
      </c>
      <c r="D34" s="22">
        <v>45930</v>
      </c>
      <c r="E34" s="19" t="s">
        <v>909</v>
      </c>
      <c r="F34" s="19" t="s">
        <v>1664</v>
      </c>
      <c r="G34" t="s">
        <v>1665</v>
      </c>
      <c r="H34" t="s">
        <v>32</v>
      </c>
    </row>
    <row r="35" spans="1:8" hidden="1" x14ac:dyDescent="0.3">
      <c r="A35" s="19" t="s">
        <v>315</v>
      </c>
      <c r="B35" s="78">
        <v>318.63</v>
      </c>
      <c r="C35" s="23">
        <v>45748</v>
      </c>
      <c r="D35" s="22">
        <v>45930</v>
      </c>
      <c r="E35" s="19" t="s">
        <v>909</v>
      </c>
      <c r="F35" s="19" t="s">
        <v>1664</v>
      </c>
      <c r="G35" t="s">
        <v>1665</v>
      </c>
      <c r="H35" t="s">
        <v>32</v>
      </c>
    </row>
    <row r="36" spans="1:8" hidden="1" x14ac:dyDescent="0.3">
      <c r="A36" s="19" t="s">
        <v>153</v>
      </c>
      <c r="B36" s="77">
        <v>203.2525</v>
      </c>
      <c r="C36" s="23">
        <v>45839</v>
      </c>
      <c r="D36" s="22">
        <v>45931</v>
      </c>
      <c r="E36" s="19" t="s">
        <v>909</v>
      </c>
      <c r="F36" s="19" t="s">
        <v>1664</v>
      </c>
      <c r="G36" t="s">
        <v>1665</v>
      </c>
      <c r="H36" t="s">
        <v>32</v>
      </c>
    </row>
    <row r="37" spans="1:8" hidden="1" x14ac:dyDescent="0.3">
      <c r="A37" s="80" t="s">
        <v>224</v>
      </c>
      <c r="B37" s="81">
        <v>148.43</v>
      </c>
      <c r="C37" s="82">
        <v>45809</v>
      </c>
      <c r="D37" s="83">
        <v>45937</v>
      </c>
      <c r="E37" s="80" t="s">
        <v>909</v>
      </c>
      <c r="F37" s="80" t="s">
        <v>1664</v>
      </c>
      <c r="G37" t="s">
        <v>1665</v>
      </c>
      <c r="H37" t="s">
        <v>32</v>
      </c>
    </row>
    <row r="38" spans="1:8" hidden="1" x14ac:dyDescent="0.3">
      <c r="A38" s="80" t="s">
        <v>311</v>
      </c>
      <c r="B38" s="81">
        <v>311.42</v>
      </c>
      <c r="C38" s="82">
        <v>45658</v>
      </c>
      <c r="D38" s="83">
        <v>45938</v>
      </c>
      <c r="E38" s="80" t="s">
        <v>909</v>
      </c>
      <c r="F38" s="80" t="s">
        <v>1664</v>
      </c>
      <c r="G38" t="s">
        <v>1665</v>
      </c>
      <c r="H38" t="s">
        <v>32</v>
      </c>
    </row>
    <row r="39" spans="1:8" hidden="1" x14ac:dyDescent="0.3">
      <c r="A39" s="80" t="s">
        <v>311</v>
      </c>
      <c r="B39" s="81">
        <v>176.55</v>
      </c>
      <c r="C39" s="82">
        <v>45748</v>
      </c>
      <c r="D39" s="83">
        <v>45938</v>
      </c>
      <c r="E39" s="80" t="s">
        <v>909</v>
      </c>
      <c r="F39" s="80" t="s">
        <v>1664</v>
      </c>
      <c r="G39" t="s">
        <v>1665</v>
      </c>
      <c r="H39" t="s">
        <v>32</v>
      </c>
    </row>
    <row r="40" spans="1:8" hidden="1" x14ac:dyDescent="0.3">
      <c r="A40" s="80" t="s">
        <v>177</v>
      </c>
      <c r="B40" s="81">
        <v>202.72</v>
      </c>
      <c r="C40" s="82">
        <v>45778</v>
      </c>
      <c r="D40" s="83">
        <v>45937</v>
      </c>
      <c r="E40" s="80" t="s">
        <v>909</v>
      </c>
      <c r="F40" s="80" t="s">
        <v>1664</v>
      </c>
      <c r="G40" t="s">
        <v>1665</v>
      </c>
      <c r="H40" t="s">
        <v>32</v>
      </c>
    </row>
    <row r="41" spans="1:8" hidden="1" x14ac:dyDescent="0.3">
      <c r="A41" s="19" t="s">
        <v>148</v>
      </c>
      <c r="B41" s="77">
        <v>300.85000000000002</v>
      </c>
      <c r="C41" s="23">
        <v>45839</v>
      </c>
      <c r="D41" s="22">
        <v>45930</v>
      </c>
      <c r="E41" s="19" t="s">
        <v>909</v>
      </c>
      <c r="F41" s="19" t="s">
        <v>1664</v>
      </c>
      <c r="G41" t="s">
        <v>1665</v>
      </c>
      <c r="H41" t="s">
        <v>32</v>
      </c>
    </row>
    <row r="42" spans="1:8" hidden="1" x14ac:dyDescent="0.3">
      <c r="A42" s="19" t="s">
        <v>255</v>
      </c>
      <c r="B42" s="77">
        <v>351.64</v>
      </c>
      <c r="C42" s="23">
        <v>45748</v>
      </c>
      <c r="D42" s="22">
        <v>45932</v>
      </c>
      <c r="E42" s="19" t="s">
        <v>909</v>
      </c>
      <c r="F42" s="19" t="s">
        <v>1664</v>
      </c>
      <c r="G42" t="s">
        <v>1665</v>
      </c>
      <c r="H42" t="s">
        <v>32</v>
      </c>
    </row>
    <row r="43" spans="1:8" hidden="1" x14ac:dyDescent="0.3">
      <c r="A43" s="19" t="s">
        <v>255</v>
      </c>
      <c r="B43" s="77">
        <v>300.36918918918917</v>
      </c>
      <c r="C43" s="23">
        <v>45778</v>
      </c>
      <c r="D43" s="22">
        <v>45932</v>
      </c>
      <c r="E43" s="19" t="s">
        <v>909</v>
      </c>
      <c r="F43" s="19" t="s">
        <v>1664</v>
      </c>
      <c r="G43" t="s">
        <v>1665</v>
      </c>
      <c r="H43" t="s">
        <v>32</v>
      </c>
    </row>
    <row r="44" spans="1:8" hidden="1" x14ac:dyDescent="0.3">
      <c r="A44" s="19" t="s">
        <v>255</v>
      </c>
      <c r="B44" s="77">
        <v>345.41142857142859</v>
      </c>
      <c r="C44" s="23">
        <v>45870</v>
      </c>
      <c r="D44" s="22">
        <v>45932</v>
      </c>
      <c r="E44" s="19" t="s">
        <v>909</v>
      </c>
      <c r="F44" s="19" t="s">
        <v>1664</v>
      </c>
      <c r="G44" t="s">
        <v>1665</v>
      </c>
      <c r="H44" t="s">
        <v>32</v>
      </c>
    </row>
    <row r="45" spans="1:8" hidden="1" x14ac:dyDescent="0.3">
      <c r="A45" s="19" t="s">
        <v>127</v>
      </c>
      <c r="B45" s="20">
        <v>236.58</v>
      </c>
      <c r="C45" s="23">
        <v>45809</v>
      </c>
      <c r="D45" s="22">
        <v>45927</v>
      </c>
      <c r="E45" s="19" t="s">
        <v>909</v>
      </c>
      <c r="F45" s="19" t="s">
        <v>1664</v>
      </c>
      <c r="G45" t="s">
        <v>1665</v>
      </c>
      <c r="H45" t="s">
        <v>32</v>
      </c>
    </row>
    <row r="46" spans="1:8" hidden="1" x14ac:dyDescent="0.3">
      <c r="A46" s="19" t="s">
        <v>153</v>
      </c>
      <c r="B46" s="20">
        <v>166.45</v>
      </c>
      <c r="C46" s="23">
        <v>45870</v>
      </c>
      <c r="D46" s="22">
        <v>45931</v>
      </c>
      <c r="E46" s="19" t="s">
        <v>909</v>
      </c>
      <c r="F46" s="19" t="s">
        <v>1664</v>
      </c>
      <c r="G46" t="s">
        <v>1665</v>
      </c>
      <c r="H46" t="s">
        <v>32</v>
      </c>
    </row>
    <row r="47" spans="1:8" hidden="1" x14ac:dyDescent="0.3">
      <c r="A47" s="19" t="s">
        <v>156</v>
      </c>
      <c r="B47" s="20">
        <v>63.78</v>
      </c>
      <c r="C47" s="23">
        <v>45748</v>
      </c>
      <c r="D47" s="22">
        <v>45926</v>
      </c>
      <c r="E47" s="19" t="s">
        <v>909</v>
      </c>
      <c r="F47" s="19" t="s">
        <v>1664</v>
      </c>
      <c r="G47" t="s">
        <v>1665</v>
      </c>
      <c r="H47" t="s">
        <v>32</v>
      </c>
    </row>
    <row r="48" spans="1:8" hidden="1" x14ac:dyDescent="0.3">
      <c r="A48" s="19" t="s">
        <v>224</v>
      </c>
      <c r="B48" s="20">
        <v>353.28</v>
      </c>
      <c r="C48" s="23">
        <v>45717</v>
      </c>
      <c r="D48" s="22">
        <v>45932</v>
      </c>
      <c r="E48" s="19" t="s">
        <v>909</v>
      </c>
      <c r="F48" s="19" t="s">
        <v>1664</v>
      </c>
      <c r="G48" t="s">
        <v>1665</v>
      </c>
      <c r="H48" t="s">
        <v>32</v>
      </c>
    </row>
    <row r="49" spans="1:8" hidden="1" x14ac:dyDescent="0.3">
      <c r="A49" s="19" t="s">
        <v>161</v>
      </c>
      <c r="B49" s="20">
        <v>351.15000000000003</v>
      </c>
      <c r="C49" s="23">
        <v>45748</v>
      </c>
      <c r="D49" s="22">
        <v>45933</v>
      </c>
      <c r="E49" s="19" t="s">
        <v>909</v>
      </c>
      <c r="F49" s="19" t="s">
        <v>1664</v>
      </c>
      <c r="G49" t="s">
        <v>1665</v>
      </c>
      <c r="H49" t="s">
        <v>32</v>
      </c>
    </row>
    <row r="50" spans="1:8" hidden="1" x14ac:dyDescent="0.3">
      <c r="A50" s="19" t="s">
        <v>297</v>
      </c>
      <c r="B50" s="20">
        <v>165.63633333333334</v>
      </c>
      <c r="C50" s="23">
        <v>45778</v>
      </c>
      <c r="D50" s="22">
        <v>45933</v>
      </c>
      <c r="E50" s="19" t="s">
        <v>909</v>
      </c>
      <c r="F50" s="19" t="s">
        <v>1664</v>
      </c>
      <c r="G50" t="s">
        <v>1665</v>
      </c>
      <c r="H50" t="s">
        <v>32</v>
      </c>
    </row>
    <row r="51" spans="1:8" hidden="1" x14ac:dyDescent="0.3">
      <c r="A51" s="19" t="s">
        <v>307</v>
      </c>
      <c r="B51" s="20">
        <v>93.12</v>
      </c>
      <c r="C51" s="23">
        <v>45870</v>
      </c>
      <c r="D51" s="22">
        <v>45939</v>
      </c>
      <c r="E51" s="19" t="s">
        <v>909</v>
      </c>
      <c r="F51" s="19" t="s">
        <v>1664</v>
      </c>
      <c r="G51" t="s">
        <v>1665</v>
      </c>
      <c r="H51" t="s">
        <v>32</v>
      </c>
    </row>
    <row r="52" spans="1:8" hidden="1" x14ac:dyDescent="0.3">
      <c r="A52" s="19" t="s">
        <v>320</v>
      </c>
      <c r="B52" s="20">
        <v>271.60000000000002</v>
      </c>
      <c r="C52" s="23">
        <v>45870</v>
      </c>
      <c r="D52" s="22">
        <v>45939</v>
      </c>
      <c r="E52" s="19" t="s">
        <v>909</v>
      </c>
      <c r="F52" s="19" t="s">
        <v>1664</v>
      </c>
      <c r="G52" t="s">
        <v>1665</v>
      </c>
      <c r="H52" t="s">
        <v>32</v>
      </c>
    </row>
    <row r="53" spans="1:8" ht="43.2" hidden="1" x14ac:dyDescent="0.3">
      <c r="A53" s="19" t="s">
        <v>257</v>
      </c>
      <c r="B53" s="20">
        <v>665.2</v>
      </c>
      <c r="C53" s="19" t="s">
        <v>1700</v>
      </c>
      <c r="D53" s="84" t="s">
        <v>1678</v>
      </c>
      <c r="E53" s="19" t="s">
        <v>1679</v>
      </c>
      <c r="F53" s="19" t="s">
        <v>1672</v>
      </c>
    </row>
    <row r="54" spans="1:8" hidden="1" x14ac:dyDescent="0.3">
      <c r="A54" s="19" t="s">
        <v>107</v>
      </c>
      <c r="B54" s="20">
        <v>279.11</v>
      </c>
      <c r="C54" s="19" t="s">
        <v>1680</v>
      </c>
      <c r="D54" s="22">
        <v>45943</v>
      </c>
      <c r="E54" s="19" t="s">
        <v>909</v>
      </c>
      <c r="F54" s="19" t="s">
        <v>1664</v>
      </c>
      <c r="G54" s="97" t="s">
        <v>1665</v>
      </c>
      <c r="H54" t="s">
        <v>32</v>
      </c>
    </row>
    <row r="55" spans="1:8" hidden="1" x14ac:dyDescent="0.3">
      <c r="A55" s="19" t="s">
        <v>247</v>
      </c>
      <c r="B55" s="20">
        <v>268.08947368421002</v>
      </c>
      <c r="C55" s="19" t="s">
        <v>15</v>
      </c>
      <c r="D55" s="22">
        <v>45950</v>
      </c>
      <c r="E55" s="19" t="s">
        <v>909</v>
      </c>
      <c r="F55" s="19" t="s">
        <v>1672</v>
      </c>
    </row>
    <row r="56" spans="1:8" hidden="1" x14ac:dyDescent="0.3">
      <c r="A56" s="19" t="s">
        <v>264</v>
      </c>
      <c r="B56" s="20">
        <v>130.66</v>
      </c>
      <c r="C56" s="23">
        <v>45870</v>
      </c>
      <c r="D56" s="22">
        <v>45946</v>
      </c>
      <c r="E56" s="19" t="s">
        <v>909</v>
      </c>
      <c r="F56" s="19" t="s">
        <v>1664</v>
      </c>
      <c r="G56" t="s">
        <v>1665</v>
      </c>
      <c r="H56" t="s">
        <v>32</v>
      </c>
    </row>
    <row r="57" spans="1:8" hidden="1" x14ac:dyDescent="0.3">
      <c r="A57" s="19" t="s">
        <v>164</v>
      </c>
      <c r="B57" s="20">
        <v>68.92</v>
      </c>
      <c r="C57" s="23">
        <v>45901</v>
      </c>
      <c r="D57" s="22">
        <v>45954</v>
      </c>
      <c r="E57" s="19" t="s">
        <v>909</v>
      </c>
      <c r="F57" s="19" t="s">
        <v>1664</v>
      </c>
      <c r="G57" t="s">
        <v>1665</v>
      </c>
      <c r="H57" t="s">
        <v>24</v>
      </c>
    </row>
    <row r="58" spans="1:8" hidden="1" x14ac:dyDescent="0.3">
      <c r="A58" s="19" t="s">
        <v>297</v>
      </c>
      <c r="B58" s="20">
        <v>95.43</v>
      </c>
      <c r="C58" s="23">
        <v>45901</v>
      </c>
      <c r="D58" s="22">
        <v>45960</v>
      </c>
      <c r="E58" s="19" t="s">
        <v>909</v>
      </c>
      <c r="F58" s="19" t="s">
        <v>1664</v>
      </c>
      <c r="G58" t="s">
        <v>1665</v>
      </c>
      <c r="H58" t="s">
        <v>24</v>
      </c>
    </row>
    <row r="59" spans="1:8" hidden="1" x14ac:dyDescent="0.3">
      <c r="A59" s="19" t="s">
        <v>161</v>
      </c>
      <c r="B59" s="20">
        <v>276.06</v>
      </c>
      <c r="C59" s="23">
        <v>45870</v>
      </c>
      <c r="D59" s="22">
        <v>45964</v>
      </c>
      <c r="E59" s="19" t="s">
        <v>909</v>
      </c>
      <c r="F59" s="19" t="s">
        <v>1664</v>
      </c>
      <c r="G59" t="s">
        <v>1665</v>
      </c>
      <c r="H59" t="s">
        <v>24</v>
      </c>
    </row>
    <row r="60" spans="1:8" hidden="1" x14ac:dyDescent="0.3">
      <c r="A60" s="19" t="s">
        <v>520</v>
      </c>
      <c r="B60" s="20">
        <v>765.14</v>
      </c>
      <c r="C60" s="19" t="s">
        <v>1683</v>
      </c>
      <c r="D60" s="22">
        <v>45966</v>
      </c>
      <c r="E60" s="19" t="s">
        <v>909</v>
      </c>
      <c r="F60" s="19" t="s">
        <v>1664</v>
      </c>
      <c r="G60" s="190" t="s">
        <v>1788</v>
      </c>
      <c r="H60" t="s">
        <v>24</v>
      </c>
    </row>
    <row r="61" spans="1:8" hidden="1" x14ac:dyDescent="0.3">
      <c r="A61" s="19" t="s">
        <v>318</v>
      </c>
      <c r="B61" s="20">
        <v>494.91</v>
      </c>
      <c r="C61" s="23">
        <v>45901</v>
      </c>
      <c r="D61" s="22">
        <v>45966</v>
      </c>
      <c r="E61" s="19" t="s">
        <v>909</v>
      </c>
      <c r="F61" s="19" t="s">
        <v>1664</v>
      </c>
      <c r="G61" t="s">
        <v>1665</v>
      </c>
      <c r="H61" t="s">
        <v>24</v>
      </c>
    </row>
    <row r="62" spans="1:8" x14ac:dyDescent="0.3">
      <c r="A62" s="19" t="s">
        <v>274</v>
      </c>
      <c r="B62" s="20">
        <v>143.9</v>
      </c>
      <c r="C62" s="23">
        <v>45901</v>
      </c>
      <c r="D62" s="22">
        <v>45967</v>
      </c>
      <c r="E62" s="19" t="s">
        <v>909</v>
      </c>
      <c r="F62" s="19" t="s">
        <v>1664</v>
      </c>
      <c r="G62" t="s">
        <v>1665</v>
      </c>
      <c r="H62" t="s">
        <v>24</v>
      </c>
    </row>
    <row r="63" spans="1:8" ht="28.8" hidden="1" x14ac:dyDescent="0.3">
      <c r="A63" s="33" t="s">
        <v>130</v>
      </c>
      <c r="B63" s="34">
        <v>147.16999999999999</v>
      </c>
      <c r="C63" s="177" t="s">
        <v>1701</v>
      </c>
      <c r="D63" s="36">
        <v>45973</v>
      </c>
      <c r="E63" s="33" t="s">
        <v>909</v>
      </c>
      <c r="F63" s="33" t="s">
        <v>1664</v>
      </c>
      <c r="G63" s="12" t="s">
        <v>1665</v>
      </c>
      <c r="H63" s="12" t="s">
        <v>24</v>
      </c>
    </row>
    <row r="64" spans="1:8" hidden="1" x14ac:dyDescent="0.3">
      <c r="A64" s="19" t="s">
        <v>271</v>
      </c>
      <c r="B64" s="20">
        <v>198.68</v>
      </c>
      <c r="C64" s="23">
        <v>45901</v>
      </c>
      <c r="D64" s="22">
        <v>45973</v>
      </c>
      <c r="E64" s="19" t="s">
        <v>909</v>
      </c>
      <c r="F64" s="19" t="s">
        <v>1664</v>
      </c>
      <c r="G64" t="s">
        <v>1665</v>
      </c>
      <c r="H64" t="s">
        <v>24</v>
      </c>
    </row>
    <row r="65" spans="1:8" hidden="1" x14ac:dyDescent="0.3">
      <c r="A65" s="19" t="s">
        <v>271</v>
      </c>
      <c r="B65" s="20">
        <v>50.97</v>
      </c>
      <c r="C65" s="23">
        <v>45870</v>
      </c>
      <c r="D65" s="22">
        <v>45979</v>
      </c>
      <c r="E65" s="19" t="s">
        <v>909</v>
      </c>
      <c r="F65" s="19" t="s">
        <v>1664</v>
      </c>
      <c r="G65" t="s">
        <v>1665</v>
      </c>
      <c r="H65" t="s">
        <v>24</v>
      </c>
    </row>
    <row r="66" spans="1:8" hidden="1" x14ac:dyDescent="0.3">
      <c r="A66" s="148" t="s">
        <v>271</v>
      </c>
      <c r="B66" s="178">
        <v>189.68</v>
      </c>
      <c r="C66" s="179">
        <v>45931</v>
      </c>
      <c r="D66" s="180">
        <v>45979</v>
      </c>
      <c r="E66" s="148" t="s">
        <v>909</v>
      </c>
      <c r="F66" s="148" t="s">
        <v>1664</v>
      </c>
      <c r="G66" t="s">
        <v>1665</v>
      </c>
      <c r="H66" t="s">
        <v>24</v>
      </c>
    </row>
    <row r="67" spans="1:8" hidden="1" x14ac:dyDescent="0.3">
      <c r="A67" s="181" t="s">
        <v>257</v>
      </c>
      <c r="B67" s="182">
        <v>214.04</v>
      </c>
      <c r="C67" s="183">
        <v>45931</v>
      </c>
      <c r="D67" s="130">
        <v>45979</v>
      </c>
      <c r="E67" s="184" t="s">
        <v>909</v>
      </c>
      <c r="F67" s="185" t="s">
        <v>1702</v>
      </c>
      <c r="G67" t="s">
        <v>1665</v>
      </c>
      <c r="H67" t="s">
        <v>24</v>
      </c>
    </row>
    <row r="68" spans="1:8" ht="15" hidden="1" thickBot="1" x14ac:dyDescent="0.35">
      <c r="A68" s="186" t="s">
        <v>257</v>
      </c>
      <c r="B68" s="187">
        <v>3.01</v>
      </c>
      <c r="C68" s="188">
        <v>45931</v>
      </c>
      <c r="D68" s="172">
        <v>45979</v>
      </c>
      <c r="E68" s="167" t="s">
        <v>909</v>
      </c>
      <c r="F68" s="189" t="s">
        <v>1702</v>
      </c>
      <c r="G68" t="s">
        <v>1665</v>
      </c>
      <c r="H68" t="s">
        <v>24</v>
      </c>
    </row>
    <row r="69" spans="1:8" ht="15" hidden="1" thickBot="1" x14ac:dyDescent="0.35">
      <c r="A69" s="25" t="s">
        <v>309</v>
      </c>
      <c r="B69" s="26">
        <v>53.29</v>
      </c>
      <c r="C69" s="188">
        <v>45931</v>
      </c>
      <c r="D69" s="172">
        <v>45987</v>
      </c>
      <c r="E69" s="167" t="s">
        <v>909</v>
      </c>
      <c r="F69" s="19" t="s">
        <v>1664</v>
      </c>
      <c r="G69" t="s">
        <v>1665</v>
      </c>
      <c r="H69" t="s">
        <v>24</v>
      </c>
    </row>
    <row r="70" spans="1:8" hidden="1" x14ac:dyDescent="0.3">
      <c r="A70" s="19" t="s">
        <v>153</v>
      </c>
      <c r="B70" s="20">
        <v>196.17</v>
      </c>
      <c r="C70" s="23">
        <v>45901</v>
      </c>
      <c r="D70" s="22">
        <v>45971</v>
      </c>
      <c r="E70" s="19" t="s">
        <v>909</v>
      </c>
      <c r="F70" s="19" t="s">
        <v>1664</v>
      </c>
      <c r="G70" t="s">
        <v>1665</v>
      </c>
      <c r="H70" t="s">
        <v>24</v>
      </c>
    </row>
    <row r="71" spans="1:8" hidden="1" x14ac:dyDescent="0.3">
      <c r="A71" s="19" t="s">
        <v>240</v>
      </c>
      <c r="B71" s="20">
        <v>155.33000000000001</v>
      </c>
      <c r="C71" s="23">
        <v>45778</v>
      </c>
      <c r="D71" s="22">
        <v>45968</v>
      </c>
      <c r="E71" s="19" t="s">
        <v>909</v>
      </c>
      <c r="F71" s="19" t="s">
        <v>1664</v>
      </c>
      <c r="G71" t="s">
        <v>1665</v>
      </c>
      <c r="H71" t="s">
        <v>24</v>
      </c>
    </row>
    <row r="72" spans="1:8" hidden="1" x14ac:dyDescent="0.3">
      <c r="A72" s="19" t="s">
        <v>118</v>
      </c>
      <c r="B72" s="20">
        <v>181.29</v>
      </c>
      <c r="C72" s="23">
        <v>45778</v>
      </c>
      <c r="D72" s="22">
        <v>45968</v>
      </c>
      <c r="E72" s="19" t="s">
        <v>909</v>
      </c>
      <c r="F72" s="19" t="s">
        <v>1664</v>
      </c>
      <c r="G72" t="s">
        <v>1665</v>
      </c>
      <c r="H72" t="s">
        <v>24</v>
      </c>
    </row>
    <row r="73" spans="1:8" hidden="1" x14ac:dyDescent="0.3">
      <c r="A73" s="19" t="s">
        <v>294</v>
      </c>
      <c r="B73" s="20">
        <v>343.7</v>
      </c>
      <c r="C73" s="23">
        <v>45931</v>
      </c>
      <c r="D73" s="22">
        <v>45980</v>
      </c>
      <c r="E73" s="19" t="s">
        <v>909</v>
      </c>
      <c r="F73" s="19" t="s">
        <v>1664</v>
      </c>
      <c r="G73" t="s">
        <v>1665</v>
      </c>
      <c r="H73" t="s">
        <v>24</v>
      </c>
    </row>
    <row r="74" spans="1:8" hidden="1" x14ac:dyDescent="0.3">
      <c r="A74" s="19" t="s">
        <v>287</v>
      </c>
      <c r="B74" s="20">
        <v>61.7</v>
      </c>
      <c r="C74" s="23">
        <v>45931</v>
      </c>
      <c r="D74" s="22">
        <v>45992</v>
      </c>
      <c r="E74" s="19" t="s">
        <v>909</v>
      </c>
      <c r="F74" s="19" t="s">
        <v>1664</v>
      </c>
      <c r="G74" t="s">
        <v>1665</v>
      </c>
      <c r="H74" t="s">
        <v>24</v>
      </c>
    </row>
    <row r="75" spans="1:8" hidden="1" x14ac:dyDescent="0.3">
      <c r="A75" s="19" t="s">
        <v>238</v>
      </c>
      <c r="B75" s="20">
        <v>496.16</v>
      </c>
      <c r="C75" s="23">
        <v>45931</v>
      </c>
      <c r="D75" s="22">
        <v>45992</v>
      </c>
      <c r="E75" s="19" t="s">
        <v>909</v>
      </c>
      <c r="F75" s="19" t="s">
        <v>1664</v>
      </c>
      <c r="G75" t="s">
        <v>1665</v>
      </c>
      <c r="H75" t="s">
        <v>24</v>
      </c>
    </row>
    <row r="76" spans="1:8" hidden="1" x14ac:dyDescent="0.3">
      <c r="A76" s="19" t="s">
        <v>161</v>
      </c>
      <c r="B76" s="20">
        <v>327.72</v>
      </c>
      <c r="C76" s="23">
        <v>45931</v>
      </c>
      <c r="D76" s="22">
        <v>45993</v>
      </c>
      <c r="E76" s="19" t="s">
        <v>909</v>
      </c>
      <c r="F76" s="19" t="s">
        <v>1664</v>
      </c>
      <c r="G76" t="s">
        <v>1665</v>
      </c>
      <c r="H76" t="s">
        <v>24</v>
      </c>
    </row>
    <row r="77" spans="1:8" hidden="1" x14ac:dyDescent="0.3">
      <c r="A77" s="19" t="s">
        <v>307</v>
      </c>
      <c r="B77" s="20">
        <v>258.95999999999998</v>
      </c>
      <c r="C77" s="23">
        <v>45931</v>
      </c>
      <c r="D77" s="22">
        <v>45993</v>
      </c>
      <c r="E77" s="19" t="s">
        <v>909</v>
      </c>
      <c r="F77" s="19" t="s">
        <v>1664</v>
      </c>
      <c r="G77" t="s">
        <v>1665</v>
      </c>
      <c r="H77" t="s">
        <v>24</v>
      </c>
    </row>
    <row r="78" spans="1:8" hidden="1" x14ac:dyDescent="0.3">
      <c r="A78" s="19" t="s">
        <v>297</v>
      </c>
      <c r="B78" s="20">
        <v>322.7</v>
      </c>
      <c r="C78" s="23">
        <v>45931</v>
      </c>
      <c r="D78" s="22">
        <v>45994</v>
      </c>
      <c r="E78" s="19" t="s">
        <v>909</v>
      </c>
      <c r="F78" s="19" t="s">
        <v>1664</v>
      </c>
      <c r="G78" t="s">
        <v>1665</v>
      </c>
      <c r="H78" t="s">
        <v>24</v>
      </c>
    </row>
    <row r="79" spans="1:8" hidden="1" x14ac:dyDescent="0.3">
      <c r="A79" s="19" t="s">
        <v>264</v>
      </c>
      <c r="B79" s="20">
        <v>221.93</v>
      </c>
      <c r="C79" s="23">
        <v>45931</v>
      </c>
      <c r="D79" s="22">
        <v>45995</v>
      </c>
      <c r="E79" s="19" t="s">
        <v>909</v>
      </c>
      <c r="F79" s="19" t="s">
        <v>1664</v>
      </c>
      <c r="G79" t="s">
        <v>1665</v>
      </c>
      <c r="H79" t="s">
        <v>24</v>
      </c>
    </row>
    <row r="80" spans="1:8" hidden="1" x14ac:dyDescent="0.3">
      <c r="A80" s="19" t="s">
        <v>276</v>
      </c>
      <c r="B80" s="20">
        <v>19.600000000000001</v>
      </c>
      <c r="C80" s="23">
        <v>45931</v>
      </c>
      <c r="D80" s="22">
        <v>45995</v>
      </c>
      <c r="E80" s="19" t="s">
        <v>909</v>
      </c>
      <c r="F80" s="19" t="s">
        <v>1664</v>
      </c>
      <c r="G80" t="s">
        <v>1665</v>
      </c>
      <c r="H80" t="s">
        <v>24</v>
      </c>
    </row>
    <row r="81" spans="1:8" hidden="1" x14ac:dyDescent="0.3">
      <c r="A81" s="19" t="s">
        <v>350</v>
      </c>
      <c r="B81" s="77">
        <v>49.42</v>
      </c>
      <c r="C81" s="23">
        <v>45931</v>
      </c>
      <c r="D81" s="22">
        <v>45995</v>
      </c>
      <c r="E81" s="19" t="s">
        <v>909</v>
      </c>
      <c r="F81" s="19" t="s">
        <v>1664</v>
      </c>
      <c r="G81" t="s">
        <v>1665</v>
      </c>
      <c r="H81" t="s">
        <v>24</v>
      </c>
    </row>
    <row r="82" spans="1:8" hidden="1" x14ac:dyDescent="0.3">
      <c r="A82" s="19" t="s">
        <v>280</v>
      </c>
      <c r="B82" s="77">
        <v>183.42</v>
      </c>
      <c r="C82" s="23">
        <v>45931</v>
      </c>
      <c r="D82" s="22">
        <v>45999</v>
      </c>
      <c r="E82" s="19" t="s">
        <v>909</v>
      </c>
      <c r="F82" s="19" t="s">
        <v>1664</v>
      </c>
      <c r="G82" t="s">
        <v>1665</v>
      </c>
      <c r="H82" t="s">
        <v>24</v>
      </c>
    </row>
    <row r="83" spans="1:8" x14ac:dyDescent="0.3">
      <c r="A83" s="9"/>
      <c r="B83" s="77"/>
      <c r="C83" s="9"/>
      <c r="D83" s="9"/>
      <c r="E83" s="9"/>
      <c r="F83" s="9"/>
    </row>
    <row r="84" spans="1:8" x14ac:dyDescent="0.3">
      <c r="A84" s="9"/>
      <c r="B84" s="77"/>
      <c r="C84" s="9"/>
      <c r="D84" s="9"/>
      <c r="E84" s="9"/>
      <c r="F84" s="9"/>
    </row>
    <row r="85" spans="1:8" x14ac:dyDescent="0.3">
      <c r="A85" s="9"/>
      <c r="B85" s="77"/>
      <c r="C85" s="9"/>
      <c r="D85" s="9"/>
      <c r="E85" s="9"/>
      <c r="F85" s="9"/>
    </row>
    <row r="86" spans="1:8" x14ac:dyDescent="0.3">
      <c r="A86" s="9"/>
      <c r="B86" s="77"/>
      <c r="C86" s="9"/>
      <c r="D86" s="9"/>
      <c r="E86" s="9"/>
      <c r="F86" s="9"/>
    </row>
    <row r="87" spans="1:8" x14ac:dyDescent="0.3">
      <c r="A87" s="9"/>
      <c r="B87" s="77"/>
      <c r="C87" s="9"/>
      <c r="D87" s="9"/>
      <c r="E87" s="9"/>
      <c r="F87" s="9"/>
    </row>
    <row r="88" spans="1:8" x14ac:dyDescent="0.3">
      <c r="A88" s="9"/>
      <c r="B88" s="77"/>
      <c r="C88" s="9"/>
      <c r="D88" s="9"/>
      <c r="E88" s="9"/>
      <c r="F88" s="9"/>
    </row>
    <row r="89" spans="1:8" x14ac:dyDescent="0.3">
      <c r="A89" s="9"/>
      <c r="B89" s="77"/>
      <c r="C89" s="9"/>
      <c r="D89" s="9"/>
      <c r="E89" s="9"/>
      <c r="F89" s="9"/>
    </row>
    <row r="90" spans="1:8" x14ac:dyDescent="0.3">
      <c r="A90" s="9"/>
      <c r="B90" s="77"/>
      <c r="C90" s="9"/>
      <c r="D90" s="9"/>
      <c r="E90" s="9"/>
      <c r="F90" s="9"/>
    </row>
    <row r="91" spans="1:8" x14ac:dyDescent="0.3">
      <c r="A91" s="9"/>
      <c r="B91" s="77"/>
      <c r="C91" s="9"/>
      <c r="D91" s="9"/>
      <c r="E91" s="9"/>
      <c r="F91" s="9"/>
    </row>
    <row r="92" spans="1:8" x14ac:dyDescent="0.3">
      <c r="A92" s="9"/>
      <c r="B92" s="77"/>
      <c r="C92" s="9"/>
      <c r="D92" s="9"/>
      <c r="E92" s="9"/>
      <c r="F92" s="9"/>
    </row>
    <row r="93" spans="1:8" x14ac:dyDescent="0.3">
      <c r="A93" s="9"/>
      <c r="B93" s="77"/>
      <c r="C93" s="9"/>
      <c r="D93" s="9"/>
      <c r="E93" s="9"/>
      <c r="F93" s="9"/>
    </row>
    <row r="94" spans="1:8" x14ac:dyDescent="0.3">
      <c r="A94" s="9"/>
      <c r="B94" s="77"/>
      <c r="C94" s="9"/>
      <c r="D94" s="9"/>
      <c r="E94" s="9"/>
      <c r="F94" s="9"/>
    </row>
    <row r="95" spans="1:8" x14ac:dyDescent="0.3">
      <c r="A95" s="9"/>
      <c r="B95" s="77"/>
      <c r="C95" s="9"/>
      <c r="D95" s="9"/>
      <c r="E95" s="9"/>
      <c r="F95" s="9"/>
    </row>
    <row r="96" spans="1:8" x14ac:dyDescent="0.3">
      <c r="A96" s="9"/>
      <c r="B96" s="77"/>
      <c r="C96" s="9"/>
      <c r="D96" s="9"/>
      <c r="E96" s="9"/>
      <c r="F96" s="9"/>
    </row>
    <row r="97" spans="1:6" x14ac:dyDescent="0.3">
      <c r="A97" s="9"/>
      <c r="B97" s="77"/>
      <c r="C97" s="9"/>
      <c r="D97" s="9"/>
      <c r="E97" s="9"/>
      <c r="F97" s="9"/>
    </row>
    <row r="98" spans="1:6" x14ac:dyDescent="0.3">
      <c r="A98" s="9"/>
      <c r="B98" s="77"/>
      <c r="C98" s="9"/>
      <c r="D98" s="9"/>
      <c r="E98" s="9"/>
      <c r="F98" s="9"/>
    </row>
    <row r="99" spans="1:6" x14ac:dyDescent="0.3">
      <c r="A99" s="9"/>
      <c r="B99" s="77"/>
      <c r="C99" s="9"/>
      <c r="D99" s="9"/>
      <c r="E99" s="9"/>
      <c r="F99" s="9"/>
    </row>
    <row r="100" spans="1:6" x14ac:dyDescent="0.3">
      <c r="A100" s="9"/>
      <c r="B100" s="77"/>
      <c r="C100" s="9"/>
      <c r="D100" s="9"/>
      <c r="E100" s="9"/>
      <c r="F100" s="9"/>
    </row>
    <row r="101" spans="1:6" x14ac:dyDescent="0.3">
      <c r="A101" s="9"/>
      <c r="B101" s="77"/>
      <c r="C101" s="9"/>
      <c r="D101" s="9"/>
      <c r="E101" s="9"/>
      <c r="F101" s="9"/>
    </row>
    <row r="102" spans="1:6" x14ac:dyDescent="0.3">
      <c r="A102" s="9"/>
      <c r="B102" s="77"/>
      <c r="C102" s="9"/>
      <c r="D102" s="9"/>
      <c r="E102" s="9"/>
      <c r="F102" s="9"/>
    </row>
    <row r="103" spans="1:6" x14ac:dyDescent="0.3">
      <c r="A103" s="9"/>
      <c r="B103" s="77"/>
      <c r="C103" s="9"/>
      <c r="D103" s="9"/>
      <c r="E103" s="9"/>
      <c r="F103" s="9"/>
    </row>
    <row r="104" spans="1:6" x14ac:dyDescent="0.3">
      <c r="A104" s="9"/>
      <c r="B104" s="77"/>
      <c r="C104" s="9"/>
      <c r="D104" s="9"/>
      <c r="E104" s="9"/>
      <c r="F104" s="9"/>
    </row>
    <row r="105" spans="1:6" x14ac:dyDescent="0.3">
      <c r="A105" s="9"/>
      <c r="B105" s="77"/>
      <c r="C105" s="9"/>
      <c r="D105" s="9"/>
      <c r="E105" s="9"/>
      <c r="F105" s="9"/>
    </row>
    <row r="106" spans="1:6" x14ac:dyDescent="0.3">
      <c r="A106" s="9"/>
      <c r="B106" s="77"/>
      <c r="C106" s="9"/>
      <c r="D106" s="9"/>
      <c r="E106" s="9"/>
      <c r="F106" s="9"/>
    </row>
    <row r="107" spans="1:6" x14ac:dyDescent="0.3">
      <c r="A107" s="9"/>
      <c r="B107" s="77"/>
      <c r="C107" s="9"/>
      <c r="D107" s="9"/>
      <c r="E107" s="9"/>
      <c r="F107" s="9"/>
    </row>
    <row r="108" spans="1:6" x14ac:dyDescent="0.3">
      <c r="A108" s="9"/>
      <c r="B108" s="77"/>
      <c r="C108" s="9"/>
      <c r="D108" s="9"/>
      <c r="E108" s="9"/>
      <c r="F108" s="9"/>
    </row>
    <row r="109" spans="1:6" x14ac:dyDescent="0.3">
      <c r="A109" s="9"/>
      <c r="B109" s="77"/>
      <c r="C109" s="9"/>
      <c r="D109" s="9"/>
      <c r="E109" s="9"/>
      <c r="F109" s="9"/>
    </row>
    <row r="110" spans="1:6" x14ac:dyDescent="0.3">
      <c r="A110" s="9"/>
      <c r="B110" s="77"/>
      <c r="C110" s="9"/>
      <c r="D110" s="9"/>
      <c r="E110" s="9"/>
      <c r="F110" s="9"/>
    </row>
    <row r="111" spans="1:6" x14ac:dyDescent="0.3">
      <c r="A111" s="9"/>
      <c r="B111" s="77"/>
      <c r="C111" s="9"/>
      <c r="D111" s="9"/>
      <c r="E111" s="9"/>
      <c r="F111" s="9"/>
    </row>
    <row r="112" spans="1:6" x14ac:dyDescent="0.3">
      <c r="A112" s="9"/>
      <c r="B112" s="77"/>
      <c r="C112" s="9"/>
      <c r="D112" s="9"/>
      <c r="E112" s="9"/>
      <c r="F112" s="9"/>
    </row>
    <row r="113" spans="1:6" x14ac:dyDescent="0.3">
      <c r="A113" s="9"/>
      <c r="B113" s="77"/>
      <c r="C113" s="9"/>
      <c r="D113" s="9"/>
      <c r="E113" s="9"/>
      <c r="F113" s="9"/>
    </row>
    <row r="114" spans="1:6" x14ac:dyDescent="0.3">
      <c r="A114" s="9"/>
      <c r="B114" s="77"/>
      <c r="C114" s="9"/>
      <c r="D114" s="9"/>
      <c r="E114" s="9"/>
      <c r="F114" s="9"/>
    </row>
    <row r="115" spans="1:6" x14ac:dyDescent="0.3">
      <c r="A115" s="9"/>
      <c r="B115" s="77"/>
      <c r="C115" s="9"/>
      <c r="D115" s="9"/>
      <c r="E115" s="9"/>
      <c r="F115" s="9"/>
    </row>
    <row r="116" spans="1:6" x14ac:dyDescent="0.3">
      <c r="A116" s="9"/>
      <c r="B116" s="77"/>
      <c r="C116" s="9"/>
      <c r="D116" s="9"/>
      <c r="E116" s="9"/>
      <c r="F116" s="9"/>
    </row>
    <row r="117" spans="1:6" x14ac:dyDescent="0.3">
      <c r="A117" s="9"/>
      <c r="B117" s="77"/>
      <c r="C117" s="9"/>
      <c r="D117" s="9"/>
      <c r="E117" s="9"/>
      <c r="F117" s="9"/>
    </row>
    <row r="118" spans="1:6" x14ac:dyDescent="0.3">
      <c r="A118" s="9"/>
      <c r="B118" s="77"/>
      <c r="C118" s="9"/>
      <c r="D118" s="9"/>
      <c r="E118" s="9"/>
      <c r="F118" s="9"/>
    </row>
    <row r="119" spans="1:6" x14ac:dyDescent="0.3">
      <c r="A119" s="9"/>
      <c r="B119" s="77"/>
      <c r="C119" s="9"/>
      <c r="D119" s="9"/>
      <c r="E119" s="9"/>
      <c r="F119" s="9"/>
    </row>
    <row r="120" spans="1:6" x14ac:dyDescent="0.3">
      <c r="A120" s="9"/>
      <c r="B120" s="77"/>
      <c r="C120" s="9"/>
      <c r="D120" s="9"/>
      <c r="E120" s="9"/>
      <c r="F120" s="9"/>
    </row>
    <row r="121" spans="1:6" x14ac:dyDescent="0.3">
      <c r="A121" s="9"/>
      <c r="B121" s="77"/>
      <c r="C121" s="9"/>
      <c r="D121" s="9"/>
      <c r="E121" s="9"/>
      <c r="F121" s="9"/>
    </row>
    <row r="122" spans="1:6" x14ac:dyDescent="0.3">
      <c r="A122" s="9"/>
      <c r="B122" s="77"/>
      <c r="C122" s="9"/>
      <c r="D122" s="9"/>
      <c r="E122" s="9"/>
      <c r="F122" s="9"/>
    </row>
    <row r="123" spans="1:6" x14ac:dyDescent="0.3">
      <c r="A123" s="9"/>
      <c r="B123" s="77"/>
      <c r="C123" s="9"/>
      <c r="D123" s="9"/>
      <c r="E123" s="9"/>
      <c r="F123" s="9"/>
    </row>
    <row r="124" spans="1:6" x14ac:dyDescent="0.3">
      <c r="A124" s="9"/>
      <c r="B124" s="77"/>
      <c r="C124" s="9"/>
      <c r="D124" s="9"/>
      <c r="E124" s="9"/>
      <c r="F124" s="9"/>
    </row>
    <row r="125" spans="1:6" x14ac:dyDescent="0.3">
      <c r="A125" s="9"/>
      <c r="B125" s="77"/>
      <c r="C125" s="9"/>
      <c r="D125" s="9"/>
      <c r="E125" s="9"/>
      <c r="F125" s="9"/>
    </row>
    <row r="126" spans="1:6" x14ac:dyDescent="0.3">
      <c r="A126" s="9"/>
      <c r="B126" s="77"/>
      <c r="C126" s="9"/>
      <c r="D126" s="9"/>
      <c r="E126" s="9"/>
      <c r="F126" s="9"/>
    </row>
    <row r="127" spans="1:6" x14ac:dyDescent="0.3">
      <c r="A127" s="9"/>
      <c r="B127" s="77"/>
      <c r="C127" s="9"/>
      <c r="D127" s="9"/>
      <c r="E127" s="9"/>
      <c r="F127" s="9"/>
    </row>
    <row r="128" spans="1:6" x14ac:dyDescent="0.3">
      <c r="A128" s="9"/>
      <c r="B128" s="77"/>
      <c r="C128" s="9"/>
      <c r="D128" s="9"/>
      <c r="E128" s="9"/>
      <c r="F128" s="9"/>
    </row>
    <row r="129" spans="1:6" x14ac:dyDescent="0.3">
      <c r="A129" s="9"/>
      <c r="B129" s="77"/>
      <c r="C129" s="9"/>
      <c r="D129" s="9"/>
      <c r="E129" s="9"/>
      <c r="F129" s="9"/>
    </row>
    <row r="130" spans="1:6" x14ac:dyDescent="0.3">
      <c r="A130" s="9"/>
      <c r="B130" s="77"/>
      <c r="C130" s="9"/>
      <c r="D130" s="9"/>
      <c r="E130" s="9"/>
      <c r="F130" s="9"/>
    </row>
    <row r="131" spans="1:6" x14ac:dyDescent="0.3">
      <c r="A131" s="9"/>
      <c r="B131" s="77"/>
      <c r="C131" s="9"/>
      <c r="D131" s="9"/>
      <c r="E131" s="9"/>
      <c r="F131" s="9"/>
    </row>
    <row r="132" spans="1:6" x14ac:dyDescent="0.3">
      <c r="A132" s="9"/>
      <c r="B132" s="77"/>
      <c r="C132" s="9"/>
      <c r="D132" s="9"/>
      <c r="E132" s="9"/>
      <c r="F132" s="9"/>
    </row>
    <row r="133" spans="1:6" x14ac:dyDescent="0.3">
      <c r="A133" s="9"/>
      <c r="B133" s="77"/>
      <c r="C133" s="9"/>
      <c r="D133" s="9"/>
      <c r="E133" s="9"/>
      <c r="F133" s="9"/>
    </row>
    <row r="134" spans="1:6" x14ac:dyDescent="0.3">
      <c r="A134" s="9"/>
      <c r="B134" s="77"/>
      <c r="C134" s="9"/>
      <c r="D134" s="9"/>
      <c r="E134" s="9"/>
      <c r="F134" s="9"/>
    </row>
    <row r="135" spans="1:6" x14ac:dyDescent="0.3">
      <c r="A135" s="9"/>
      <c r="B135" s="77"/>
      <c r="C135" s="9"/>
      <c r="D135" s="9"/>
      <c r="E135" s="9"/>
      <c r="F135" s="9"/>
    </row>
    <row r="136" spans="1:6" x14ac:dyDescent="0.3">
      <c r="A136" s="9"/>
      <c r="B136" s="77"/>
      <c r="C136" s="9"/>
      <c r="D136" s="9"/>
      <c r="E136" s="9"/>
      <c r="F136" s="9"/>
    </row>
    <row r="137" spans="1:6" x14ac:dyDescent="0.3">
      <c r="A137" s="9"/>
      <c r="B137" s="77"/>
      <c r="C137" s="9"/>
      <c r="D137" s="9"/>
      <c r="E137" s="9"/>
      <c r="F137" s="9"/>
    </row>
    <row r="138" spans="1:6" x14ac:dyDescent="0.3">
      <c r="A138" s="9"/>
      <c r="B138" s="77"/>
      <c r="C138" s="9"/>
      <c r="D138" s="9"/>
      <c r="E138" s="9"/>
      <c r="F138" s="9"/>
    </row>
    <row r="139" spans="1:6" x14ac:dyDescent="0.3">
      <c r="A139" s="9"/>
      <c r="B139" s="77"/>
      <c r="C139" s="9"/>
      <c r="D139" s="9"/>
      <c r="E139" s="9"/>
      <c r="F139" s="9"/>
    </row>
    <row r="140" spans="1:6" x14ac:dyDescent="0.3">
      <c r="A140" s="9"/>
      <c r="B140" s="77"/>
      <c r="C140" s="9"/>
      <c r="D140" s="9"/>
      <c r="E140" s="9"/>
      <c r="F140" s="9"/>
    </row>
    <row r="141" spans="1:6" x14ac:dyDescent="0.3">
      <c r="A141" s="9"/>
      <c r="B141" s="77"/>
      <c r="C141" s="9"/>
      <c r="D141" s="9"/>
      <c r="E141" s="9"/>
      <c r="F141" s="9"/>
    </row>
    <row r="142" spans="1:6" x14ac:dyDescent="0.3">
      <c r="A142" s="9"/>
      <c r="B142" s="77"/>
      <c r="C142" s="9"/>
      <c r="D142" s="9"/>
      <c r="E142" s="9"/>
      <c r="F142" s="9"/>
    </row>
    <row r="143" spans="1:6" x14ac:dyDescent="0.3">
      <c r="A143" s="9"/>
      <c r="B143" s="77"/>
      <c r="C143" s="9"/>
      <c r="D143" s="9"/>
      <c r="E143" s="9"/>
      <c r="F143" s="9"/>
    </row>
    <row r="144" spans="1:6" x14ac:dyDescent="0.3">
      <c r="A144" s="9"/>
      <c r="B144" s="77"/>
      <c r="C144" s="9"/>
      <c r="D144" s="9"/>
      <c r="E144" s="9"/>
      <c r="F144" s="9"/>
    </row>
    <row r="145" spans="1:6" x14ac:dyDescent="0.3">
      <c r="A145" s="9"/>
      <c r="B145" s="77"/>
      <c r="C145" s="9"/>
      <c r="D145" s="9"/>
      <c r="E145" s="9"/>
      <c r="F145" s="9"/>
    </row>
    <row r="146" spans="1:6" x14ac:dyDescent="0.3">
      <c r="A146" s="9"/>
      <c r="B146" s="77"/>
      <c r="C146" s="9"/>
      <c r="D146" s="9"/>
      <c r="E146" s="9"/>
      <c r="F146" s="9"/>
    </row>
    <row r="147" spans="1:6" x14ac:dyDescent="0.3">
      <c r="A147" s="9"/>
      <c r="B147" s="77"/>
      <c r="C147" s="9"/>
      <c r="D147" s="9"/>
      <c r="E147" s="9"/>
      <c r="F147" s="9"/>
    </row>
    <row r="148" spans="1:6" x14ac:dyDescent="0.3">
      <c r="A148" s="9"/>
      <c r="B148" s="77"/>
      <c r="C148" s="9"/>
      <c r="D148" s="9"/>
      <c r="E148" s="9"/>
      <c r="F148" s="9"/>
    </row>
    <row r="149" spans="1:6" x14ac:dyDescent="0.3">
      <c r="A149" s="9"/>
      <c r="B149" s="77"/>
      <c r="C149" s="9"/>
      <c r="D149" s="9"/>
      <c r="E149" s="9"/>
      <c r="F149" s="9"/>
    </row>
    <row r="150" spans="1:6" x14ac:dyDescent="0.3">
      <c r="A150" s="9"/>
      <c r="B150" s="77"/>
      <c r="C150" s="9"/>
      <c r="D150" s="9"/>
      <c r="E150" s="9"/>
      <c r="F150" s="9"/>
    </row>
    <row r="151" spans="1:6" x14ac:dyDescent="0.3">
      <c r="A151" s="9"/>
      <c r="B151" s="77"/>
      <c r="C151" s="9"/>
      <c r="D151" s="9"/>
      <c r="E151" s="9"/>
      <c r="F151" s="9"/>
    </row>
    <row r="152" spans="1:6" x14ac:dyDescent="0.3">
      <c r="A152" s="9"/>
      <c r="B152" s="77"/>
      <c r="C152" s="9"/>
      <c r="D152" s="9"/>
      <c r="E152" s="9"/>
      <c r="F152" s="9"/>
    </row>
    <row r="153" spans="1:6" x14ac:dyDescent="0.3">
      <c r="A153" s="9"/>
      <c r="B153" s="77"/>
      <c r="C153" s="9"/>
      <c r="D153" s="9"/>
      <c r="E153" s="9"/>
      <c r="F153" s="9"/>
    </row>
    <row r="154" spans="1:6" x14ac:dyDescent="0.3">
      <c r="A154" s="9"/>
      <c r="B154" s="77"/>
      <c r="C154" s="9"/>
      <c r="D154" s="9"/>
      <c r="E154" s="9"/>
      <c r="F154" s="9"/>
    </row>
    <row r="155" spans="1:6" x14ac:dyDescent="0.3">
      <c r="A155" s="9"/>
      <c r="B155" s="77"/>
      <c r="C155" s="9"/>
      <c r="D155" s="9"/>
      <c r="E155" s="9"/>
      <c r="F155" s="9"/>
    </row>
    <row r="156" spans="1:6" x14ac:dyDescent="0.3">
      <c r="A156" s="9"/>
      <c r="B156" s="77"/>
      <c r="C156" s="9"/>
      <c r="D156" s="9"/>
      <c r="E156" s="9"/>
      <c r="F156" s="9"/>
    </row>
    <row r="157" spans="1:6" x14ac:dyDescent="0.3">
      <c r="A157" s="9"/>
      <c r="B157" s="77"/>
      <c r="C157" s="9"/>
      <c r="D157" s="9"/>
      <c r="E157" s="9"/>
      <c r="F157" s="9"/>
    </row>
    <row r="158" spans="1:6" x14ac:dyDescent="0.3">
      <c r="A158" s="9"/>
      <c r="B158" s="77"/>
      <c r="C158" s="9"/>
      <c r="D158" s="9"/>
      <c r="E158" s="9"/>
      <c r="F158" s="9"/>
    </row>
    <row r="159" spans="1:6" x14ac:dyDescent="0.3">
      <c r="A159" s="9"/>
      <c r="B159" s="77"/>
      <c r="C159" s="9"/>
      <c r="D159" s="9"/>
      <c r="E159" s="9"/>
      <c r="F159" s="9"/>
    </row>
    <row r="160" spans="1:6" x14ac:dyDescent="0.3">
      <c r="A160" s="9"/>
      <c r="B160" s="77"/>
      <c r="C160" s="9"/>
      <c r="D160" s="9"/>
      <c r="E160" s="9"/>
      <c r="F160" s="9"/>
    </row>
    <row r="161" spans="1:6" x14ac:dyDescent="0.3">
      <c r="A161" s="9"/>
      <c r="B161" s="77"/>
      <c r="C161" s="9"/>
      <c r="D161" s="9"/>
      <c r="E161" s="9"/>
      <c r="F161" s="9"/>
    </row>
    <row r="162" spans="1:6" x14ac:dyDescent="0.3">
      <c r="A162" s="9"/>
      <c r="B162" s="77"/>
      <c r="C162" s="9"/>
      <c r="D162" s="9"/>
      <c r="E162" s="9"/>
      <c r="F162" s="9"/>
    </row>
    <row r="163" spans="1:6" x14ac:dyDescent="0.3">
      <c r="A163" s="9"/>
      <c r="B163" s="77"/>
      <c r="C163" s="9"/>
      <c r="D163" s="9"/>
      <c r="E163" s="9"/>
      <c r="F163" s="9"/>
    </row>
    <row r="164" spans="1:6" x14ac:dyDescent="0.3">
      <c r="A164" s="9"/>
      <c r="B164" s="77"/>
      <c r="C164" s="9"/>
      <c r="D164" s="9"/>
      <c r="E164" s="9"/>
      <c r="F164" s="9"/>
    </row>
    <row r="165" spans="1:6" x14ac:dyDescent="0.3">
      <c r="A165" s="9"/>
      <c r="B165" s="77"/>
      <c r="C165" s="9"/>
      <c r="D165" s="9"/>
      <c r="E165" s="9"/>
      <c r="F165" s="9"/>
    </row>
    <row r="166" spans="1:6" x14ac:dyDescent="0.3">
      <c r="A166" s="9"/>
      <c r="B166" s="77"/>
      <c r="C166" s="9"/>
      <c r="D166" s="9"/>
      <c r="E166" s="9"/>
      <c r="F166" s="9"/>
    </row>
    <row r="167" spans="1:6" x14ac:dyDescent="0.3">
      <c r="A167" s="9"/>
      <c r="B167" s="77"/>
      <c r="C167" s="9"/>
      <c r="D167" s="9"/>
      <c r="E167" s="9"/>
      <c r="F167" s="9"/>
    </row>
    <row r="168" spans="1:6" x14ac:dyDescent="0.3">
      <c r="A168" s="9"/>
      <c r="B168" s="77"/>
      <c r="C168" s="9"/>
      <c r="D168" s="9"/>
      <c r="E168" s="9"/>
      <c r="F168" s="9"/>
    </row>
    <row r="169" spans="1:6" x14ac:dyDescent="0.3">
      <c r="A169" s="9"/>
      <c r="B169" s="77"/>
      <c r="C169" s="9"/>
      <c r="D169" s="9"/>
      <c r="E169" s="9"/>
      <c r="F169" s="9"/>
    </row>
    <row r="170" spans="1:6" x14ac:dyDescent="0.3">
      <c r="A170" s="9"/>
      <c r="B170" s="77"/>
      <c r="C170" s="9"/>
      <c r="D170" s="9"/>
      <c r="E170" s="9"/>
      <c r="F170" s="9"/>
    </row>
    <row r="171" spans="1:6" x14ac:dyDescent="0.3">
      <c r="A171" s="9"/>
      <c r="B171" s="77"/>
      <c r="C171" s="9"/>
      <c r="D171" s="9"/>
      <c r="E171" s="9"/>
      <c r="F171" s="9"/>
    </row>
    <row r="172" spans="1:6" x14ac:dyDescent="0.3">
      <c r="A172" s="9"/>
      <c r="B172" s="77"/>
      <c r="C172" s="9"/>
      <c r="D172" s="9"/>
      <c r="E172" s="9"/>
      <c r="F172" s="9"/>
    </row>
    <row r="173" spans="1:6" x14ac:dyDescent="0.3">
      <c r="A173" s="9"/>
      <c r="B173" s="77"/>
      <c r="C173" s="9"/>
      <c r="D173" s="9"/>
      <c r="E173" s="9"/>
      <c r="F173" s="9"/>
    </row>
    <row r="174" spans="1:6" x14ac:dyDescent="0.3">
      <c r="A174" s="9"/>
      <c r="B174" s="77"/>
      <c r="C174" s="9"/>
      <c r="D174" s="9"/>
      <c r="E174" s="9"/>
      <c r="F174" s="9"/>
    </row>
    <row r="175" spans="1:6" x14ac:dyDescent="0.3">
      <c r="A175" s="9"/>
      <c r="B175" s="77"/>
      <c r="C175" s="9"/>
      <c r="D175" s="9"/>
      <c r="E175" s="9"/>
      <c r="F175" s="9"/>
    </row>
    <row r="176" spans="1:6" x14ac:dyDescent="0.3">
      <c r="A176" s="9"/>
      <c r="B176" s="77"/>
      <c r="C176" s="9"/>
      <c r="D176" s="9"/>
      <c r="E176" s="9"/>
      <c r="F176" s="9"/>
    </row>
    <row r="177" spans="1:6" x14ac:dyDescent="0.3">
      <c r="A177" s="9"/>
      <c r="B177" s="77"/>
      <c r="C177" s="9"/>
      <c r="D177" s="9"/>
      <c r="E177" s="9"/>
      <c r="F177" s="9"/>
    </row>
    <row r="178" spans="1:6" x14ac:dyDescent="0.3">
      <c r="A178" s="9"/>
      <c r="B178" s="77"/>
      <c r="C178" s="9"/>
      <c r="D178" s="9"/>
      <c r="E178" s="9"/>
      <c r="F178" s="9"/>
    </row>
    <row r="179" spans="1:6" x14ac:dyDescent="0.3">
      <c r="A179" s="9"/>
      <c r="B179" s="77"/>
      <c r="C179" s="9"/>
      <c r="D179" s="9"/>
      <c r="E179" s="9"/>
      <c r="F179" s="9"/>
    </row>
    <row r="180" spans="1:6" x14ac:dyDescent="0.3">
      <c r="A180" s="9"/>
      <c r="B180" s="77"/>
      <c r="C180" s="9"/>
      <c r="D180" s="9"/>
      <c r="E180" s="9"/>
      <c r="F180" s="9"/>
    </row>
    <row r="181" spans="1:6" x14ac:dyDescent="0.3">
      <c r="A181" s="9"/>
      <c r="B181" s="77"/>
      <c r="C181" s="9"/>
      <c r="D181" s="9"/>
      <c r="E181" s="9"/>
      <c r="F181" s="9"/>
    </row>
    <row r="182" spans="1:6" x14ac:dyDescent="0.3">
      <c r="A182" s="9"/>
      <c r="B182" s="77"/>
      <c r="C182" s="9"/>
      <c r="D182" s="9"/>
      <c r="E182" s="9"/>
      <c r="F182" s="9"/>
    </row>
    <row r="183" spans="1:6" x14ac:dyDescent="0.3">
      <c r="A183" s="9"/>
      <c r="B183" s="77"/>
      <c r="C183" s="9"/>
      <c r="D183" s="9"/>
      <c r="E183" s="9"/>
      <c r="F183" s="9"/>
    </row>
    <row r="184" spans="1:6" x14ac:dyDescent="0.3">
      <c r="A184" s="9"/>
      <c r="B184" s="77"/>
      <c r="C184" s="9"/>
      <c r="D184" s="9"/>
      <c r="E184" s="9"/>
      <c r="F184" s="9"/>
    </row>
    <row r="185" spans="1:6" x14ac:dyDescent="0.3">
      <c r="A185" s="9"/>
      <c r="B185" s="77"/>
      <c r="C185" s="9"/>
      <c r="D185" s="9"/>
      <c r="E185" s="9"/>
      <c r="F185" s="9"/>
    </row>
    <row r="186" spans="1:6" x14ac:dyDescent="0.3">
      <c r="A186" s="9"/>
      <c r="B186" s="77"/>
      <c r="C186" s="9"/>
      <c r="D186" s="9"/>
      <c r="E186" s="9"/>
      <c r="F186" s="9"/>
    </row>
    <row r="187" spans="1:6" x14ac:dyDescent="0.3">
      <c r="A187" s="9"/>
      <c r="B187" s="77"/>
      <c r="C187" s="9"/>
      <c r="D187" s="9"/>
      <c r="E187" s="9"/>
      <c r="F187" s="9"/>
    </row>
    <row r="188" spans="1:6" x14ac:dyDescent="0.3">
      <c r="A188" s="9"/>
      <c r="B188" s="77"/>
      <c r="C188" s="9"/>
      <c r="D188" s="9"/>
      <c r="E188" s="9"/>
      <c r="F188" s="9"/>
    </row>
    <row r="189" spans="1:6" x14ac:dyDescent="0.3">
      <c r="A189" s="9"/>
      <c r="B189" s="77"/>
      <c r="C189" s="9"/>
      <c r="D189" s="9"/>
      <c r="E189" s="9"/>
      <c r="F189" s="9"/>
    </row>
    <row r="190" spans="1:6" x14ac:dyDescent="0.3">
      <c r="A190" s="9"/>
      <c r="B190" s="77"/>
      <c r="C190" s="9"/>
      <c r="D190" s="9"/>
      <c r="E190" s="9"/>
      <c r="F190" s="9"/>
    </row>
    <row r="191" spans="1:6" x14ac:dyDescent="0.3">
      <c r="A191" s="9"/>
      <c r="B191" s="77"/>
      <c r="C191" s="9"/>
      <c r="D191" s="9"/>
      <c r="E191" s="9"/>
      <c r="F191" s="9"/>
    </row>
    <row r="192" spans="1:6" x14ac:dyDescent="0.3">
      <c r="A192" s="9"/>
      <c r="B192" s="77"/>
      <c r="C192" s="9"/>
      <c r="D192" s="9"/>
      <c r="E192" s="9"/>
      <c r="F192" s="9"/>
    </row>
    <row r="193" spans="1:6" x14ac:dyDescent="0.3">
      <c r="A193" s="9"/>
      <c r="B193" s="77"/>
      <c r="C193" s="9"/>
      <c r="D193" s="9"/>
      <c r="E193" s="9"/>
      <c r="F193" s="9"/>
    </row>
    <row r="194" spans="1:6" x14ac:dyDescent="0.3">
      <c r="A194" s="9"/>
      <c r="B194" s="77"/>
      <c r="C194" s="9"/>
      <c r="D194" s="9"/>
      <c r="E194" s="9"/>
      <c r="F194" s="9"/>
    </row>
    <row r="195" spans="1:6" x14ac:dyDescent="0.3">
      <c r="A195" s="9"/>
      <c r="B195" s="77"/>
      <c r="C195" s="9"/>
      <c r="D195" s="9"/>
      <c r="E195" s="9"/>
      <c r="F195" s="9"/>
    </row>
    <row r="196" spans="1:6" x14ac:dyDescent="0.3">
      <c r="A196" s="9"/>
      <c r="B196" s="77"/>
      <c r="C196" s="9"/>
      <c r="D196" s="9"/>
      <c r="E196" s="9"/>
      <c r="F196" s="9"/>
    </row>
    <row r="197" spans="1:6" x14ac:dyDescent="0.3">
      <c r="A197" s="9"/>
      <c r="B197" s="77"/>
      <c r="C197" s="9"/>
      <c r="D197" s="9"/>
      <c r="E197" s="9"/>
      <c r="F197" s="9"/>
    </row>
    <row r="198" spans="1:6" x14ac:dyDescent="0.3">
      <c r="A198" s="9"/>
      <c r="B198" s="77"/>
      <c r="C198" s="9"/>
      <c r="D198" s="9"/>
      <c r="E198" s="9"/>
      <c r="F198" s="9"/>
    </row>
    <row r="199" spans="1:6" x14ac:dyDescent="0.3">
      <c r="A199" s="9"/>
      <c r="B199" s="77"/>
      <c r="C199" s="9"/>
      <c r="D199" s="9"/>
      <c r="E199" s="9"/>
      <c r="F199" s="9"/>
    </row>
    <row r="200" spans="1:6" x14ac:dyDescent="0.3">
      <c r="A200" s="9"/>
      <c r="B200" s="77"/>
      <c r="C200" s="9"/>
      <c r="D200" s="9"/>
      <c r="E200" s="9"/>
      <c r="F200" s="9"/>
    </row>
    <row r="201" spans="1:6" x14ac:dyDescent="0.3">
      <c r="A201" s="9"/>
      <c r="B201" s="77"/>
      <c r="C201" s="9"/>
      <c r="D201" s="9"/>
      <c r="E201" s="9"/>
      <c r="F201" s="9"/>
    </row>
    <row r="202" spans="1:6" x14ac:dyDescent="0.3">
      <c r="A202" s="9"/>
      <c r="B202" s="77"/>
      <c r="C202" s="9"/>
      <c r="D202" s="9"/>
      <c r="E202" s="9"/>
      <c r="F202" s="9"/>
    </row>
    <row r="203" spans="1:6" x14ac:dyDescent="0.3">
      <c r="A203" s="9"/>
      <c r="B203" s="77"/>
      <c r="C203" s="9"/>
      <c r="D203" s="9"/>
      <c r="E203" s="9"/>
      <c r="F203" s="9"/>
    </row>
    <row r="204" spans="1:6" x14ac:dyDescent="0.3">
      <c r="A204" s="9"/>
      <c r="B204" s="77"/>
      <c r="C204" s="9"/>
      <c r="D204" s="9"/>
      <c r="E204" s="9"/>
      <c r="F204" s="9"/>
    </row>
    <row r="205" spans="1:6" x14ac:dyDescent="0.3">
      <c r="A205" s="9"/>
      <c r="B205" s="77"/>
      <c r="C205" s="9"/>
      <c r="D205" s="9"/>
      <c r="E205" s="9"/>
      <c r="F205" s="9"/>
    </row>
    <row r="206" spans="1:6" x14ac:dyDescent="0.3">
      <c r="A206" s="9"/>
      <c r="B206" s="77"/>
      <c r="C206" s="9"/>
      <c r="D206" s="9"/>
      <c r="E206" s="9"/>
      <c r="F206" s="9"/>
    </row>
    <row r="207" spans="1:6" x14ac:dyDescent="0.3">
      <c r="A207" s="9"/>
      <c r="B207" s="77"/>
      <c r="C207" s="9"/>
      <c r="D207" s="9"/>
      <c r="E207" s="9"/>
      <c r="F207" s="9"/>
    </row>
    <row r="208" spans="1:6" x14ac:dyDescent="0.3">
      <c r="A208" s="9"/>
      <c r="B208" s="77"/>
      <c r="C208" s="9"/>
      <c r="D208" s="9"/>
      <c r="E208" s="9"/>
      <c r="F208" s="9"/>
    </row>
    <row r="209" spans="1:6" x14ac:dyDescent="0.3">
      <c r="A209" s="9"/>
      <c r="B209" s="77"/>
      <c r="C209" s="9"/>
      <c r="D209" s="9"/>
      <c r="E209" s="9"/>
      <c r="F209" s="9"/>
    </row>
    <row r="210" spans="1:6" x14ac:dyDescent="0.3">
      <c r="A210" s="9"/>
      <c r="B210" s="77"/>
      <c r="C210" s="9"/>
      <c r="D210" s="9"/>
      <c r="E210" s="9"/>
      <c r="F210" s="9"/>
    </row>
    <row r="211" spans="1:6" x14ac:dyDescent="0.3">
      <c r="A211" s="9"/>
      <c r="B211" s="77"/>
      <c r="C211" s="9"/>
      <c r="D211" s="9"/>
      <c r="E211" s="9"/>
      <c r="F211" s="9"/>
    </row>
    <row r="212" spans="1:6" x14ac:dyDescent="0.3">
      <c r="A212" s="9"/>
      <c r="B212" s="77"/>
      <c r="C212" s="9"/>
      <c r="D212" s="9"/>
      <c r="E212" s="9"/>
      <c r="F212" s="9"/>
    </row>
    <row r="213" spans="1:6" x14ac:dyDescent="0.3">
      <c r="A213" s="9"/>
      <c r="B213" s="77"/>
      <c r="C213" s="9"/>
      <c r="D213" s="9"/>
      <c r="E213" s="9"/>
      <c r="F213" s="9"/>
    </row>
    <row r="214" spans="1:6" x14ac:dyDescent="0.3">
      <c r="A214" s="9"/>
      <c r="B214" s="77"/>
      <c r="C214" s="9"/>
      <c r="D214" s="9"/>
      <c r="E214" s="9"/>
      <c r="F214" s="9"/>
    </row>
    <row r="215" spans="1:6" x14ac:dyDescent="0.3">
      <c r="A215" s="9"/>
      <c r="B215" s="77"/>
      <c r="C215" s="9"/>
      <c r="D215" s="9"/>
      <c r="E215" s="9"/>
      <c r="F215" s="9"/>
    </row>
    <row r="216" spans="1:6" x14ac:dyDescent="0.3">
      <c r="A216" s="9"/>
      <c r="B216" s="77"/>
      <c r="C216" s="9"/>
      <c r="D216" s="9"/>
      <c r="E216" s="9"/>
      <c r="F216" s="9"/>
    </row>
    <row r="217" spans="1:6" x14ac:dyDescent="0.3">
      <c r="A217" s="9"/>
      <c r="B217" s="77"/>
      <c r="C217" s="9"/>
      <c r="D217" s="9"/>
      <c r="E217" s="9"/>
      <c r="F217" s="9"/>
    </row>
    <row r="218" spans="1:6" x14ac:dyDescent="0.3">
      <c r="A218" s="9"/>
      <c r="B218" s="77"/>
      <c r="C218" s="9"/>
      <c r="D218" s="9"/>
      <c r="E218" s="9"/>
      <c r="F218" s="9"/>
    </row>
    <row r="219" spans="1:6" x14ac:dyDescent="0.3">
      <c r="A219" s="9"/>
      <c r="B219" s="77"/>
      <c r="C219" s="9"/>
      <c r="D219" s="9"/>
      <c r="E219" s="9"/>
      <c r="F219" s="9"/>
    </row>
    <row r="220" spans="1:6" x14ac:dyDescent="0.3">
      <c r="A220" s="9"/>
      <c r="B220" s="77"/>
      <c r="C220" s="9"/>
      <c r="D220" s="9"/>
      <c r="E220" s="9"/>
      <c r="F220" s="9"/>
    </row>
    <row r="221" spans="1:6" x14ac:dyDescent="0.3">
      <c r="A221" s="9"/>
      <c r="B221" s="77"/>
      <c r="C221" s="9"/>
      <c r="D221" s="9"/>
      <c r="E221" s="9"/>
      <c r="F221" s="9"/>
    </row>
    <row r="222" spans="1:6" x14ac:dyDescent="0.3">
      <c r="A222" s="9"/>
      <c r="B222" s="77"/>
      <c r="C222" s="9"/>
      <c r="D222" s="9"/>
      <c r="E222" s="9"/>
      <c r="F222" s="9"/>
    </row>
    <row r="223" spans="1:6" x14ac:dyDescent="0.3">
      <c r="A223" s="9"/>
      <c r="B223" s="77"/>
      <c r="C223" s="9"/>
      <c r="D223" s="9"/>
      <c r="E223" s="9"/>
      <c r="F223" s="9"/>
    </row>
    <row r="224" spans="1:6" x14ac:dyDescent="0.3">
      <c r="A224" s="9"/>
      <c r="B224" s="77"/>
      <c r="C224" s="9"/>
      <c r="D224" s="9"/>
      <c r="E224" s="9"/>
      <c r="F224" s="9"/>
    </row>
    <row r="225" spans="1:6" x14ac:dyDescent="0.3">
      <c r="A225" s="9"/>
      <c r="B225" s="77"/>
      <c r="C225" s="9"/>
      <c r="D225" s="9"/>
      <c r="E225" s="9"/>
      <c r="F225" s="9"/>
    </row>
    <row r="226" spans="1:6" x14ac:dyDescent="0.3">
      <c r="A226" s="9"/>
      <c r="B226" s="77"/>
      <c r="C226" s="9"/>
      <c r="D226" s="9"/>
      <c r="E226" s="9"/>
      <c r="F226" s="9"/>
    </row>
    <row r="227" spans="1:6" x14ac:dyDescent="0.3">
      <c r="A227" s="9"/>
      <c r="B227" s="77"/>
      <c r="C227" s="9"/>
      <c r="D227" s="9"/>
      <c r="E227" s="9"/>
      <c r="F227" s="9"/>
    </row>
    <row r="228" spans="1:6" x14ac:dyDescent="0.3">
      <c r="A228" s="9"/>
      <c r="B228" s="77"/>
      <c r="C228" s="9"/>
      <c r="D228" s="9"/>
      <c r="E228" s="9"/>
      <c r="F228" s="9"/>
    </row>
    <row r="229" spans="1:6" x14ac:dyDescent="0.3">
      <c r="A229" s="9"/>
      <c r="B229" s="77"/>
      <c r="C229" s="9"/>
      <c r="D229" s="9"/>
      <c r="E229" s="9"/>
      <c r="F229" s="9"/>
    </row>
    <row r="230" spans="1:6" x14ac:dyDescent="0.3">
      <c r="A230" s="9"/>
      <c r="B230" s="77"/>
      <c r="C230" s="9"/>
      <c r="D230" s="9"/>
      <c r="E230" s="9"/>
      <c r="F230" s="9"/>
    </row>
    <row r="231" spans="1:6" x14ac:dyDescent="0.3">
      <c r="A231" s="9"/>
      <c r="B231" s="77"/>
      <c r="C231" s="9"/>
      <c r="D231" s="9"/>
      <c r="E231" s="9"/>
      <c r="F231" s="9"/>
    </row>
    <row r="232" spans="1:6" x14ac:dyDescent="0.3">
      <c r="A232" s="9"/>
      <c r="B232" s="77"/>
      <c r="C232" s="9"/>
      <c r="D232" s="9"/>
      <c r="E232" s="9"/>
      <c r="F232" s="9"/>
    </row>
    <row r="233" spans="1:6" x14ac:dyDescent="0.3">
      <c r="A233" s="9"/>
      <c r="B233" s="77"/>
      <c r="C233" s="9"/>
      <c r="D233" s="9"/>
      <c r="E233" s="9"/>
      <c r="F233" s="9"/>
    </row>
    <row r="234" spans="1:6" x14ac:dyDescent="0.3">
      <c r="A234" s="9"/>
      <c r="B234" s="77"/>
      <c r="C234" s="9"/>
      <c r="D234" s="9"/>
      <c r="E234" s="9"/>
      <c r="F234" s="9"/>
    </row>
    <row r="235" spans="1:6" x14ac:dyDescent="0.3">
      <c r="A235" s="9"/>
      <c r="B235" s="77"/>
      <c r="C235" s="9"/>
      <c r="D235" s="9"/>
      <c r="E235" s="9"/>
      <c r="F235" s="9"/>
    </row>
    <row r="236" spans="1:6" x14ac:dyDescent="0.3">
      <c r="A236" s="9"/>
      <c r="B236" s="77"/>
      <c r="C236" s="9"/>
      <c r="D236" s="9"/>
      <c r="E236" s="9"/>
      <c r="F236" s="9"/>
    </row>
    <row r="237" spans="1:6" x14ac:dyDescent="0.3">
      <c r="A237" s="9"/>
      <c r="B237" s="77"/>
      <c r="C237" s="9"/>
      <c r="D237" s="9"/>
      <c r="E237" s="9"/>
      <c r="F237" s="9"/>
    </row>
    <row r="238" spans="1:6" x14ac:dyDescent="0.3">
      <c r="A238" s="9"/>
      <c r="B238" s="77"/>
      <c r="C238" s="9"/>
      <c r="D238" s="9"/>
      <c r="E238" s="9"/>
      <c r="F238" s="9"/>
    </row>
    <row r="239" spans="1:6" x14ac:dyDescent="0.3">
      <c r="A239" s="9"/>
      <c r="B239" s="77"/>
      <c r="C239" s="9"/>
      <c r="D239" s="9"/>
      <c r="E239" s="9"/>
      <c r="F239" s="9"/>
    </row>
    <row r="240" spans="1:6" x14ac:dyDescent="0.3">
      <c r="A240" s="9"/>
      <c r="B240" s="77"/>
      <c r="C240" s="9"/>
      <c r="D240" s="9"/>
      <c r="E240" s="9"/>
      <c r="F240" s="9"/>
    </row>
    <row r="241" spans="1:6" x14ac:dyDescent="0.3">
      <c r="A241" s="9"/>
      <c r="B241" s="77"/>
      <c r="C241" s="9"/>
      <c r="D241" s="9"/>
      <c r="E241" s="9"/>
      <c r="F241" s="9"/>
    </row>
    <row r="242" spans="1:6" x14ac:dyDescent="0.3">
      <c r="A242" s="9"/>
      <c r="B242" s="77"/>
      <c r="C242" s="9"/>
      <c r="D242" s="9"/>
      <c r="E242" s="9"/>
      <c r="F242" s="9"/>
    </row>
    <row r="243" spans="1:6" x14ac:dyDescent="0.3">
      <c r="A243" s="9"/>
      <c r="B243" s="77"/>
      <c r="C243" s="9"/>
      <c r="D243" s="9"/>
      <c r="E243" s="9"/>
      <c r="F243" s="9"/>
    </row>
    <row r="244" spans="1:6" x14ac:dyDescent="0.3">
      <c r="A244" s="9"/>
      <c r="B244" s="77"/>
      <c r="C244" s="9"/>
      <c r="D244" s="9"/>
      <c r="E244" s="9"/>
      <c r="F244" s="9"/>
    </row>
    <row r="245" spans="1:6" x14ac:dyDescent="0.3">
      <c r="A245" s="9"/>
      <c r="B245" s="77"/>
      <c r="C245" s="9"/>
      <c r="D245" s="9"/>
      <c r="E245" s="9"/>
      <c r="F245" s="9"/>
    </row>
    <row r="246" spans="1:6" x14ac:dyDescent="0.3">
      <c r="A246" s="9"/>
      <c r="B246" s="77"/>
      <c r="C246" s="9"/>
      <c r="D246" s="9"/>
      <c r="E246" s="9"/>
      <c r="F246" s="9"/>
    </row>
    <row r="247" spans="1:6" x14ac:dyDescent="0.3">
      <c r="A247" s="9"/>
      <c r="B247" s="77"/>
      <c r="C247" s="9"/>
      <c r="D247" s="9"/>
      <c r="E247" s="9"/>
      <c r="F247" s="9"/>
    </row>
    <row r="248" spans="1:6" x14ac:dyDescent="0.3">
      <c r="A248" s="9"/>
      <c r="B248" s="77"/>
      <c r="C248" s="9"/>
      <c r="D248" s="9"/>
      <c r="E248" s="9"/>
      <c r="F248" s="9"/>
    </row>
    <row r="249" spans="1:6" x14ac:dyDescent="0.3">
      <c r="A249" s="9"/>
      <c r="B249" s="77"/>
      <c r="C249" s="9"/>
      <c r="D249" s="9"/>
      <c r="E249" s="9"/>
      <c r="F249" s="9"/>
    </row>
    <row r="250" spans="1:6" x14ac:dyDescent="0.3">
      <c r="A250" s="9"/>
      <c r="B250" s="77"/>
      <c r="C250" s="9"/>
      <c r="D250" s="9"/>
      <c r="E250" s="9"/>
      <c r="F250" s="9"/>
    </row>
    <row r="251" spans="1:6" x14ac:dyDescent="0.3">
      <c r="A251" s="9"/>
      <c r="B251" s="77"/>
      <c r="C251" s="9"/>
      <c r="D251" s="9"/>
      <c r="E251" s="9"/>
      <c r="F251" s="9"/>
    </row>
    <row r="252" spans="1:6" x14ac:dyDescent="0.3">
      <c r="A252" s="9"/>
      <c r="B252" s="77"/>
      <c r="C252" s="9"/>
      <c r="D252" s="9"/>
      <c r="E252" s="9"/>
      <c r="F252" s="9"/>
    </row>
    <row r="253" spans="1:6" x14ac:dyDescent="0.3">
      <c r="A253" s="9"/>
      <c r="B253" s="77"/>
      <c r="C253" s="9"/>
      <c r="D253" s="9"/>
      <c r="E253" s="9"/>
      <c r="F253" s="9"/>
    </row>
    <row r="254" spans="1:6" x14ac:dyDescent="0.3">
      <c r="A254" s="9"/>
      <c r="B254" s="77"/>
      <c r="C254" s="9"/>
      <c r="D254" s="9"/>
      <c r="E254" s="9"/>
      <c r="F254" s="9"/>
    </row>
    <row r="255" spans="1:6" x14ac:dyDescent="0.3">
      <c r="A255" s="9"/>
      <c r="B255" s="77"/>
      <c r="C255" s="9"/>
      <c r="D255" s="9"/>
      <c r="E255" s="9"/>
      <c r="F255" s="9"/>
    </row>
    <row r="256" spans="1:6" x14ac:dyDescent="0.3">
      <c r="A256" s="9"/>
      <c r="B256" s="77"/>
      <c r="C256" s="9"/>
      <c r="D256" s="9"/>
      <c r="E256" s="9"/>
      <c r="F256" s="9"/>
    </row>
    <row r="257" spans="1:6" x14ac:dyDescent="0.3">
      <c r="A257" s="9"/>
      <c r="B257" s="77"/>
      <c r="C257" s="9"/>
      <c r="D257" s="9"/>
      <c r="E257" s="9"/>
      <c r="F257" s="9"/>
    </row>
    <row r="258" spans="1:6" x14ac:dyDescent="0.3">
      <c r="A258" s="9"/>
      <c r="B258" s="77"/>
      <c r="C258" s="9"/>
      <c r="D258" s="9"/>
      <c r="E258" s="9"/>
      <c r="F258" s="9"/>
    </row>
    <row r="259" spans="1:6" x14ac:dyDescent="0.3">
      <c r="A259" s="9"/>
      <c r="B259" s="77"/>
      <c r="C259" s="9"/>
      <c r="D259" s="9"/>
      <c r="E259" s="9"/>
      <c r="F259" s="9"/>
    </row>
    <row r="260" spans="1:6" x14ac:dyDescent="0.3">
      <c r="A260" s="9"/>
      <c r="B260" s="77"/>
      <c r="C260" s="9"/>
      <c r="D260" s="9"/>
      <c r="E260" s="9"/>
      <c r="F260" s="9"/>
    </row>
    <row r="261" spans="1:6" x14ac:dyDescent="0.3">
      <c r="A261" s="9"/>
      <c r="B261" s="77"/>
      <c r="C261" s="9"/>
      <c r="D261" s="9"/>
      <c r="E261" s="9"/>
      <c r="F261" s="9"/>
    </row>
    <row r="262" spans="1:6" x14ac:dyDescent="0.3">
      <c r="A262" s="9"/>
      <c r="B262" s="77"/>
      <c r="C262" s="9"/>
      <c r="D262" s="9"/>
      <c r="E262" s="9"/>
      <c r="F262" s="9"/>
    </row>
    <row r="263" spans="1:6" x14ac:dyDescent="0.3">
      <c r="A263" s="9"/>
      <c r="B263" s="77"/>
      <c r="C263" s="9"/>
      <c r="D263" s="9"/>
      <c r="E263" s="9"/>
      <c r="F263" s="9"/>
    </row>
    <row r="264" spans="1:6" x14ac:dyDescent="0.3">
      <c r="A264" s="9"/>
      <c r="B264" s="77"/>
      <c r="C264" s="9"/>
      <c r="D264" s="9"/>
      <c r="E264" s="9"/>
      <c r="F264" s="9"/>
    </row>
    <row r="265" spans="1:6" x14ac:dyDescent="0.3">
      <c r="A265" s="9"/>
      <c r="B265" s="77"/>
      <c r="C265" s="9"/>
      <c r="D265" s="9"/>
      <c r="E265" s="9"/>
      <c r="F265" s="9"/>
    </row>
    <row r="266" spans="1:6" x14ac:dyDescent="0.3">
      <c r="A266" s="9"/>
      <c r="B266" s="77"/>
      <c r="C266" s="9"/>
      <c r="D266" s="9"/>
      <c r="E266" s="9"/>
      <c r="F266" s="9"/>
    </row>
    <row r="267" spans="1:6" x14ac:dyDescent="0.3">
      <c r="A267" s="9"/>
      <c r="B267" s="77"/>
      <c r="C267" s="9"/>
      <c r="D267" s="9"/>
      <c r="E267" s="9"/>
      <c r="F267" s="9"/>
    </row>
    <row r="268" spans="1:6" x14ac:dyDescent="0.3">
      <c r="A268" s="9"/>
      <c r="B268" s="77"/>
      <c r="C268" s="9"/>
      <c r="D268" s="9"/>
      <c r="E268" s="9"/>
      <c r="F268" s="9"/>
    </row>
    <row r="269" spans="1:6" x14ac:dyDescent="0.3">
      <c r="A269" s="9"/>
      <c r="B269" s="77"/>
      <c r="C269" s="9"/>
      <c r="D269" s="9"/>
      <c r="E269" s="9"/>
      <c r="F269" s="9"/>
    </row>
    <row r="270" spans="1:6" x14ac:dyDescent="0.3">
      <c r="A270" s="9"/>
      <c r="B270" s="77"/>
      <c r="C270" s="9"/>
      <c r="D270" s="9"/>
      <c r="E270" s="9"/>
      <c r="F270" s="9"/>
    </row>
    <row r="271" spans="1:6" x14ac:dyDescent="0.3">
      <c r="A271" s="9"/>
      <c r="B271" s="77"/>
      <c r="C271" s="9"/>
      <c r="D271" s="9"/>
      <c r="E271" s="9"/>
      <c r="F271" s="9"/>
    </row>
    <row r="272" spans="1:6" x14ac:dyDescent="0.3">
      <c r="A272" s="9"/>
      <c r="B272" s="77"/>
      <c r="C272" s="9"/>
      <c r="D272" s="9"/>
      <c r="E272" s="9"/>
      <c r="F272" s="9"/>
    </row>
    <row r="273" spans="1:6" x14ac:dyDescent="0.3">
      <c r="A273" s="9"/>
      <c r="B273" s="77"/>
      <c r="C273" s="9"/>
      <c r="D273" s="9"/>
      <c r="E273" s="9"/>
      <c r="F273" s="9"/>
    </row>
    <row r="274" spans="1:6" x14ac:dyDescent="0.3">
      <c r="A274" s="9"/>
      <c r="B274" s="77"/>
      <c r="C274" s="9"/>
      <c r="D274" s="9"/>
      <c r="E274" s="9"/>
      <c r="F274" s="9"/>
    </row>
    <row r="275" spans="1:6" x14ac:dyDescent="0.3">
      <c r="A275" s="9"/>
      <c r="B275" s="77"/>
      <c r="C275" s="9"/>
      <c r="D275" s="9"/>
      <c r="E275" s="9"/>
      <c r="F275" s="9"/>
    </row>
    <row r="276" spans="1:6" x14ac:dyDescent="0.3">
      <c r="A276" s="9"/>
      <c r="B276" s="77"/>
      <c r="C276" s="9"/>
      <c r="D276" s="9"/>
      <c r="E276" s="9"/>
      <c r="F276" s="9"/>
    </row>
    <row r="277" spans="1:6" x14ac:dyDescent="0.3">
      <c r="A277" s="9"/>
      <c r="B277" s="77"/>
      <c r="C277" s="9"/>
      <c r="D277" s="9"/>
      <c r="E277" s="9"/>
      <c r="F277" s="9"/>
    </row>
    <row r="278" spans="1:6" x14ac:dyDescent="0.3">
      <c r="A278" s="9"/>
      <c r="B278" s="77"/>
      <c r="C278" s="9"/>
      <c r="D278" s="9"/>
      <c r="E278" s="9"/>
      <c r="F278" s="9"/>
    </row>
    <row r="279" spans="1:6" x14ac:dyDescent="0.3">
      <c r="A279" s="9"/>
      <c r="B279" s="77"/>
      <c r="C279" s="9"/>
      <c r="D279" s="9"/>
      <c r="E279" s="9"/>
      <c r="F279" s="9"/>
    </row>
    <row r="280" spans="1:6" x14ac:dyDescent="0.3">
      <c r="A280" s="9"/>
      <c r="B280" s="77"/>
      <c r="C280" s="9"/>
      <c r="D280" s="9"/>
      <c r="E280" s="9"/>
      <c r="F280" s="9"/>
    </row>
    <row r="281" spans="1:6" x14ac:dyDescent="0.3">
      <c r="A281" s="9"/>
      <c r="B281" s="77"/>
      <c r="C281" s="9"/>
      <c r="D281" s="9"/>
      <c r="E281" s="9"/>
      <c r="F281" s="9"/>
    </row>
    <row r="282" spans="1:6" x14ac:dyDescent="0.3">
      <c r="A282" s="9"/>
      <c r="B282" s="77"/>
      <c r="C282" s="9"/>
      <c r="D282" s="9"/>
      <c r="E282" s="9"/>
      <c r="F282" s="9"/>
    </row>
    <row r="283" spans="1:6" x14ac:dyDescent="0.3">
      <c r="A283" s="9"/>
      <c r="B283" s="77"/>
      <c r="C283" s="9"/>
      <c r="D283" s="9"/>
      <c r="E283" s="9"/>
      <c r="F283" s="9"/>
    </row>
    <row r="284" spans="1:6" x14ac:dyDescent="0.3">
      <c r="A284" s="9"/>
      <c r="B284" s="77"/>
      <c r="C284" s="9"/>
      <c r="D284" s="9"/>
      <c r="E284" s="9"/>
      <c r="F284" s="9"/>
    </row>
    <row r="285" spans="1:6" x14ac:dyDescent="0.3">
      <c r="A285" s="9"/>
      <c r="B285" s="77"/>
      <c r="C285" s="9"/>
      <c r="D285" s="9"/>
      <c r="E285" s="9"/>
      <c r="F285" s="9"/>
    </row>
    <row r="286" spans="1:6" x14ac:dyDescent="0.3">
      <c r="A286" s="9"/>
      <c r="B286" s="77"/>
      <c r="C286" s="9"/>
      <c r="D286" s="9"/>
      <c r="E286" s="9"/>
      <c r="F286" s="9"/>
    </row>
    <row r="287" spans="1:6" x14ac:dyDescent="0.3">
      <c r="A287" s="9"/>
      <c r="B287" s="77"/>
      <c r="C287" s="9"/>
      <c r="D287" s="9"/>
      <c r="E287" s="9"/>
      <c r="F287" s="9"/>
    </row>
    <row r="288" spans="1:6" x14ac:dyDescent="0.3">
      <c r="A288" s="9"/>
      <c r="B288" s="77"/>
      <c r="C288" s="9"/>
      <c r="D288" s="9"/>
      <c r="E288" s="9"/>
      <c r="F288" s="9"/>
    </row>
    <row r="289" spans="1:6" x14ac:dyDescent="0.3">
      <c r="A289" s="9"/>
      <c r="B289" s="77"/>
      <c r="C289" s="9"/>
      <c r="D289" s="9"/>
      <c r="E289" s="9"/>
      <c r="F289" s="9"/>
    </row>
    <row r="290" spans="1:6" x14ac:dyDescent="0.3">
      <c r="A290" s="9"/>
      <c r="B290" s="77"/>
      <c r="C290" s="9"/>
      <c r="D290" s="9"/>
      <c r="E290" s="9"/>
      <c r="F290" s="9"/>
    </row>
    <row r="291" spans="1:6" x14ac:dyDescent="0.3">
      <c r="A291" s="9"/>
      <c r="B291" s="77"/>
      <c r="C291" s="9"/>
      <c r="D291" s="9"/>
      <c r="E291" s="9"/>
      <c r="F291" s="9"/>
    </row>
    <row r="292" spans="1:6" x14ac:dyDescent="0.3">
      <c r="A292" s="9"/>
      <c r="B292" s="77"/>
      <c r="C292" s="9"/>
      <c r="D292" s="9"/>
      <c r="E292" s="9"/>
      <c r="F292" s="9"/>
    </row>
    <row r="293" spans="1:6" x14ac:dyDescent="0.3">
      <c r="A293" s="9"/>
      <c r="B293" s="77"/>
      <c r="C293" s="9"/>
      <c r="D293" s="9"/>
      <c r="E293" s="9"/>
      <c r="F293" s="9"/>
    </row>
    <row r="294" spans="1:6" x14ac:dyDescent="0.3">
      <c r="A294" s="9"/>
      <c r="B294" s="77"/>
      <c r="C294" s="9"/>
      <c r="D294" s="9"/>
      <c r="E294" s="9"/>
      <c r="F294" s="9"/>
    </row>
    <row r="295" spans="1:6" x14ac:dyDescent="0.3">
      <c r="A295" s="9"/>
      <c r="B295" s="77"/>
      <c r="C295" s="9"/>
      <c r="D295" s="9"/>
      <c r="E295" s="9"/>
      <c r="F295" s="9"/>
    </row>
    <row r="296" spans="1:6" x14ac:dyDescent="0.3">
      <c r="A296" s="9"/>
      <c r="B296" s="77"/>
      <c r="C296" s="9"/>
      <c r="D296" s="9"/>
      <c r="E296" s="9"/>
      <c r="F296" s="9"/>
    </row>
    <row r="297" spans="1:6" x14ac:dyDescent="0.3">
      <c r="A297" s="9"/>
      <c r="B297" s="77"/>
      <c r="C297" s="9"/>
      <c r="D297" s="9"/>
      <c r="E297" s="9"/>
      <c r="F297" s="9"/>
    </row>
    <row r="298" spans="1:6" x14ac:dyDescent="0.3">
      <c r="A298" s="9"/>
      <c r="B298" s="77"/>
      <c r="C298" s="9"/>
      <c r="D298" s="9"/>
      <c r="E298" s="9"/>
      <c r="F298" s="9"/>
    </row>
    <row r="299" spans="1:6" x14ac:dyDescent="0.3">
      <c r="A299" s="9"/>
      <c r="B299" s="77"/>
      <c r="C299" s="9"/>
      <c r="D299" s="9"/>
      <c r="E299" s="9"/>
      <c r="F299" s="9"/>
    </row>
    <row r="300" spans="1:6" x14ac:dyDescent="0.3">
      <c r="A300" s="9"/>
      <c r="B300" s="77"/>
      <c r="C300" s="9"/>
      <c r="D300" s="9"/>
      <c r="E300" s="9"/>
      <c r="F300" s="9"/>
    </row>
    <row r="301" spans="1:6" x14ac:dyDescent="0.3">
      <c r="A301" s="9"/>
      <c r="B301" s="77"/>
      <c r="C301" s="9"/>
      <c r="D301" s="9"/>
      <c r="E301" s="9"/>
      <c r="F301" s="9"/>
    </row>
  </sheetData>
  <autoFilter ref="A1:G82" xr:uid="{36332932-C107-42BC-A7A6-46952897344C}">
    <filterColumn colId="1">
      <filters>
        <filter val="R$ 143,90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0F15-6B3E-4307-8666-E850167E1DB2}">
  <dimension ref="A1:H15"/>
  <sheetViews>
    <sheetView workbookViewId="0">
      <selection activeCell="C12" sqref="C12"/>
    </sheetView>
  </sheetViews>
  <sheetFormatPr defaultRowHeight="14.4" x14ac:dyDescent="0.3"/>
  <cols>
    <col min="1" max="1" width="12.33203125" bestFit="1" customWidth="1"/>
    <col min="2" max="2" width="11.33203125" bestFit="1" customWidth="1"/>
    <col min="3" max="3" width="21.44140625" style="138" bestFit="1" customWidth="1"/>
    <col min="4" max="4" width="11.6640625" bestFit="1" customWidth="1"/>
    <col min="5" max="5" width="20.6640625" bestFit="1" customWidth="1"/>
    <col min="6" max="6" width="21.33203125" bestFit="1" customWidth="1"/>
    <col min="7" max="7" width="111.33203125" bestFit="1" customWidth="1"/>
    <col min="8" max="8" width="8.6640625" style="163" bestFit="1" customWidth="1"/>
  </cols>
  <sheetData>
    <row r="1" spans="1:8" ht="15" thickBot="1" x14ac:dyDescent="0.35">
      <c r="A1" s="128" t="s">
        <v>93</v>
      </c>
      <c r="B1" s="128" t="s">
        <v>1692</v>
      </c>
      <c r="C1" s="139" t="s">
        <v>1691</v>
      </c>
      <c r="D1" s="128" t="s">
        <v>1688</v>
      </c>
      <c r="E1" s="128" t="s">
        <v>1689</v>
      </c>
      <c r="F1" s="128" t="s">
        <v>1693</v>
      </c>
      <c r="G1" s="128" t="s">
        <v>1690</v>
      </c>
      <c r="H1" s="128" t="s">
        <v>1694</v>
      </c>
    </row>
    <row r="2" spans="1:8" s="131" customFormat="1" ht="15" thickBot="1" x14ac:dyDescent="0.35">
      <c r="A2" s="158" t="s">
        <v>309</v>
      </c>
      <c r="B2" s="129">
        <v>45658</v>
      </c>
      <c r="C2" s="135">
        <v>41.5</v>
      </c>
      <c r="D2" s="145">
        <v>41.5</v>
      </c>
      <c r="E2" s="159" t="s">
        <v>909</v>
      </c>
      <c r="F2" s="147">
        <v>45904</v>
      </c>
      <c r="G2" s="147">
        <v>45904</v>
      </c>
      <c r="H2" s="164" t="s">
        <v>568</v>
      </c>
    </row>
    <row r="3" spans="1:8" ht="15" thickBot="1" x14ac:dyDescent="0.35">
      <c r="A3" s="158" t="s">
        <v>309</v>
      </c>
      <c r="B3" s="127">
        <v>45748</v>
      </c>
      <c r="C3" s="136">
        <v>48.78</v>
      </c>
      <c r="D3" s="77">
        <v>48.78</v>
      </c>
      <c r="E3" s="160" t="s">
        <v>909</v>
      </c>
      <c r="F3" s="27"/>
      <c r="G3" s="27"/>
      <c r="H3" s="165"/>
    </row>
    <row r="4" spans="1:8" ht="15" thickBot="1" x14ac:dyDescent="0.35">
      <c r="A4" s="158" t="s">
        <v>309</v>
      </c>
      <c r="B4" s="127">
        <v>45778</v>
      </c>
      <c r="C4" s="136">
        <v>61.11</v>
      </c>
      <c r="D4" s="77">
        <v>61.11</v>
      </c>
      <c r="E4" s="160" t="s">
        <v>909</v>
      </c>
      <c r="F4" s="148" t="s">
        <v>1695</v>
      </c>
      <c r="G4" s="148" t="s">
        <v>1695</v>
      </c>
      <c r="H4" s="164" t="s">
        <v>568</v>
      </c>
    </row>
    <row r="5" spans="1:8" s="133" customFormat="1" ht="15" thickBot="1" x14ac:dyDescent="0.35">
      <c r="A5" s="166" t="s">
        <v>309</v>
      </c>
      <c r="B5" s="132">
        <v>45809</v>
      </c>
      <c r="C5" s="137">
        <v>87.67</v>
      </c>
      <c r="D5" s="146">
        <v>87.67</v>
      </c>
      <c r="E5" s="168" t="s">
        <v>909</v>
      </c>
      <c r="F5" s="144"/>
      <c r="G5" s="144"/>
      <c r="H5" s="165"/>
    </row>
    <row r="6" spans="1:8" s="131" customFormat="1" ht="15" customHeight="1" thickBot="1" x14ac:dyDescent="0.35">
      <c r="A6" s="158" t="s">
        <v>271</v>
      </c>
      <c r="B6" s="129">
        <v>45748</v>
      </c>
      <c r="C6" s="135">
        <v>233.77999999999997</v>
      </c>
      <c r="D6" s="149">
        <v>233.77999999999997</v>
      </c>
      <c r="E6" s="159" t="s">
        <v>909</v>
      </c>
      <c r="F6" s="130">
        <v>45910</v>
      </c>
      <c r="G6" s="134">
        <v>45910</v>
      </c>
      <c r="H6" s="161" t="s">
        <v>568</v>
      </c>
    </row>
    <row r="7" spans="1:8" ht="15" thickBot="1" x14ac:dyDescent="0.35">
      <c r="A7" s="158" t="s">
        <v>271</v>
      </c>
      <c r="B7" s="127">
        <v>45778</v>
      </c>
      <c r="C7" s="136">
        <v>199.21899999999999</v>
      </c>
      <c r="D7" s="150">
        <v>199.21899999999999</v>
      </c>
      <c r="E7" s="160" t="s">
        <v>909</v>
      </c>
      <c r="F7" s="22">
        <v>45951</v>
      </c>
      <c r="G7" s="22" t="s">
        <v>1696</v>
      </c>
      <c r="H7" s="161" t="s">
        <v>568</v>
      </c>
    </row>
    <row r="8" spans="1:8" ht="15" thickBot="1" x14ac:dyDescent="0.35">
      <c r="A8" s="158" t="s">
        <v>271</v>
      </c>
      <c r="B8" s="127">
        <v>45809</v>
      </c>
      <c r="C8" s="136">
        <v>157.39333333333335</v>
      </c>
      <c r="D8" s="150">
        <v>157.39333333333335</v>
      </c>
      <c r="E8" s="160" t="s">
        <v>909</v>
      </c>
      <c r="F8" s="22">
        <v>45973</v>
      </c>
      <c r="G8" s="22">
        <v>45973</v>
      </c>
      <c r="H8" s="161" t="s">
        <v>568</v>
      </c>
    </row>
    <row r="9" spans="1:8" s="133" customFormat="1" ht="15" thickBot="1" x14ac:dyDescent="0.35">
      <c r="A9" s="166" t="s">
        <v>271</v>
      </c>
      <c r="B9" s="132">
        <v>45839</v>
      </c>
      <c r="C9" s="137">
        <v>2</v>
      </c>
      <c r="D9" s="152">
        <v>2</v>
      </c>
      <c r="E9" s="168" t="s">
        <v>909</v>
      </c>
      <c r="F9" s="167"/>
      <c r="G9" s="168"/>
      <c r="H9" s="169"/>
    </row>
    <row r="10" spans="1:8" s="131" customFormat="1" ht="15" thickBot="1" x14ac:dyDescent="0.35">
      <c r="A10" s="158" t="s">
        <v>151</v>
      </c>
      <c r="B10" s="140">
        <v>45748</v>
      </c>
      <c r="C10" s="135">
        <v>387.03</v>
      </c>
      <c r="D10" s="157">
        <v>387.03</v>
      </c>
      <c r="E10" s="159" t="s">
        <v>909</v>
      </c>
      <c r="F10" s="130">
        <v>45918</v>
      </c>
      <c r="G10" s="130">
        <v>45918</v>
      </c>
      <c r="H10" s="161" t="s">
        <v>568</v>
      </c>
    </row>
    <row r="11" spans="1:8" s="131" customFormat="1" ht="15" thickBot="1" x14ac:dyDescent="0.35">
      <c r="A11" s="158" t="s">
        <v>151</v>
      </c>
      <c r="B11" s="170"/>
      <c r="C11" s="136"/>
      <c r="D11" s="151"/>
      <c r="E11" s="160"/>
      <c r="F11" s="22">
        <v>45940</v>
      </c>
      <c r="G11" s="22">
        <v>45939</v>
      </c>
      <c r="H11" s="161" t="s">
        <v>568</v>
      </c>
    </row>
    <row r="12" spans="1:8" s="174" customFormat="1" ht="15" thickBot="1" x14ac:dyDescent="0.35">
      <c r="A12" s="166" t="s">
        <v>151</v>
      </c>
      <c r="B12" s="171"/>
      <c r="C12" s="137"/>
      <c r="D12" s="152"/>
      <c r="E12" s="168"/>
      <c r="F12" s="172">
        <v>45971</v>
      </c>
      <c r="G12" s="172">
        <v>45968</v>
      </c>
      <c r="H12" s="173" t="s">
        <v>568</v>
      </c>
    </row>
    <row r="13" spans="1:8" s="131" customFormat="1" ht="15" thickBot="1" x14ac:dyDescent="0.35">
      <c r="A13" s="158" t="s">
        <v>257</v>
      </c>
      <c r="B13" s="140">
        <v>45748</v>
      </c>
      <c r="C13" s="135">
        <v>233.61999840000001</v>
      </c>
      <c r="D13" s="135">
        <v>233.61999840000001</v>
      </c>
      <c r="E13" s="159" t="s">
        <v>909</v>
      </c>
      <c r="F13" s="153">
        <v>45943</v>
      </c>
      <c r="G13" s="143" t="s">
        <v>1698</v>
      </c>
      <c r="H13" s="161" t="s">
        <v>568</v>
      </c>
    </row>
    <row r="14" spans="1:8" ht="15" thickBot="1" x14ac:dyDescent="0.35">
      <c r="A14" s="158" t="s">
        <v>257</v>
      </c>
      <c r="B14" s="141">
        <v>45839</v>
      </c>
      <c r="C14" s="136">
        <v>222.24928571428569</v>
      </c>
      <c r="D14" s="150">
        <v>98.98</v>
      </c>
      <c r="E14" s="160" t="s">
        <v>909</v>
      </c>
      <c r="F14" s="154">
        <v>45943</v>
      </c>
      <c r="G14" s="19" t="s">
        <v>1699</v>
      </c>
      <c r="H14" s="161" t="s">
        <v>568</v>
      </c>
    </row>
    <row r="15" spans="1:8" s="133" customFormat="1" ht="15" thickBot="1" x14ac:dyDescent="0.35">
      <c r="A15" s="166" t="s">
        <v>257</v>
      </c>
      <c r="B15" s="142">
        <v>45870</v>
      </c>
      <c r="C15" s="137">
        <v>209.33200000000005</v>
      </c>
      <c r="D15" s="152"/>
      <c r="E15" s="168"/>
      <c r="F15" s="155">
        <v>45961</v>
      </c>
      <c r="G15" s="156" t="s">
        <v>1697</v>
      </c>
      <c r="H15" s="162" t="s">
        <v>369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2CAA88551421458F4BC382CB6B988A" ma:contentTypeVersion="15" ma:contentTypeDescription="Create a new document." ma:contentTypeScope="" ma:versionID="a13a0512da9c3878a3fa6ecc8caf4680">
  <xsd:schema xmlns:xsd="http://www.w3.org/2001/XMLSchema" xmlns:xs="http://www.w3.org/2001/XMLSchema" xmlns:p="http://schemas.microsoft.com/office/2006/metadata/properties" xmlns:ns2="da5599b8-c7dc-48df-9a67-00d2f57d09e8" xmlns:ns3="6bec910c-6e47-43de-b69a-5546a3acd199" targetNamespace="http://schemas.microsoft.com/office/2006/metadata/properties" ma:root="true" ma:fieldsID="5cad72445fcc5d59b22664f6a24f4009" ns2:_="" ns3:_="">
    <xsd:import namespace="da5599b8-c7dc-48df-9a67-00d2f57d09e8"/>
    <xsd:import namespace="6bec910c-6e47-43de-b69a-5546a3acd1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599b8-c7dc-48df-9a67-00d2f57d0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0f50b1f-6265-4dad-8a60-112c606f1c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ec910c-6e47-43de-b69a-5546a3acd1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8facc0a-6eb3-4e82-b053-b6c297ddbbb1}" ma:internalName="TaxCatchAll" ma:showField="CatchAllData" ma:web="6bec910c-6e47-43de-b69a-5546a3acd1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ec910c-6e47-43de-b69a-5546a3acd199" xsi:nil="true"/>
    <lcf76f155ced4ddcb4097134ff3c332f xmlns="da5599b8-c7dc-48df-9a67-00d2f57d09e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A68E98-FAA3-47CF-9AC7-6F1015345B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5599b8-c7dc-48df-9a67-00d2f57d09e8"/>
    <ds:schemaRef ds:uri="6bec910c-6e47-43de-b69a-5546a3acd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B15620-1E7F-4016-9DE2-0676C3A0A7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0AE2A2-EC15-4BE0-8067-BB431E1E7ED4}">
  <ds:schemaRefs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6bec910c-6e47-43de-b69a-5546a3acd199"/>
    <ds:schemaRef ds:uri="da5599b8-c7dc-48df-9a67-00d2f57d09e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</vt:lpstr>
      <vt:lpstr>base</vt:lpstr>
      <vt:lpstr>Inadimplência</vt:lpstr>
      <vt:lpstr>Processos</vt:lpstr>
      <vt:lpstr>Contatos - Ref.Jun-25</vt:lpstr>
      <vt:lpstr>Faturamento</vt:lpstr>
      <vt:lpstr>Acordos</vt:lpstr>
      <vt:lpstr>Negociações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Helena Pinheiro</dc:creator>
  <cp:keywords/>
  <dc:description/>
  <cp:lastModifiedBy>Isabella Costa</cp:lastModifiedBy>
  <cp:revision/>
  <dcterms:created xsi:type="dcterms:W3CDTF">2024-12-02T13:32:33Z</dcterms:created>
  <dcterms:modified xsi:type="dcterms:W3CDTF">2025-12-19T12:35:17Z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0x010100E52CAA88551421458F4BC382CB6B988A</vt:lpwstr>
  </property>
  <property fmtid="{D5CDD505-2E9C-101B-9397-08002B2CF9AE}" pid="3" name="MediaServiceImageTags">
    <vt:lpwstr/>
  </property>
</Properties>
</file>